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omePC\Downloads\"/>
    </mc:Choice>
  </mc:AlternateContent>
  <xr:revisionPtr revIDLastSave="0" documentId="13_ncr:1_{E5AAF161-CA25-41F0-A8CD-3C32ECE2A941}" xr6:coauthVersionLast="47" xr6:coauthVersionMax="47" xr10:uidLastSave="{00000000-0000-0000-0000-000000000000}"/>
  <bookViews>
    <workbookView xWindow="-110" yWindow="-110" windowWidth="19420" windowHeight="10300" xr2:uid="{347F031A-3C56-4DB6-8097-FBDAAC2BE9AC}"/>
  </bookViews>
  <sheets>
    <sheet name="Retail_clean" sheetId="2" r:id="rId1"/>
    <sheet name="Report" sheetId="1" state="hidden" r:id="rId2"/>
    <sheet name="Dashboard" sheetId="3" r:id="rId3"/>
  </sheets>
  <definedNames>
    <definedName name="ExternalData_1" localSheetId="0" hidden="1">Retail_clean!$A$1:$S$2626</definedName>
    <definedName name="Slicer_Product_Category">#N/A</definedName>
    <definedName name="Slicer_Region">#N/A</definedName>
    <definedName name="Slicer_Years__Order_Date">#N/A</definedName>
  </definedNames>
  <calcPr calcId="191029"/>
  <pivotCaches>
    <pivotCache cacheId="63"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 i="3" l="1"/>
  <c r="C20" i="3"/>
  <c r="E7" i="1"/>
  <c r="J15" i="3" s="1"/>
  <c r="F3" i="1"/>
  <c r="K11" i="3" s="1"/>
  <c r="G3" i="1"/>
  <c r="M11" i="3" s="1"/>
  <c r="F4" i="1"/>
  <c r="K12" i="3" s="1"/>
  <c r="G4" i="1"/>
  <c r="M12" i="3" s="1"/>
  <c r="F5" i="1"/>
  <c r="K13" i="3" s="1"/>
  <c r="G5" i="1"/>
  <c r="M13" i="3" s="1"/>
  <c r="F6" i="1"/>
  <c r="K14" i="3" s="1"/>
  <c r="G6" i="1"/>
  <c r="M14" i="3" s="1"/>
  <c r="F7" i="1"/>
  <c r="K15" i="3" s="1"/>
  <c r="G7" i="1"/>
  <c r="M15" i="3" s="1"/>
  <c r="E4" i="1"/>
  <c r="J12" i="3" s="1"/>
  <c r="E5" i="1"/>
  <c r="J13" i="3" s="1"/>
  <c r="E6" i="1"/>
  <c r="J14" i="3" s="1"/>
  <c r="E3" i="1"/>
  <c r="J11" i="3" s="1"/>
  <c r="G12" i="3"/>
  <c r="G13" i="3"/>
  <c r="G14" i="3"/>
  <c r="G15" i="3"/>
  <c r="G16" i="3"/>
  <c r="G17" i="3"/>
  <c r="G18" i="3"/>
  <c r="G11" i="3"/>
  <c r="E12" i="3"/>
  <c r="E13" i="3"/>
  <c r="E14" i="3"/>
  <c r="E15" i="3"/>
  <c r="E16" i="3"/>
  <c r="E17" i="3"/>
  <c r="E18" i="3"/>
  <c r="E19" i="3"/>
  <c r="D12" i="3"/>
  <c r="D13" i="3"/>
  <c r="C14" i="3"/>
  <c r="D14" i="3"/>
  <c r="D15" i="3"/>
  <c r="D16" i="3"/>
  <c r="C17" i="3"/>
  <c r="D17" i="3"/>
  <c r="D18" i="3"/>
  <c r="D19" i="3"/>
  <c r="D11" i="3"/>
  <c r="E11" i="3"/>
  <c r="C11" i="3"/>
  <c r="Q19" i="3"/>
  <c r="Q14" i="3"/>
  <c r="Q9" i="3"/>
  <c r="Q4" i="3"/>
  <c r="G20" i="3"/>
  <c r="E2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C85C9D-5079-4E32-BFB5-16A8F0C426E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5DE3E0A-E432-4752-897A-8293F77E947A}" keepAlive="1" interval="30" name="Query - Retailer_cleaned" description="Connection to the 'Retailer_cleaned' query in the workbook." type="5" refreshedVersion="8" background="1" saveData="1">
    <dbPr connection="Provider=Microsoft.Mashup.OleDb.1;Data Source=$Workbook$;Location=Retailer_cleaned;Extended Properties=&quot;&quot;" command="SELECT * FROM [Retailer_cleaned]"/>
  </connection>
  <connection id="3" xr16:uid="{DEE2BB53-B107-4009-BA79-6DED87BE74D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08F6FCA8-402E-43A8-83C6-478B6B5DF91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0EC177F-DD2D-4F4A-BF42-37620FDF10B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<sst xmlns="http://schemas.openxmlformats.org/spreadsheetml/2006/main" count="10589" uniqueCount="76">
  <si>
    <t>Order_ID</t>
  </si>
  <si>
    <t>Customer_ID</t>
  </si>
  <si>
    <t>Region</t>
  </si>
  <si>
    <t>Sales_Channel</t>
  </si>
  <si>
    <t>Product_Category</t>
  </si>
  <si>
    <t>Product_Name</t>
  </si>
  <si>
    <t>Order_Date</t>
  </si>
  <si>
    <t>Ship_Date</t>
  </si>
  <si>
    <t>Payment_Date</t>
  </si>
  <si>
    <t>Days_to_Payment</t>
  </si>
  <si>
    <t>Days_to_Ship</t>
  </si>
  <si>
    <t>Quantity</t>
  </si>
  <si>
    <t>Unit_Price</t>
  </si>
  <si>
    <t>Sales_Amount</t>
  </si>
  <si>
    <t>Discount_Rate</t>
  </si>
  <si>
    <t>Discount_Amount</t>
  </si>
  <si>
    <t>Net_Sales</t>
  </si>
  <si>
    <t>Cost_Amount</t>
  </si>
  <si>
    <t>Profit_After_Discount</t>
  </si>
  <si>
    <t>South</t>
  </si>
  <si>
    <t>Wholesale</t>
  </si>
  <si>
    <t>Home</t>
  </si>
  <si>
    <t>Sofa</t>
  </si>
  <si>
    <t>North</t>
  </si>
  <si>
    <t>Food</t>
  </si>
  <si>
    <t>Pasta</t>
  </si>
  <si>
    <t>Electronics</t>
  </si>
  <si>
    <t>Tablet</t>
  </si>
  <si>
    <t>East</t>
  </si>
  <si>
    <t>Store</t>
  </si>
  <si>
    <t>Rice</t>
  </si>
  <si>
    <t>Online</t>
  </si>
  <si>
    <t>Snacks</t>
  </si>
  <si>
    <t>West</t>
  </si>
  <si>
    <t>Clothing</t>
  </si>
  <si>
    <t>Shirt</t>
  </si>
  <si>
    <t>Laptop</t>
  </si>
  <si>
    <t>Headphones</t>
  </si>
  <si>
    <t>Table</t>
  </si>
  <si>
    <t>Cookware</t>
  </si>
  <si>
    <t>Shoes</t>
  </si>
  <si>
    <t>Lamp</t>
  </si>
  <si>
    <t>Beverage</t>
  </si>
  <si>
    <t>Jacket</t>
  </si>
  <si>
    <t>Phone</t>
  </si>
  <si>
    <t>Jeans</t>
  </si>
  <si>
    <t>Row Labels</t>
  </si>
  <si>
    <t>Grand Total</t>
  </si>
  <si>
    <t>Sum of Net_Sales</t>
  </si>
  <si>
    <t>Sum of Discount_Amount</t>
  </si>
  <si>
    <t>Sum of Profit_After_Discount</t>
  </si>
  <si>
    <t>Average of Discount_Amount</t>
  </si>
  <si>
    <t>Average of Discount_Rate</t>
  </si>
  <si>
    <t>Average of Unit_Price</t>
  </si>
  <si>
    <t>2023</t>
  </si>
  <si>
    <t>2024</t>
  </si>
  <si>
    <t>Sum of Order_ID</t>
  </si>
  <si>
    <t>Sum of Customer_ID</t>
  </si>
  <si>
    <t>Sum of Quantity</t>
  </si>
  <si>
    <t>Average of Days_to_Ship</t>
  </si>
  <si>
    <t>Average of Days_to_Payment</t>
  </si>
  <si>
    <t>Avg Unit Price</t>
  </si>
  <si>
    <t>Avg Days to Ship</t>
  </si>
  <si>
    <t>Avg Discount Rtae</t>
  </si>
  <si>
    <t>Avg Days to Pay</t>
  </si>
  <si>
    <t>Years (Order_Date)</t>
  </si>
  <si>
    <t xml:space="preserve">Yearly </t>
  </si>
  <si>
    <t>Yearly Net Sales/Profit By Sales Channel</t>
  </si>
  <si>
    <t>Channel</t>
  </si>
  <si>
    <t>Net Sales</t>
  </si>
  <si>
    <t>Net Profit</t>
  </si>
  <si>
    <t xml:space="preserve"> Total</t>
  </si>
  <si>
    <t>Total</t>
  </si>
  <si>
    <t>Overall Regional Net Sales/Profit</t>
  </si>
  <si>
    <t>Yearly Net Sales/Profit/Discount Amount</t>
  </si>
  <si>
    <t>Yearly Percentage Of Overall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</si>
</sst>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
    <numFmt numFmtId="165" formatCode="[$$-409]#,##0.00"/>
  </numFmts>
  <fonts count="7" x14ac:knownFonts="1">
    <font>
      <sz val="11"/>
      <color theme="1"/>
      <name val="Calibri"/>
      <family val="2"/>
      <scheme val="minor"/>
    </font>
    <font>
      <b/>
      <sz val="11"/>
      <color theme="0"/>
      <name val="Calibri"/>
      <family val="2"/>
      <scheme val="minor"/>
    </font>
    <font>
      <b/>
      <sz val="16"/>
      <color theme="0"/>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
      <b/>
      <sz val="11"/>
      <name val="Calibri"/>
      <family val="2"/>
      <scheme val="minor"/>
    </font>
  </fonts>
  <fills count="5">
    <fill>
      <patternFill patternType="none"/>
    </fill>
    <fill>
      <patternFill patternType="gray125"/>
    </fill>
    <fill>
      <patternFill patternType="solid">
        <fgColor rgb="FF002060"/>
        <bgColor indexed="64"/>
      </patternFill>
    </fill>
    <fill>
      <patternFill patternType="solid">
        <fgColor theme="8" tint="-0.249977111117893"/>
        <bgColor indexed="64"/>
      </patternFill>
    </fill>
    <fill>
      <patternFill patternType="solid">
        <fgColor theme="4"/>
        <bgColor indexed="64"/>
      </patternFill>
    </fill>
  </fills>
  <borders count="1">
    <border>
      <left/>
      <right/>
      <top/>
      <bottom/>
      <diagonal/>
    </border>
  </borders>
  <cellStyleXfs count="1">
    <xf numFmtId="0" fontId="0" fillId="0" borderId="0"/>
  </cellStyleXfs>
  <cellXfs count="28">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10" fontId="0" fillId="0" borderId="0" xfId="0" applyNumberFormat="1"/>
    <xf numFmtId="3" fontId="0" fillId="0" borderId="0" xfId="0" applyNumberFormat="1"/>
    <xf numFmtId="164" fontId="0" fillId="0" borderId="0" xfId="0" applyNumberFormat="1"/>
    <xf numFmtId="165" fontId="0" fillId="0" borderId="0" xfId="0" applyNumberFormat="1"/>
    <xf numFmtId="0" fontId="0" fillId="2" borderId="0" xfId="0" applyFill="1" applyProtection="1">
      <protection locked="0"/>
    </xf>
    <xf numFmtId="0" fontId="0" fillId="0" borderId="0" xfId="0" applyProtection="1">
      <protection locked="0"/>
    </xf>
    <xf numFmtId="0" fontId="6" fillId="4" borderId="0" xfId="0" applyFont="1" applyFill="1" applyProtection="1">
      <protection locked="0"/>
    </xf>
    <xf numFmtId="0" fontId="4" fillId="0" borderId="0" xfId="0" applyFont="1" applyProtection="1">
      <protection locked="0"/>
    </xf>
    <xf numFmtId="0" fontId="0" fillId="0" borderId="0" xfId="0" applyAlignment="1" applyProtection="1">
      <alignment vertical="center"/>
      <protection locked="0"/>
    </xf>
    <xf numFmtId="0" fontId="4" fillId="0" borderId="0" xfId="0" applyFont="1"/>
    <xf numFmtId="0" fontId="5" fillId="2" borderId="0" xfId="0" applyFont="1" applyFill="1" applyAlignment="1" applyProtection="1">
      <alignment horizontal="center"/>
      <protection locked="0"/>
    </xf>
    <xf numFmtId="3" fontId="4" fillId="0" borderId="0" xfId="0" applyNumberFormat="1" applyFont="1" applyAlignment="1">
      <alignment horizontal="center"/>
    </xf>
    <xf numFmtId="0" fontId="4" fillId="0" borderId="0" xfId="0" applyFont="1" applyAlignment="1">
      <alignment horizontal="center"/>
    </xf>
    <xf numFmtId="0" fontId="6" fillId="4" borderId="0" xfId="0" applyFont="1" applyFill="1" applyAlignment="1" applyProtection="1">
      <alignment horizontal="center"/>
      <protection locked="0"/>
    </xf>
    <xf numFmtId="0" fontId="1" fillId="2" borderId="0" xfId="0" applyFont="1" applyFill="1" applyAlignment="1" applyProtection="1">
      <alignment horizontal="center"/>
      <protection locked="0"/>
    </xf>
    <xf numFmtId="1" fontId="3" fillId="3" borderId="0" xfId="0" applyNumberFormat="1" applyFont="1" applyFill="1" applyAlignment="1">
      <alignment horizontal="center" vertical="center"/>
    </xf>
    <xf numFmtId="0" fontId="3" fillId="3" borderId="0" xfId="0" applyFont="1" applyFill="1" applyAlignment="1">
      <alignment horizontal="center" vertical="center"/>
    </xf>
    <xf numFmtId="1" fontId="2" fillId="3" borderId="0" xfId="0" applyNumberFormat="1" applyFont="1" applyFill="1" applyAlignment="1">
      <alignment horizontal="center" vertical="center"/>
    </xf>
    <xf numFmtId="0" fontId="2" fillId="3" borderId="0" xfId="0" applyFont="1" applyFill="1" applyAlignment="1">
      <alignment horizontal="center" vertical="center"/>
    </xf>
    <xf numFmtId="165" fontId="2" fillId="3" borderId="0" xfId="0" applyNumberFormat="1" applyFont="1" applyFill="1" applyAlignment="1">
      <alignment horizontal="center" vertical="center"/>
    </xf>
    <xf numFmtId="2" fontId="2" fillId="3" borderId="0" xfId="0" applyNumberFormat="1" applyFont="1" applyFill="1" applyAlignment="1">
      <alignment horizontal="center" vertical="center"/>
    </xf>
    <xf numFmtId="0" fontId="0" fillId="0" borderId="0" xfId="0" applyNumberFormat="1"/>
  </cellXfs>
  <cellStyles count="1">
    <cellStyle name="Normal" xfId="0" builtinId="0"/>
  </cellStyles>
  <dxfs count="22">
    <dxf>
      <numFmt numFmtId="19" formatCode="dd/mm/yyyy"/>
    </dxf>
    <dxf>
      <numFmt numFmtId="19" formatCode="dd/mm/yyyy"/>
    </dxf>
    <dxf>
      <numFmt numFmtId="19" formatCode="dd/mm/yyyy"/>
    </dxf>
    <dxf>
      <numFmt numFmtId="165" formatCode="[$$-409]#,##0.00"/>
    </dxf>
    <dxf>
      <numFmt numFmtId="1" formatCode="0"/>
    </dxf>
    <dxf>
      <numFmt numFmtId="1" formatCode="0"/>
    </dxf>
    <dxf>
      <numFmt numFmtId="2" formatCode="0.00"/>
    </dxf>
    <dxf>
      <numFmt numFmtId="3" formatCode="#,##0"/>
    </dxf>
    <dxf>
      <numFmt numFmtId="1" formatCode="0"/>
    </dxf>
    <dxf>
      <numFmt numFmtId="1" formatCode="0"/>
    </dxf>
    <dxf>
      <numFmt numFmtId="3" formatCode="#,##0"/>
    </dxf>
    <dxf>
      <numFmt numFmtId="3" formatCode="#,##0"/>
    </dxf>
    <dxf>
      <numFmt numFmtId="165" formatCode="[$$-409]#,##0.00"/>
    </dxf>
    <dxf>
      <numFmt numFmtId="165" formatCode="[$$-409]#,##0.00"/>
    </dxf>
    <dxf>
      <numFmt numFmtId="164" formatCode="[$$-409]#,##0"/>
    </dxf>
    <dxf>
      <numFmt numFmtId="164" formatCode="[$$-409]#,##0"/>
    </dxf>
    <dxf>
      <numFmt numFmtId="2" formatCode="0.00"/>
    </dxf>
    <dxf>
      <numFmt numFmtId="3" formatCode="#,##0"/>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ysClr val="window" lastClr="FFFFFF"/>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Report!$B$29</c:f>
              <c:strCache>
                <c:ptCount val="1"/>
                <c:pt idx="0">
                  <c:v>Sum of Net_Sales</c:v>
                </c:pt>
              </c:strCache>
            </c:strRef>
          </c:tx>
          <c:spPr>
            <a:solidFill>
              <a:schemeClr val="accent1"/>
            </a:solidFill>
            <a:ln>
              <a:noFill/>
            </a:ln>
            <a:effectLst/>
          </c:spPr>
          <c:invertIfNegative val="0"/>
          <c:cat>
            <c:strRef>
              <c:f>Report!$A$30:$A$32</c:f>
              <c:strCache>
                <c:ptCount val="2"/>
                <c:pt idx="0">
                  <c:v>2023</c:v>
                </c:pt>
                <c:pt idx="1">
                  <c:v>2024</c:v>
                </c:pt>
              </c:strCache>
            </c:strRef>
          </c:cat>
          <c:val>
            <c:numRef>
              <c:f>Report!$B$30:$B$32</c:f>
              <c:numCache>
                <c:formatCode>General</c:formatCode>
                <c:ptCount val="2"/>
                <c:pt idx="0">
                  <c:v>3682185.839999998</c:v>
                </c:pt>
                <c:pt idx="1">
                  <c:v>3563748.0999999982</c:v>
                </c:pt>
              </c:numCache>
            </c:numRef>
          </c:val>
          <c:extLst>
            <c:ext xmlns:c16="http://schemas.microsoft.com/office/drawing/2014/chart" uri="{C3380CC4-5D6E-409C-BE32-E72D297353CC}">
              <c16:uniqueId val="{00000000-7A59-4D3A-8585-E5FC4B9B2ABF}"/>
            </c:ext>
          </c:extLst>
        </c:ser>
        <c:ser>
          <c:idx val="2"/>
          <c:order val="2"/>
          <c:tx>
            <c:strRef>
              <c:f>Report!$D$29</c:f>
              <c:strCache>
                <c:ptCount val="1"/>
                <c:pt idx="0">
                  <c:v>Sum of Profit_After_Discount</c:v>
                </c:pt>
              </c:strCache>
            </c:strRef>
          </c:tx>
          <c:spPr>
            <a:solidFill>
              <a:schemeClr val="accent3"/>
            </a:solidFill>
            <a:ln>
              <a:noFill/>
            </a:ln>
            <a:effectLst/>
          </c:spPr>
          <c:invertIfNegative val="0"/>
          <c:cat>
            <c:strRef>
              <c:f>Report!$A$30:$A$32</c:f>
              <c:strCache>
                <c:ptCount val="2"/>
                <c:pt idx="0">
                  <c:v>2023</c:v>
                </c:pt>
                <c:pt idx="1">
                  <c:v>2024</c:v>
                </c:pt>
              </c:strCache>
            </c:strRef>
          </c:cat>
          <c:val>
            <c:numRef>
              <c:f>Report!$D$30:$D$32</c:f>
              <c:numCache>
                <c:formatCode>General</c:formatCode>
                <c:ptCount val="2"/>
                <c:pt idx="0">
                  <c:v>1211335.1600000004</c:v>
                </c:pt>
                <c:pt idx="1">
                  <c:v>1025132.6100000012</c:v>
                </c:pt>
              </c:numCache>
            </c:numRef>
          </c:val>
          <c:extLst>
            <c:ext xmlns:c16="http://schemas.microsoft.com/office/drawing/2014/chart" uri="{C3380CC4-5D6E-409C-BE32-E72D297353CC}">
              <c16:uniqueId val="{00000001-7A59-4D3A-8585-E5FC4B9B2ABF}"/>
            </c:ext>
          </c:extLst>
        </c:ser>
        <c:dLbls>
          <c:showLegendKey val="0"/>
          <c:showVal val="0"/>
          <c:showCatName val="0"/>
          <c:showSerName val="0"/>
          <c:showPercent val="0"/>
          <c:showBubbleSize val="0"/>
        </c:dLbls>
        <c:gapWidth val="219"/>
        <c:axId val="1134452832"/>
        <c:axId val="1134455328"/>
      </c:barChart>
      <c:lineChart>
        <c:grouping val="standard"/>
        <c:varyColors val="0"/>
        <c:ser>
          <c:idx val="1"/>
          <c:order val="1"/>
          <c:tx>
            <c:strRef>
              <c:f>Report!$C$29</c:f>
              <c:strCache>
                <c:ptCount val="1"/>
                <c:pt idx="0">
                  <c:v>Sum of Discount_Amount</c:v>
                </c:pt>
              </c:strCache>
            </c:strRef>
          </c:tx>
          <c:spPr>
            <a:ln w="28575" cap="rnd">
              <a:solidFill>
                <a:schemeClr val="accent2"/>
              </a:solidFill>
              <a:round/>
            </a:ln>
            <a:effectLst/>
          </c:spPr>
          <c:marker>
            <c:symbol val="circle"/>
            <c:size val="5"/>
            <c:spPr>
              <a:solidFill>
                <a:sysClr val="window" lastClr="FFFFFF"/>
              </a:solidFill>
              <a:ln w="9525">
                <a:solidFill>
                  <a:schemeClr val="tx1"/>
                </a:solidFill>
              </a:ln>
              <a:effectLst/>
            </c:spPr>
          </c:marker>
          <c:cat>
            <c:strRef>
              <c:f>Report!$A$30:$A$32</c:f>
              <c:strCache>
                <c:ptCount val="2"/>
                <c:pt idx="0">
                  <c:v>2023</c:v>
                </c:pt>
                <c:pt idx="1">
                  <c:v>2024</c:v>
                </c:pt>
              </c:strCache>
            </c:strRef>
          </c:cat>
          <c:val>
            <c:numRef>
              <c:f>Report!$C$30:$C$32</c:f>
              <c:numCache>
                <c:formatCode>General</c:formatCode>
                <c:ptCount val="2"/>
                <c:pt idx="0">
                  <c:v>315029.28000000003</c:v>
                </c:pt>
                <c:pt idx="1">
                  <c:v>402933.6300000003</c:v>
                </c:pt>
              </c:numCache>
            </c:numRef>
          </c:val>
          <c:smooth val="0"/>
          <c:extLst>
            <c:ext xmlns:c16="http://schemas.microsoft.com/office/drawing/2014/chart" uri="{C3380CC4-5D6E-409C-BE32-E72D297353CC}">
              <c16:uniqueId val="{00000002-7A59-4D3A-8585-E5FC4B9B2ABF}"/>
            </c:ext>
          </c:extLst>
        </c:ser>
        <c:dLbls>
          <c:showLegendKey val="0"/>
          <c:showVal val="0"/>
          <c:showCatName val="0"/>
          <c:showSerName val="0"/>
          <c:showPercent val="0"/>
          <c:showBubbleSize val="0"/>
        </c:dLbls>
        <c:marker val="1"/>
        <c:smooth val="0"/>
        <c:axId val="1134453664"/>
        <c:axId val="1134458656"/>
      </c:lineChart>
      <c:catAx>
        <c:axId val="113445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5328"/>
        <c:crosses val="autoZero"/>
        <c:auto val="1"/>
        <c:lblAlgn val="ctr"/>
        <c:lblOffset val="100"/>
        <c:noMultiLvlLbl val="0"/>
      </c:catAx>
      <c:valAx>
        <c:axId val="113445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2832"/>
        <c:crosses val="autoZero"/>
        <c:crossBetween val="between"/>
      </c:valAx>
      <c:valAx>
        <c:axId val="11344586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3664"/>
        <c:crosses val="max"/>
        <c:crossBetween val="between"/>
      </c:valAx>
      <c:catAx>
        <c:axId val="1134453664"/>
        <c:scaling>
          <c:orientation val="minMax"/>
        </c:scaling>
        <c:delete val="1"/>
        <c:axPos val="b"/>
        <c:numFmt formatCode="General" sourceLinked="1"/>
        <c:majorTickMark val="out"/>
        <c:minorTickMark val="none"/>
        <c:tickLblPos val="nextTo"/>
        <c:crossAx val="11344586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[Retail_Sales.xlsm]Report!PivotTable8</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ln w="28575" cap="rnd">
            <a:solidFill>
              <a:schemeClr val="accent1"/>
            </a:solidFill>
            <a:round/>
          </a:ln>
          <a:effectLst/>
        </c:spPr>
        <c:marker>
          <c:symbol val="circle"/>
          <c:size val="5"/>
          <c:spPr>
            <a:solidFill>
              <a:schemeClr val="bg1"/>
            </a:solidFill>
            <a:ln w="9525">
              <a:solidFill>
                <a:schemeClr val="tx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ln w="28575" cap="rnd">
            <a:solidFill>
              <a:schemeClr val="accent1"/>
            </a:solidFill>
            <a:round/>
          </a:ln>
          <a:effectLst/>
        </c:spPr>
        <c:marker>
          <c:symbol val="circle"/>
          <c:size val="5"/>
          <c:spPr>
            <a:solidFill>
              <a:schemeClr val="bg1"/>
            </a:solidFill>
            <a:ln w="9525">
              <a:solidFill>
                <a:schemeClr val="tx1"/>
              </a:solidFill>
            </a:ln>
            <a:effectLst/>
          </c:spPr>
        </c:marker>
      </c:pivotFmt>
      <c:pivotFmt>
        <c:idx val="7"/>
        <c:spPr>
          <a:ln w="28575" cap="rnd">
            <a:solidFill>
              <a:schemeClr val="accent1"/>
            </a:solidFill>
            <a:round/>
          </a:ln>
          <a:effectLst/>
        </c:spPr>
        <c:marker>
          <c:symbol val="circle"/>
          <c:size val="5"/>
          <c:spPr>
            <a:solidFill>
              <a:schemeClr val="bg1"/>
            </a:solidFill>
            <a:ln w="9525">
              <a:solidFill>
                <a:schemeClr val="tx1"/>
              </a:solidFill>
            </a:ln>
            <a:effectLst/>
          </c:spPr>
        </c:marker>
      </c:pivotFmt>
      <c:pivotFmt>
        <c:idx val="8"/>
        <c:spPr>
          <a:ln w="28575" cap="rnd">
            <a:solidFill>
              <a:schemeClr val="accent1"/>
            </a:solidFill>
            <a:round/>
          </a:ln>
          <a:effectLst/>
        </c:spPr>
        <c:marker>
          <c:symbol val="circle"/>
          <c:size val="5"/>
          <c:spPr>
            <a:solidFill>
              <a:schemeClr val="bg1"/>
            </a:solidFill>
            <a:ln w="9525">
              <a:solidFill>
                <a:schemeClr val="tx1"/>
              </a:solidFill>
            </a:ln>
            <a:effectLst/>
          </c:spPr>
        </c:marker>
      </c:pivotFmt>
    </c:pivotFmts>
    <c:plotArea>
      <c:layout/>
      <c:lineChart>
        <c:grouping val="standard"/>
        <c:varyColors val="0"/>
        <c:ser>
          <c:idx val="0"/>
          <c:order val="0"/>
          <c:tx>
            <c:strRef>
              <c:f>Report!$B$40</c:f>
              <c:strCache>
                <c:ptCount val="1"/>
                <c:pt idx="0">
                  <c:v>Total</c:v>
                </c:pt>
              </c:strCache>
            </c:strRef>
          </c:tx>
          <c:spPr>
            <a:ln w="28575" cap="rnd">
              <a:solidFill>
                <a:schemeClr val="accent1"/>
              </a:solidFill>
              <a:round/>
            </a:ln>
            <a:effectLst/>
          </c:spPr>
          <c:marker>
            <c:symbol val="circle"/>
            <c:size val="5"/>
            <c:spPr>
              <a:solidFill>
                <a:schemeClr val="bg1"/>
              </a:solidFill>
              <a:ln w="9525">
                <a:solidFill>
                  <a:schemeClr val="tx1"/>
                </a:solidFill>
              </a:ln>
              <a:effectLst/>
            </c:spPr>
          </c:marker>
          <c:dPt>
            <c:idx val="0"/>
            <c:marker>
              <c:symbol val="circle"/>
              <c:size val="5"/>
              <c:spPr>
                <a:solidFill>
                  <a:schemeClr val="bg1"/>
                </a:solidFill>
                <a:ln w="9525">
                  <a:solidFill>
                    <a:schemeClr val="tx1"/>
                  </a:solidFill>
                </a:ln>
                <a:effectLst/>
              </c:spPr>
            </c:marker>
            <c:bubble3D val="0"/>
            <c:spPr>
              <a:ln w="28575" cap="rnd">
                <a:solidFill>
                  <a:schemeClr val="accent1"/>
                </a:solidFill>
                <a:round/>
              </a:ln>
              <a:effectLst/>
            </c:spPr>
            <c:extLst>
              <c:ext xmlns:c16="http://schemas.microsoft.com/office/drawing/2014/chart" uri="{C3380CC4-5D6E-409C-BE32-E72D297353CC}">
                <c16:uniqueId val="{00000001-8E2C-4DDB-B756-CC3206F9F981}"/>
              </c:ext>
            </c:extLst>
          </c:dPt>
          <c:dPt>
            <c:idx val="1"/>
            <c:marker>
              <c:symbol val="circle"/>
              <c:size val="5"/>
              <c:spPr>
                <a:solidFill>
                  <a:schemeClr val="bg1"/>
                </a:solidFill>
                <a:ln w="9525">
                  <a:solidFill>
                    <a:schemeClr val="tx1"/>
                  </a:solidFill>
                </a:ln>
                <a:effectLst/>
              </c:spPr>
            </c:marker>
            <c:bubble3D val="0"/>
            <c:spPr>
              <a:ln w="28575" cap="rnd">
                <a:solidFill>
                  <a:schemeClr val="accent1"/>
                </a:solidFill>
                <a:round/>
              </a:ln>
              <a:effectLst/>
            </c:spPr>
            <c:extLst>
              <c:ext xmlns:c16="http://schemas.microsoft.com/office/drawing/2014/chart" uri="{C3380CC4-5D6E-409C-BE32-E72D297353CC}">
                <c16:uniqueId val="{00000003-8E2C-4DDB-B756-CC3206F9F981}"/>
              </c:ext>
            </c:extLst>
          </c:dPt>
          <c:dPt>
            <c:idx val="2"/>
            <c:marker>
              <c:symbol val="circle"/>
              <c:size val="5"/>
              <c:spPr>
                <a:solidFill>
                  <a:schemeClr val="bg1"/>
                </a:solidFill>
                <a:ln w="9525">
                  <a:solidFill>
                    <a:schemeClr val="tx1"/>
                  </a:solidFill>
                </a:ln>
                <a:effectLst/>
              </c:spPr>
            </c:marker>
            <c:bubble3D val="0"/>
            <c:extLst>
              <c:ext xmlns:c16="http://schemas.microsoft.com/office/drawing/2014/chart" uri="{C3380CC4-5D6E-409C-BE32-E72D297353CC}">
                <c16:uniqueId val="{00000005-8E2C-4DDB-B756-CC3206F9F981}"/>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Report!$A$41:$A$43</c:f>
              <c:strCache>
                <c:ptCount val="2"/>
                <c:pt idx="0">
                  <c:v>2023</c:v>
                </c:pt>
                <c:pt idx="1">
                  <c:v>2024</c:v>
                </c:pt>
              </c:strCache>
            </c:strRef>
          </c:cat>
          <c:val>
            <c:numRef>
              <c:f>Report!$B$41:$B$43</c:f>
              <c:numCache>
                <c:formatCode>0.00%</c:formatCode>
                <c:ptCount val="2"/>
                <c:pt idx="0">
                  <c:v>0.50817270354523825</c:v>
                </c:pt>
                <c:pt idx="1">
                  <c:v>0.49182729645476181</c:v>
                </c:pt>
              </c:numCache>
            </c:numRef>
          </c:val>
          <c:smooth val="0"/>
          <c:extLst>
            <c:ext xmlns:c16="http://schemas.microsoft.com/office/drawing/2014/chart" uri="{C3380CC4-5D6E-409C-BE32-E72D297353CC}">
              <c16:uniqueId val="{00000006-8E2C-4DDB-B756-CC3206F9F981}"/>
            </c:ext>
          </c:extLst>
        </c:ser>
        <c:dLbls>
          <c:showLegendKey val="0"/>
          <c:showVal val="0"/>
          <c:showCatName val="0"/>
          <c:showSerName val="0"/>
          <c:showPercent val="0"/>
          <c:showBubbleSize val="0"/>
        </c:dLbls>
        <c:marker val="1"/>
        <c:smooth val="0"/>
        <c:axId val="1785086448"/>
        <c:axId val="1785086864"/>
      </c:lineChart>
      <c:catAx>
        <c:axId val="17850864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5086864"/>
        <c:crosses val="autoZero"/>
        <c:auto val="1"/>
        <c:lblAlgn val="ctr"/>
        <c:lblOffset val="100"/>
        <c:noMultiLvlLbl val="0"/>
      </c:catAx>
      <c:valAx>
        <c:axId val="178508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508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304800</xdr:colOff>
      <xdr:row>0</xdr:row>
      <xdr:rowOff>127000</xdr:rowOff>
    </xdr:from>
    <xdr:to>
      <xdr:col>15</xdr:col>
      <xdr:colOff>101600</xdr:colOff>
      <xdr:row>2</xdr:row>
      <xdr:rowOff>165100</xdr:rowOff>
    </xdr:to>
    <xdr:grpSp>
      <xdr:nvGrpSpPr>
        <xdr:cNvPr id="15" name="Group 14">
          <a:extLst>
            <a:ext uri="{FF2B5EF4-FFF2-40B4-BE49-F238E27FC236}">
              <a16:creationId xmlns:a16="http://schemas.microsoft.com/office/drawing/2014/main" id="{C04376A5-671A-4131-2645-CE325CD2C73D}"/>
            </a:ext>
          </a:extLst>
        </xdr:cNvPr>
        <xdr:cNvGrpSpPr/>
      </xdr:nvGrpSpPr>
      <xdr:grpSpPr>
        <a:xfrm>
          <a:off x="1347028" y="127000"/>
          <a:ext cx="8514246" cy="410817"/>
          <a:chOff x="1348409" y="114300"/>
          <a:chExt cx="8230428" cy="415235"/>
        </a:xfrm>
      </xdr:grpSpPr>
      <xdr:sp macro="" textlink="">
        <xdr:nvSpPr>
          <xdr:cNvPr id="2" name="Rectangle 1">
            <a:extLst>
              <a:ext uri="{FF2B5EF4-FFF2-40B4-BE49-F238E27FC236}">
                <a16:creationId xmlns:a16="http://schemas.microsoft.com/office/drawing/2014/main" id="{F6229B11-0C5D-594E-45B6-BFBCA5EFD8F4}"/>
              </a:ext>
            </a:extLst>
          </xdr:cNvPr>
          <xdr:cNvSpPr/>
        </xdr:nvSpPr>
        <xdr:spPr>
          <a:xfrm>
            <a:off x="1348409" y="114300"/>
            <a:ext cx="8230428" cy="415235"/>
          </a:xfrm>
          <a:prstGeom prst="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A7C7CCAE-A20B-D51F-FC19-269734C4A9DD}"/>
              </a:ext>
            </a:extLst>
          </xdr:cNvPr>
          <xdr:cNvSpPr txBox="1"/>
        </xdr:nvSpPr>
        <xdr:spPr>
          <a:xfrm>
            <a:off x="1411909" y="139700"/>
            <a:ext cx="6219963" cy="377135"/>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Retail Sales Performance Dashbord</a:t>
            </a:r>
          </a:p>
        </xdr:txBody>
      </xdr:sp>
    </xdr:grpSp>
    <xdr:clientData/>
  </xdr:twoCellAnchor>
  <xdr:twoCellAnchor>
    <xdr:from>
      <xdr:col>1</xdr:col>
      <xdr:colOff>304800</xdr:colOff>
      <xdr:row>3</xdr:row>
      <xdr:rowOff>118441</xdr:rowOff>
    </xdr:from>
    <xdr:to>
      <xdr:col>3</xdr:col>
      <xdr:colOff>139700</xdr:colOff>
      <xdr:row>6</xdr:row>
      <xdr:rowOff>150191</xdr:rowOff>
    </xdr:to>
    <xdr:grpSp>
      <xdr:nvGrpSpPr>
        <xdr:cNvPr id="43" name="Group 42">
          <a:extLst>
            <a:ext uri="{FF2B5EF4-FFF2-40B4-BE49-F238E27FC236}">
              <a16:creationId xmlns:a16="http://schemas.microsoft.com/office/drawing/2014/main" id="{5A3E2945-3FDD-27C8-DA7E-0EE59043A4EB}"/>
            </a:ext>
          </a:extLst>
        </xdr:cNvPr>
        <xdr:cNvGrpSpPr/>
      </xdr:nvGrpSpPr>
      <xdr:grpSpPr>
        <a:xfrm>
          <a:off x="1347028" y="677517"/>
          <a:ext cx="1049683" cy="590826"/>
          <a:chOff x="1348409" y="747920"/>
          <a:chExt cx="1049682" cy="578402"/>
        </a:xfrm>
      </xdr:grpSpPr>
      <xdr:sp macro="" textlink="">
        <xdr:nvSpPr>
          <xdr:cNvPr id="3" name="Rectangle 2">
            <a:extLst>
              <a:ext uri="{FF2B5EF4-FFF2-40B4-BE49-F238E27FC236}">
                <a16:creationId xmlns:a16="http://schemas.microsoft.com/office/drawing/2014/main" id="{A5E8B5AA-E8C8-7C0D-97A7-3BA7BD73D0A9}"/>
              </a:ext>
            </a:extLst>
          </xdr:cNvPr>
          <xdr:cNvSpPr/>
        </xdr:nvSpPr>
        <xdr:spPr>
          <a:xfrm>
            <a:off x="1348409"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Report!$C$11">
        <xdr:nvSpPr>
          <xdr:cNvPr id="16" name="TextBox 15">
            <a:extLst>
              <a:ext uri="{FF2B5EF4-FFF2-40B4-BE49-F238E27FC236}">
                <a16:creationId xmlns:a16="http://schemas.microsoft.com/office/drawing/2014/main" id="{C50898DD-C403-9819-5E7C-AFFC67C8A2D2}"/>
              </a:ext>
            </a:extLst>
          </xdr:cNvPr>
          <xdr:cNvSpPr txBox="1"/>
        </xdr:nvSpPr>
        <xdr:spPr>
          <a:xfrm>
            <a:off x="1369391" y="1038087"/>
            <a:ext cx="1010479" cy="254000"/>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9E58EC-B100-4744-97D9-154CC87581E3}" type="TxLink">
              <a:rPr lang="en-US" sz="1200" b="1" i="0" u="none" strike="noStrike">
                <a:solidFill>
                  <a:schemeClr val="bg1"/>
                </a:solidFill>
                <a:latin typeface="Calibri"/>
                <a:ea typeface="Calibri"/>
                <a:cs typeface="Calibri"/>
              </a:rPr>
              <a:pPr algn="l"/>
              <a:t>$7,245,934</a:t>
            </a:fld>
            <a:endParaRPr lang="en-US" sz="1200" b="1">
              <a:solidFill>
                <a:schemeClr val="bg1"/>
              </a:solidFill>
            </a:endParaRPr>
          </a:p>
        </xdr:txBody>
      </xdr:sp>
      <xdr:sp macro="" textlink="">
        <xdr:nvSpPr>
          <xdr:cNvPr id="17" name="TextBox 16">
            <a:extLst>
              <a:ext uri="{FF2B5EF4-FFF2-40B4-BE49-F238E27FC236}">
                <a16:creationId xmlns:a16="http://schemas.microsoft.com/office/drawing/2014/main" id="{F81B14B7-5A25-1EDF-3520-49B446EC5E99}"/>
              </a:ext>
            </a:extLst>
          </xdr:cNvPr>
          <xdr:cNvSpPr txBox="1"/>
        </xdr:nvSpPr>
        <xdr:spPr>
          <a:xfrm>
            <a:off x="1369391"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Revenue</a:t>
            </a:r>
          </a:p>
        </xdr:txBody>
      </xdr:sp>
    </xdr:grpSp>
    <xdr:clientData/>
  </xdr:twoCellAnchor>
  <xdr:twoCellAnchor>
    <xdr:from>
      <xdr:col>3</xdr:col>
      <xdr:colOff>583097</xdr:colOff>
      <xdr:row>3</xdr:row>
      <xdr:rowOff>105741</xdr:rowOff>
    </xdr:from>
    <xdr:to>
      <xdr:col>5</xdr:col>
      <xdr:colOff>419100</xdr:colOff>
      <xdr:row>6</xdr:row>
      <xdr:rowOff>137491</xdr:rowOff>
    </xdr:to>
    <xdr:grpSp>
      <xdr:nvGrpSpPr>
        <xdr:cNvPr id="42" name="Group 41">
          <a:extLst>
            <a:ext uri="{FF2B5EF4-FFF2-40B4-BE49-F238E27FC236}">
              <a16:creationId xmlns:a16="http://schemas.microsoft.com/office/drawing/2014/main" id="{6EC8CF5E-0F63-8776-5A46-AFECE097CD7A}"/>
            </a:ext>
          </a:extLst>
        </xdr:cNvPr>
        <xdr:cNvGrpSpPr/>
      </xdr:nvGrpSpPr>
      <xdr:grpSpPr>
        <a:xfrm>
          <a:off x="2840108" y="664817"/>
          <a:ext cx="1264753" cy="590826"/>
          <a:chOff x="2633870" y="747920"/>
          <a:chExt cx="1050786" cy="578402"/>
        </a:xfrm>
      </xdr:grpSpPr>
      <xdr:grpSp>
        <xdr:nvGrpSpPr>
          <xdr:cNvPr id="28" name="Group 27">
            <a:extLst>
              <a:ext uri="{FF2B5EF4-FFF2-40B4-BE49-F238E27FC236}">
                <a16:creationId xmlns:a16="http://schemas.microsoft.com/office/drawing/2014/main" id="{A43DE1C6-486D-DE1D-7135-2A01E13C129C}"/>
              </a:ext>
            </a:extLst>
          </xdr:cNvPr>
          <xdr:cNvGrpSpPr/>
        </xdr:nvGrpSpPr>
        <xdr:grpSpPr>
          <a:xfrm>
            <a:off x="2634974" y="747920"/>
            <a:ext cx="1049682" cy="578402"/>
            <a:chOff x="2634974" y="747920"/>
            <a:chExt cx="1049682" cy="578402"/>
          </a:xfrm>
        </xdr:grpSpPr>
        <xdr:sp macro="" textlink="">
          <xdr:nvSpPr>
            <xdr:cNvPr id="18" name="Rectangle 17">
              <a:extLst>
                <a:ext uri="{FF2B5EF4-FFF2-40B4-BE49-F238E27FC236}">
                  <a16:creationId xmlns:a16="http://schemas.microsoft.com/office/drawing/2014/main" id="{F803879D-22C1-38CC-5A4E-CE2ECE76C417}"/>
                </a:ext>
              </a:extLst>
            </xdr:cNvPr>
            <xdr:cNvSpPr/>
          </xdr:nvSpPr>
          <xdr:spPr>
            <a:xfrm>
              <a:off x="2634974"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$3,190,958</a:t>
              </a:r>
            </a:p>
          </xdr:txBody>
        </xdr:sp>
        <xdr:sp macro="" textlink="">
          <xdr:nvSpPr>
            <xdr:cNvPr id="19" name="TextBox 18">
              <a:extLst>
                <a:ext uri="{FF2B5EF4-FFF2-40B4-BE49-F238E27FC236}">
                  <a16:creationId xmlns:a16="http://schemas.microsoft.com/office/drawing/2014/main" id="{56226047-D676-50FF-6EDB-65D62DFA6BA1}"/>
                </a:ext>
              </a:extLst>
            </xdr:cNvPr>
            <xdr:cNvSpPr txBox="1"/>
          </xdr:nvSpPr>
          <xdr:spPr>
            <a:xfrm>
              <a:off x="2655956"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Profit</a:t>
              </a:r>
            </a:p>
          </xdr:txBody>
        </xdr:sp>
      </xdr:grpSp>
      <xdr:sp macro="" textlink="Report!$B$11">
        <xdr:nvSpPr>
          <xdr:cNvPr id="33" name="TextBox 32">
            <a:extLst>
              <a:ext uri="{FF2B5EF4-FFF2-40B4-BE49-F238E27FC236}">
                <a16:creationId xmlns:a16="http://schemas.microsoft.com/office/drawing/2014/main" id="{DD39FDFE-6AFB-521F-1712-7DFD4CC4F898}"/>
              </a:ext>
            </a:extLst>
          </xdr:cNvPr>
          <xdr:cNvSpPr txBox="1"/>
        </xdr:nvSpPr>
        <xdr:spPr>
          <a:xfrm>
            <a:off x="2633870" y="1010478"/>
            <a:ext cx="1038087" cy="303696"/>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883A6EB-7579-4DDB-8877-B55C76EA8DF6}" type="TxLink">
              <a:rPr lang="en-US" sz="1200" b="1" i="0" u="none" strike="noStrike">
                <a:solidFill>
                  <a:schemeClr val="bg1"/>
                </a:solidFill>
                <a:latin typeface="Calibri"/>
                <a:ea typeface="Calibri"/>
                <a:cs typeface="Calibri"/>
              </a:rPr>
              <a:pPr marL="0" indent="0" algn="l"/>
              <a:t>$2,236,468</a:t>
            </a:fld>
            <a:endParaRPr lang="en-US" sz="1200" b="1" i="0" u="none" strike="noStrike">
              <a:solidFill>
                <a:schemeClr val="bg1"/>
              </a:solidFill>
              <a:latin typeface="Calibri"/>
              <a:ea typeface="Calibri"/>
              <a:cs typeface="Calibri"/>
            </a:endParaRPr>
          </a:p>
        </xdr:txBody>
      </xdr:sp>
    </xdr:grpSp>
    <xdr:clientData/>
  </xdr:twoCellAnchor>
  <xdr:twoCellAnchor>
    <xdr:from>
      <xdr:col>6</xdr:col>
      <xdr:colOff>150192</xdr:colOff>
      <xdr:row>3</xdr:row>
      <xdr:rowOff>118441</xdr:rowOff>
    </xdr:from>
    <xdr:to>
      <xdr:col>7</xdr:col>
      <xdr:colOff>592482</xdr:colOff>
      <xdr:row>6</xdr:row>
      <xdr:rowOff>150191</xdr:rowOff>
    </xdr:to>
    <xdr:grpSp>
      <xdr:nvGrpSpPr>
        <xdr:cNvPr id="41" name="Group 40">
          <a:extLst>
            <a:ext uri="{FF2B5EF4-FFF2-40B4-BE49-F238E27FC236}">
              <a16:creationId xmlns:a16="http://schemas.microsoft.com/office/drawing/2014/main" id="{A51A3C00-9872-0D9A-E124-3DE3A7779993}"/>
            </a:ext>
          </a:extLst>
        </xdr:cNvPr>
        <xdr:cNvGrpSpPr/>
      </xdr:nvGrpSpPr>
      <xdr:grpSpPr>
        <a:xfrm>
          <a:off x="4443344" y="677517"/>
          <a:ext cx="1049681" cy="590826"/>
          <a:chOff x="3871844" y="747920"/>
          <a:chExt cx="1049682" cy="578402"/>
        </a:xfrm>
      </xdr:grpSpPr>
      <xdr:grpSp>
        <xdr:nvGrpSpPr>
          <xdr:cNvPr id="29" name="Group 28">
            <a:extLst>
              <a:ext uri="{FF2B5EF4-FFF2-40B4-BE49-F238E27FC236}">
                <a16:creationId xmlns:a16="http://schemas.microsoft.com/office/drawing/2014/main" id="{198C0780-C3DE-C636-FD09-2AF5AE1D06EA}"/>
              </a:ext>
            </a:extLst>
          </xdr:cNvPr>
          <xdr:cNvGrpSpPr/>
        </xdr:nvGrpSpPr>
        <xdr:grpSpPr>
          <a:xfrm>
            <a:off x="3871844" y="747920"/>
            <a:ext cx="1049682" cy="578402"/>
            <a:chOff x="3871844" y="747920"/>
            <a:chExt cx="1049682" cy="578402"/>
          </a:xfrm>
        </xdr:grpSpPr>
        <xdr:sp macro="" textlink="">
          <xdr:nvSpPr>
            <xdr:cNvPr id="20" name="Rectangle 19">
              <a:extLst>
                <a:ext uri="{FF2B5EF4-FFF2-40B4-BE49-F238E27FC236}">
                  <a16:creationId xmlns:a16="http://schemas.microsoft.com/office/drawing/2014/main" id="{29D69F93-AE8D-FA0A-6167-C6C16F960693}"/>
                </a:ext>
              </a:extLst>
            </xdr:cNvPr>
            <xdr:cNvSpPr/>
          </xdr:nvSpPr>
          <xdr:spPr>
            <a:xfrm>
              <a:off x="3871844"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08818564-F6DA-7D77-27A3-2306768835BF}"/>
                </a:ext>
              </a:extLst>
            </xdr:cNvPr>
            <xdr:cNvSpPr txBox="1"/>
          </xdr:nvSpPr>
          <xdr:spPr>
            <a:xfrm>
              <a:off x="3892826"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Avg</a:t>
              </a:r>
              <a:r>
                <a:rPr lang="en-US" sz="900" baseline="0">
                  <a:solidFill>
                    <a:schemeClr val="bg1"/>
                  </a:solidFill>
                </a:rPr>
                <a:t> Discount Amt</a:t>
              </a:r>
              <a:endParaRPr lang="en-US" sz="900">
                <a:solidFill>
                  <a:schemeClr val="bg1"/>
                </a:solidFill>
              </a:endParaRPr>
            </a:p>
          </xdr:txBody>
        </xdr:sp>
      </xdr:grpSp>
      <xdr:sp macro="" textlink="Report!$A$11">
        <xdr:nvSpPr>
          <xdr:cNvPr id="34" name="TextBox 33">
            <a:extLst>
              <a:ext uri="{FF2B5EF4-FFF2-40B4-BE49-F238E27FC236}">
                <a16:creationId xmlns:a16="http://schemas.microsoft.com/office/drawing/2014/main" id="{0AB84CBF-83C9-0C11-B221-975AB0176BD9}"/>
              </a:ext>
            </a:extLst>
          </xdr:cNvPr>
          <xdr:cNvSpPr txBox="1"/>
        </xdr:nvSpPr>
        <xdr:spPr>
          <a:xfrm>
            <a:off x="3898348" y="1016000"/>
            <a:ext cx="1010478" cy="281609"/>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3C7C4E-B998-4994-98E2-67C2D0D3B8D4}" type="TxLink">
              <a:rPr lang="en-US" sz="1200" b="1" i="0" u="none" strike="noStrike">
                <a:solidFill>
                  <a:schemeClr val="bg1"/>
                </a:solidFill>
                <a:latin typeface="Calibri"/>
                <a:ea typeface="Calibri"/>
                <a:cs typeface="Calibri"/>
              </a:rPr>
              <a:pPr marL="0" indent="0" algn="ctr"/>
              <a:t>$273.51</a:t>
            </a:fld>
            <a:endParaRPr lang="en-US" sz="1200" b="1" i="0" u="none" strike="noStrike">
              <a:solidFill>
                <a:schemeClr val="bg1"/>
              </a:solidFill>
              <a:latin typeface="Calibri"/>
              <a:ea typeface="Calibri"/>
              <a:cs typeface="Calibri"/>
            </a:endParaRPr>
          </a:p>
        </xdr:txBody>
      </xdr:sp>
    </xdr:grpSp>
    <xdr:clientData/>
  </xdr:twoCellAnchor>
  <xdr:twoCellAnchor>
    <xdr:from>
      <xdr:col>8</xdr:col>
      <xdr:colOff>360017</xdr:colOff>
      <xdr:row>3</xdr:row>
      <xdr:rowOff>118441</xdr:rowOff>
    </xdr:from>
    <xdr:to>
      <xdr:col>10</xdr:col>
      <xdr:colOff>194917</xdr:colOff>
      <xdr:row>6</xdr:row>
      <xdr:rowOff>150191</xdr:rowOff>
    </xdr:to>
    <xdr:grpSp>
      <xdr:nvGrpSpPr>
        <xdr:cNvPr id="40" name="Group 39">
          <a:extLst>
            <a:ext uri="{FF2B5EF4-FFF2-40B4-BE49-F238E27FC236}">
              <a16:creationId xmlns:a16="http://schemas.microsoft.com/office/drawing/2014/main" id="{88EC6F2C-A696-548A-920A-A1939EF19A5B}"/>
            </a:ext>
          </a:extLst>
        </xdr:cNvPr>
        <xdr:cNvGrpSpPr/>
      </xdr:nvGrpSpPr>
      <xdr:grpSpPr>
        <a:xfrm>
          <a:off x="5867952" y="677517"/>
          <a:ext cx="1049682" cy="590826"/>
          <a:chOff x="5119757" y="747920"/>
          <a:chExt cx="1049682" cy="578402"/>
        </a:xfrm>
      </xdr:grpSpPr>
      <xdr:grpSp>
        <xdr:nvGrpSpPr>
          <xdr:cNvPr id="30" name="Group 29">
            <a:extLst>
              <a:ext uri="{FF2B5EF4-FFF2-40B4-BE49-F238E27FC236}">
                <a16:creationId xmlns:a16="http://schemas.microsoft.com/office/drawing/2014/main" id="{D628A6EB-E509-CD16-EFFD-660DF261DAAF}"/>
              </a:ext>
            </a:extLst>
          </xdr:cNvPr>
          <xdr:cNvGrpSpPr/>
        </xdr:nvGrpSpPr>
        <xdr:grpSpPr>
          <a:xfrm>
            <a:off x="5119757" y="747920"/>
            <a:ext cx="1049682" cy="578402"/>
            <a:chOff x="5119757" y="747920"/>
            <a:chExt cx="1049682" cy="578402"/>
          </a:xfrm>
        </xdr:grpSpPr>
        <xdr:sp macro="" textlink="">
          <xdr:nvSpPr>
            <xdr:cNvPr id="22" name="Rectangle 21">
              <a:extLst>
                <a:ext uri="{FF2B5EF4-FFF2-40B4-BE49-F238E27FC236}">
                  <a16:creationId xmlns:a16="http://schemas.microsoft.com/office/drawing/2014/main" id="{801B15E8-EA10-273D-0910-D6B0838AED23}"/>
                </a:ext>
              </a:extLst>
            </xdr:cNvPr>
            <xdr:cNvSpPr/>
          </xdr:nvSpPr>
          <xdr:spPr>
            <a:xfrm>
              <a:off x="5119757"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81640027-2BD7-17B0-B58A-5BE492D3D40C}"/>
                </a:ext>
              </a:extLst>
            </xdr:cNvPr>
            <xdr:cNvSpPr txBox="1"/>
          </xdr:nvSpPr>
          <xdr:spPr>
            <a:xfrm>
              <a:off x="5140739"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a:t>
              </a:r>
              <a:r>
                <a:rPr lang="en-US" sz="900" baseline="0">
                  <a:solidFill>
                    <a:schemeClr val="bg1"/>
                  </a:solidFill>
                </a:rPr>
                <a:t> Orders</a:t>
              </a:r>
              <a:endParaRPr lang="en-US" sz="900">
                <a:solidFill>
                  <a:schemeClr val="bg1"/>
                </a:solidFill>
              </a:endParaRPr>
            </a:p>
          </xdr:txBody>
        </xdr:sp>
      </xdr:grpSp>
      <xdr:sp macro="" textlink="Report!$F$11">
        <xdr:nvSpPr>
          <xdr:cNvPr id="35" name="TextBox 34">
            <a:extLst>
              <a:ext uri="{FF2B5EF4-FFF2-40B4-BE49-F238E27FC236}">
                <a16:creationId xmlns:a16="http://schemas.microsoft.com/office/drawing/2014/main" id="{50EC39B0-225C-11C4-AB43-69A6C2075B4A}"/>
              </a:ext>
            </a:extLst>
          </xdr:cNvPr>
          <xdr:cNvSpPr txBox="1"/>
        </xdr:nvSpPr>
        <xdr:spPr>
          <a:xfrm>
            <a:off x="5129696" y="1016000"/>
            <a:ext cx="1032565" cy="292652"/>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B24E49-795C-4D83-A347-8A1B9C5F7E90}" type="TxLink">
              <a:rPr lang="en-US" sz="1200" b="1" i="0" u="none" strike="noStrike">
                <a:solidFill>
                  <a:schemeClr val="bg1"/>
                </a:solidFill>
                <a:latin typeface="Calibri"/>
                <a:ea typeface="Calibri"/>
                <a:cs typeface="Calibri"/>
              </a:rPr>
              <a:pPr marL="0" indent="0" algn="ctr"/>
              <a:t>400,724,100</a:t>
            </a:fld>
            <a:endParaRPr lang="en-US" sz="1200" b="1" i="0" u="none" strike="noStrike">
              <a:solidFill>
                <a:schemeClr val="bg1"/>
              </a:solidFill>
              <a:latin typeface="Calibri"/>
              <a:ea typeface="Calibri"/>
              <a:cs typeface="Calibri"/>
            </a:endParaRPr>
          </a:p>
        </xdr:txBody>
      </xdr:sp>
    </xdr:grpSp>
    <xdr:clientData/>
  </xdr:twoCellAnchor>
  <xdr:twoCellAnchor>
    <xdr:from>
      <xdr:col>11</xdr:col>
      <xdr:colOff>25952</xdr:colOff>
      <xdr:row>3</xdr:row>
      <xdr:rowOff>131141</xdr:rowOff>
    </xdr:from>
    <xdr:to>
      <xdr:col>12</xdr:col>
      <xdr:colOff>470451</xdr:colOff>
      <xdr:row>6</xdr:row>
      <xdr:rowOff>162891</xdr:rowOff>
    </xdr:to>
    <xdr:grpSp>
      <xdr:nvGrpSpPr>
        <xdr:cNvPr id="39" name="Group 38">
          <a:extLst>
            <a:ext uri="{FF2B5EF4-FFF2-40B4-BE49-F238E27FC236}">
              <a16:creationId xmlns:a16="http://schemas.microsoft.com/office/drawing/2014/main" id="{209A737A-5BF5-9ED1-46F5-76AD6809C139}"/>
            </a:ext>
          </a:extLst>
        </xdr:cNvPr>
        <xdr:cNvGrpSpPr/>
      </xdr:nvGrpSpPr>
      <xdr:grpSpPr>
        <a:xfrm>
          <a:off x="7356061" y="690217"/>
          <a:ext cx="1051890" cy="590826"/>
          <a:chOff x="6340061" y="747920"/>
          <a:chExt cx="1049682" cy="578402"/>
        </a:xfrm>
      </xdr:grpSpPr>
      <xdr:grpSp>
        <xdr:nvGrpSpPr>
          <xdr:cNvPr id="31" name="Group 30">
            <a:extLst>
              <a:ext uri="{FF2B5EF4-FFF2-40B4-BE49-F238E27FC236}">
                <a16:creationId xmlns:a16="http://schemas.microsoft.com/office/drawing/2014/main" id="{196FF8A2-FD28-ADD2-4C5F-5D24E4270606}"/>
              </a:ext>
            </a:extLst>
          </xdr:cNvPr>
          <xdr:cNvGrpSpPr/>
        </xdr:nvGrpSpPr>
        <xdr:grpSpPr>
          <a:xfrm>
            <a:off x="6340061" y="747920"/>
            <a:ext cx="1049682" cy="578402"/>
            <a:chOff x="6340061" y="747920"/>
            <a:chExt cx="1049682" cy="578402"/>
          </a:xfrm>
        </xdr:grpSpPr>
        <xdr:sp macro="" textlink="">
          <xdr:nvSpPr>
            <xdr:cNvPr id="24" name="Rectangle 23">
              <a:extLst>
                <a:ext uri="{FF2B5EF4-FFF2-40B4-BE49-F238E27FC236}">
                  <a16:creationId xmlns:a16="http://schemas.microsoft.com/office/drawing/2014/main" id="{DFB801DE-AAB5-DF11-704D-A4F08B3E2CC5}"/>
                </a:ext>
              </a:extLst>
            </xdr:cNvPr>
            <xdr:cNvSpPr/>
          </xdr:nvSpPr>
          <xdr:spPr>
            <a:xfrm>
              <a:off x="6340061"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TextBox 24">
              <a:extLst>
                <a:ext uri="{FF2B5EF4-FFF2-40B4-BE49-F238E27FC236}">
                  <a16:creationId xmlns:a16="http://schemas.microsoft.com/office/drawing/2014/main" id="{646D0908-F7E8-C61A-100D-663493AD4D9A}"/>
                </a:ext>
              </a:extLst>
            </xdr:cNvPr>
            <xdr:cNvSpPr txBox="1"/>
          </xdr:nvSpPr>
          <xdr:spPr>
            <a:xfrm>
              <a:off x="6355521"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Qty</a:t>
              </a:r>
              <a:r>
                <a:rPr lang="en-US" sz="900" baseline="0">
                  <a:solidFill>
                    <a:schemeClr val="bg1"/>
                  </a:solidFill>
                </a:rPr>
                <a:t> Sold</a:t>
              </a:r>
              <a:endParaRPr lang="en-US" sz="900">
                <a:solidFill>
                  <a:schemeClr val="bg1"/>
                </a:solidFill>
              </a:endParaRPr>
            </a:p>
          </xdr:txBody>
        </xdr:sp>
      </xdr:grpSp>
      <xdr:sp macro="" textlink="Report!$C$37">
        <xdr:nvSpPr>
          <xdr:cNvPr id="36" name="TextBox 35">
            <a:extLst>
              <a:ext uri="{FF2B5EF4-FFF2-40B4-BE49-F238E27FC236}">
                <a16:creationId xmlns:a16="http://schemas.microsoft.com/office/drawing/2014/main" id="{A7D1B88F-F2E2-A105-3669-C4C30DFE3B05}"/>
              </a:ext>
            </a:extLst>
          </xdr:cNvPr>
          <xdr:cNvSpPr txBox="1"/>
        </xdr:nvSpPr>
        <xdr:spPr>
          <a:xfrm>
            <a:off x="6361043" y="1010478"/>
            <a:ext cx="982870" cy="303696"/>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2F2F72-E292-4996-9D0C-021EDA5333CE}" type="TxLink">
              <a:rPr lang="en-US" sz="1200" b="1" i="0" u="none" strike="noStrike">
                <a:solidFill>
                  <a:schemeClr val="bg1"/>
                </a:solidFill>
                <a:latin typeface="Calibri"/>
                <a:ea typeface="Calibri"/>
                <a:cs typeface="Calibri"/>
              </a:rPr>
              <a:pPr marL="0" indent="0" algn="ctr"/>
              <a:t>19,604</a:t>
            </a:fld>
            <a:endParaRPr lang="en-US" sz="1200" b="1" i="0" u="none" strike="noStrike">
              <a:solidFill>
                <a:schemeClr val="bg1"/>
              </a:solidFill>
              <a:latin typeface="Calibri"/>
              <a:ea typeface="Calibri"/>
              <a:cs typeface="Calibri"/>
            </a:endParaRPr>
          </a:p>
        </xdr:txBody>
      </xdr:sp>
    </xdr:grpSp>
    <xdr:clientData/>
  </xdr:twoCellAnchor>
  <xdr:twoCellAnchor>
    <xdr:from>
      <xdr:col>13</xdr:col>
      <xdr:colOff>221974</xdr:colOff>
      <xdr:row>3</xdr:row>
      <xdr:rowOff>118441</xdr:rowOff>
    </xdr:from>
    <xdr:to>
      <xdr:col>15</xdr:col>
      <xdr:colOff>56873</xdr:colOff>
      <xdr:row>6</xdr:row>
      <xdr:rowOff>150191</xdr:rowOff>
    </xdr:to>
    <xdr:grpSp>
      <xdr:nvGrpSpPr>
        <xdr:cNvPr id="38" name="Group 37">
          <a:extLst>
            <a:ext uri="{FF2B5EF4-FFF2-40B4-BE49-F238E27FC236}">
              <a16:creationId xmlns:a16="http://schemas.microsoft.com/office/drawing/2014/main" id="{9FAE1813-1248-C3D9-8308-491C16DB51F1}"/>
            </a:ext>
          </a:extLst>
        </xdr:cNvPr>
        <xdr:cNvGrpSpPr/>
      </xdr:nvGrpSpPr>
      <xdr:grpSpPr>
        <a:xfrm>
          <a:off x="8766865" y="677517"/>
          <a:ext cx="1049682" cy="590826"/>
          <a:chOff x="8559800" y="747920"/>
          <a:chExt cx="1049682" cy="578402"/>
        </a:xfrm>
      </xdr:grpSpPr>
      <xdr:grpSp>
        <xdr:nvGrpSpPr>
          <xdr:cNvPr id="32" name="Group 31">
            <a:extLst>
              <a:ext uri="{FF2B5EF4-FFF2-40B4-BE49-F238E27FC236}">
                <a16:creationId xmlns:a16="http://schemas.microsoft.com/office/drawing/2014/main" id="{D71A41D8-3FA4-CDA3-F5A6-13AE9E2114D7}"/>
              </a:ext>
            </a:extLst>
          </xdr:cNvPr>
          <xdr:cNvGrpSpPr/>
        </xdr:nvGrpSpPr>
        <xdr:grpSpPr>
          <a:xfrm>
            <a:off x="8559800" y="747920"/>
            <a:ext cx="1049682" cy="578402"/>
            <a:chOff x="8559800" y="747920"/>
            <a:chExt cx="1049682" cy="578402"/>
          </a:xfrm>
        </xdr:grpSpPr>
        <xdr:sp macro="" textlink="">
          <xdr:nvSpPr>
            <xdr:cNvPr id="26" name="Rectangle 25">
              <a:extLst>
                <a:ext uri="{FF2B5EF4-FFF2-40B4-BE49-F238E27FC236}">
                  <a16:creationId xmlns:a16="http://schemas.microsoft.com/office/drawing/2014/main" id="{4E208F01-C730-4C25-9AE3-A7DE9DB13D4A}"/>
                </a:ext>
              </a:extLst>
            </xdr:cNvPr>
            <xdr:cNvSpPr/>
          </xdr:nvSpPr>
          <xdr:spPr>
            <a:xfrm>
              <a:off x="8559800"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TextBox 26">
              <a:extLst>
                <a:ext uri="{FF2B5EF4-FFF2-40B4-BE49-F238E27FC236}">
                  <a16:creationId xmlns:a16="http://schemas.microsoft.com/office/drawing/2014/main" id="{D84D0AC7-E7B3-C6BD-F7FF-9BF90DE3A614}"/>
                </a:ext>
              </a:extLst>
            </xdr:cNvPr>
            <xdr:cNvSpPr txBox="1"/>
          </xdr:nvSpPr>
          <xdr:spPr>
            <a:xfrm>
              <a:off x="8580782"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Customers</a:t>
              </a:r>
            </a:p>
          </xdr:txBody>
        </xdr:sp>
      </xdr:grpSp>
      <xdr:sp macro="" textlink="Report!$G$11">
        <xdr:nvSpPr>
          <xdr:cNvPr id="37" name="TextBox 36">
            <a:extLst>
              <a:ext uri="{FF2B5EF4-FFF2-40B4-BE49-F238E27FC236}">
                <a16:creationId xmlns:a16="http://schemas.microsoft.com/office/drawing/2014/main" id="{E6F88C44-6A58-6F5B-1BE3-C13460537435}"/>
              </a:ext>
            </a:extLst>
          </xdr:cNvPr>
          <xdr:cNvSpPr txBox="1"/>
        </xdr:nvSpPr>
        <xdr:spPr>
          <a:xfrm>
            <a:off x="8586304" y="1010478"/>
            <a:ext cx="993913" cy="303696"/>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B3B07B-D48F-4B30-AA1E-FA55FFEF2E29}" type="TxLink">
              <a:rPr lang="en-US" sz="1200" b="1" i="0" u="none" strike="noStrike">
                <a:solidFill>
                  <a:schemeClr val="bg1"/>
                </a:solidFill>
                <a:latin typeface="Calibri"/>
                <a:ea typeface="Calibri"/>
                <a:cs typeface="Calibri"/>
              </a:rPr>
              <a:pPr marL="0" indent="0" algn="ctr"/>
              <a:t>7,919,636</a:t>
            </a:fld>
            <a:endParaRPr lang="en-US" sz="1200" b="1" i="0" u="none" strike="noStrike">
              <a:solidFill>
                <a:schemeClr val="bg1"/>
              </a:solidFill>
              <a:latin typeface="Calibri"/>
              <a:ea typeface="Calibri"/>
              <a:cs typeface="Calibri"/>
            </a:endParaRPr>
          </a:p>
        </xdr:txBody>
      </xdr:sp>
    </xdr:grpSp>
    <xdr:clientData/>
  </xdr:twoCellAnchor>
  <xdr:twoCellAnchor>
    <xdr:from>
      <xdr:col>2</xdr:col>
      <xdr:colOff>12700</xdr:colOff>
      <xdr:row>22</xdr:row>
      <xdr:rowOff>6350</xdr:rowOff>
    </xdr:from>
    <xdr:to>
      <xdr:col>9</xdr:col>
      <xdr:colOff>603250</xdr:colOff>
      <xdr:row>34</xdr:row>
      <xdr:rowOff>12700</xdr:rowOff>
    </xdr:to>
    <xdr:graphicFrame macro="">
      <xdr:nvGraphicFramePr>
        <xdr:cNvPr id="5" name="Chart 4">
          <a:extLst>
            <a:ext uri="{FF2B5EF4-FFF2-40B4-BE49-F238E27FC236}">
              <a16:creationId xmlns:a16="http://schemas.microsoft.com/office/drawing/2014/main" id="{E6D40247-DF01-4D2A-8E38-56DD712C0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22</xdr:row>
      <xdr:rowOff>6350</xdr:rowOff>
    </xdr:from>
    <xdr:to>
      <xdr:col>18</xdr:col>
      <xdr:colOff>0</xdr:colOff>
      <xdr:row>34</xdr:row>
      <xdr:rowOff>38100</xdr:rowOff>
    </xdr:to>
    <xdr:graphicFrame macro="">
      <xdr:nvGraphicFramePr>
        <xdr:cNvPr id="6" name="Chart 5">
          <a:extLst>
            <a:ext uri="{FF2B5EF4-FFF2-40B4-BE49-F238E27FC236}">
              <a16:creationId xmlns:a16="http://schemas.microsoft.com/office/drawing/2014/main" id="{118DAEE7-C731-41BB-9756-B5AA442B0B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xdr:row>
      <xdr:rowOff>146051</xdr:rowOff>
    </xdr:from>
    <xdr:to>
      <xdr:col>1</xdr:col>
      <xdr:colOff>6350</xdr:colOff>
      <xdr:row>10</xdr:row>
      <xdr:rowOff>158751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0BD56E7-7E9D-E7DB-4A74-50055D0E30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18768"/>
              <a:ext cx="1048578" cy="1517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17</xdr:row>
      <xdr:rowOff>127001</xdr:rowOff>
    </xdr:from>
    <xdr:to>
      <xdr:col>1</xdr:col>
      <xdr:colOff>6350</xdr:colOff>
      <xdr:row>25</xdr:row>
      <xdr:rowOff>95250</xdr:rowOff>
    </xdr:to>
    <mc:AlternateContent xmlns:mc="http://schemas.openxmlformats.org/markup-compatibility/2006" xmlns:a14="http://schemas.microsoft.com/office/drawing/2010/main">
      <mc:Choice Requires="a14">
        <xdr:graphicFrame macro="">
          <xdr:nvGraphicFramePr>
            <xdr:cNvPr id="8" name="Product_Category">
              <a:extLst>
                <a:ext uri="{FF2B5EF4-FFF2-40B4-BE49-F238E27FC236}">
                  <a16:creationId xmlns:a16="http://schemas.microsoft.com/office/drawing/2014/main" id="{7323D1BE-66D4-D6C4-FB69-FE84FD134DE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0" y="3308903"/>
              <a:ext cx="1048578" cy="1472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10</xdr:row>
      <xdr:rowOff>165101</xdr:rowOff>
    </xdr:from>
    <xdr:to>
      <xdr:col>1</xdr:col>
      <xdr:colOff>6350</xdr:colOff>
      <xdr:row>17</xdr:row>
      <xdr:rowOff>127001</xdr:rowOff>
    </xdr:to>
    <mc:AlternateContent xmlns:mc="http://schemas.openxmlformats.org/markup-compatibility/2006" xmlns:a14="http://schemas.microsoft.com/office/drawing/2010/main">
      <mc:Choice Requires="a14">
        <xdr:graphicFrame macro="">
          <xdr:nvGraphicFramePr>
            <xdr:cNvPr id="9" name="Years (Order_Date)">
              <a:extLst>
                <a:ext uri="{FF2B5EF4-FFF2-40B4-BE49-F238E27FC236}">
                  <a16:creationId xmlns:a16="http://schemas.microsoft.com/office/drawing/2014/main" id="{5FA5F8D8-9F97-B068-39A4-AC9C03F89B1F}"/>
                </a:ext>
              </a:extLst>
            </xdr:cNvPr>
            <xdr:cNvGraphicFramePr/>
          </xdr:nvGraphicFramePr>
          <xdr:xfrm>
            <a:off x="0" y="0"/>
            <a:ext cx="0" cy="0"/>
          </xdr:xfrm>
          <a:graphic>
            <a:graphicData uri="http://schemas.microsoft.com/office/drawing/2010/slicer">
              <sle:slicer xmlns:sle="http://schemas.microsoft.com/office/drawing/2010/slicer" name="Years (Order_Date)"/>
            </a:graphicData>
          </a:graphic>
        </xdr:graphicFrame>
      </mc:Choice>
      <mc:Fallback xmlns="">
        <xdr:sp macro="" textlink="">
          <xdr:nvSpPr>
            <xdr:cNvPr id="0" name=""/>
            <xdr:cNvSpPr>
              <a:spLocks noTextEdit="1"/>
            </xdr:cNvSpPr>
          </xdr:nvSpPr>
          <xdr:spPr>
            <a:xfrm>
              <a:off x="0" y="2042492"/>
              <a:ext cx="1048578" cy="12664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nnyMart" refreshedDate="46179.995575000001" createdVersion="8" refreshedVersion="8" minRefreshableVersion="3" recordCount="2625" xr:uid="{F0F69CA3-C929-4D30-BB79-9965BB145279}">
  <cacheSource type="worksheet">
    <worksheetSource name="Retailer_cleaned"/>
  </cacheSource>
  <cacheFields count="22">
    <cacheField name="Order_ID" numFmtId="0">
      <sharedItems containsSemiMixedTypes="0" containsString="0" containsNumber="1" containsInteger="1" minValue="100000" maxValue="201364"/>
    </cacheField>
    <cacheField name="Customer_ID" numFmtId="0">
      <sharedItems containsSemiMixedTypes="0" containsString="0" containsNumber="1" containsInteger="1" minValue="1001" maxValue="4998"/>
    </cacheField>
    <cacheField name="Region" numFmtId="0">
      <sharedItems count="4">
        <s v="South"/>
        <s v="North"/>
        <s v="East"/>
        <s v="West"/>
      </sharedItems>
    </cacheField>
    <cacheField name="Sales_Channel" numFmtId="0">
      <sharedItems count="3">
        <s v="Wholesale"/>
        <s v="Store"/>
        <s v="Online"/>
      </sharedItems>
    </cacheField>
    <cacheField name="Product_Category" numFmtId="0">
      <sharedItems count="4">
        <s v="Home"/>
        <s v="Food"/>
        <s v="Electronics"/>
        <s v="Clothing"/>
      </sharedItems>
    </cacheField>
    <cacheField name="Product_Name" numFmtId="0">
      <sharedItems/>
    </cacheField>
    <cacheField name="Order_Date" numFmtId="14">
      <sharedItems containsSemiMixedTypes="0" containsNonDate="0" containsDate="1" containsString="0" minDate="2023-01-01T00:00:00" maxDate="2025-01-01T00:00:00" count="706">
        <d v="2023-06-25T00:00:00"/>
        <d v="2023-07-16T00:00:00"/>
        <d v="2023-01-26T00:00:00"/>
        <d v="2023-03-09T00:00:00"/>
        <d v="2023-07-31T00:00:00"/>
        <d v="2023-04-14T00:00:00"/>
        <d v="2023-12-15T00:00:00"/>
        <d v="2023-07-05T00:00:00"/>
        <d v="2023-01-24T00:00:00"/>
        <d v="2023-03-14T00:00:00"/>
        <d v="2023-12-12T00:00:00"/>
        <d v="2023-02-12T00:00:00"/>
        <d v="2023-08-07T00:00:00"/>
        <d v="2023-06-17T00:00:00"/>
        <d v="2023-03-10T00:00:00"/>
        <d v="2023-01-01T00:00:00"/>
        <d v="2023-03-17T00:00:00"/>
        <d v="2023-11-08T00:00:00"/>
        <d v="2023-09-08T00:00:00"/>
        <d v="2023-01-07T00:00:00"/>
        <d v="2023-10-03T00:00:00"/>
        <d v="2023-02-14T00:00:00"/>
        <d v="2023-07-11T00:00:00"/>
        <d v="2023-11-22T00:00:00"/>
        <d v="2023-11-09T00:00:00"/>
        <d v="2023-06-02T00:00:00"/>
        <d v="2023-07-03T00:00:00"/>
        <d v="2023-04-23T00:00:00"/>
        <d v="2023-09-09T00:00:00"/>
        <d v="2023-07-09T00:00:00"/>
        <d v="2023-10-18T00:00:00"/>
        <d v="2023-07-21T00:00:00"/>
        <d v="2023-02-08T00:00:00"/>
        <d v="2023-09-18T00:00:00"/>
        <d v="2023-05-18T00:00:00"/>
        <d v="2023-12-10T00:00:00"/>
        <d v="2023-07-15T00:00:00"/>
        <d v="2023-12-06T00:00:00"/>
        <d v="2023-09-15T00:00:00"/>
        <d v="2023-07-12T00:00:00"/>
        <d v="2023-12-16T00:00:00"/>
        <d v="2023-04-03T00:00:00"/>
        <d v="2023-09-10T00:00:00"/>
        <d v="2023-03-13T00:00:00"/>
        <d v="2023-10-07T00:00:00"/>
        <d v="2023-01-11T00:00:00"/>
        <d v="2023-08-22T00:00:00"/>
        <d v="2023-10-19T00:00:00"/>
        <d v="2023-11-14T00:00:00"/>
        <d v="2023-06-01T00:00:00"/>
        <d v="2023-09-05T00:00:00"/>
        <d v="2023-08-13T00:00:00"/>
        <d v="2023-05-30T00:00:00"/>
        <d v="2023-12-23T00:00:00"/>
        <d v="2023-08-08T00:00:00"/>
        <d v="2023-01-20T00:00:00"/>
        <d v="2023-01-05T00:00:00"/>
        <d v="2023-02-03T00:00:00"/>
        <d v="2023-05-04T00:00:00"/>
        <d v="2023-10-14T00:00:00"/>
        <d v="2023-08-18T00:00:00"/>
        <d v="2023-11-26T00:00:00"/>
        <d v="2023-05-11T00:00:00"/>
        <d v="2023-03-25T00:00:00"/>
        <d v="2023-01-22T00:00:00"/>
        <d v="2023-04-30T00:00:00"/>
        <d v="2023-07-23T00:00:00"/>
        <d v="2023-02-17T00:00:00"/>
        <d v="2023-09-30T00:00:00"/>
        <d v="2023-01-13T00:00:00"/>
        <d v="2023-04-18T00:00:00"/>
        <d v="2023-11-29T00:00:00"/>
        <d v="2023-11-20T00:00:00"/>
        <d v="2023-04-21T00:00:00"/>
        <d v="2023-05-23T00:00:00"/>
        <d v="2023-05-05T00:00:00"/>
        <d v="2023-10-04T00:00:00"/>
        <d v="2023-11-06T00:00:00"/>
        <d v="2023-11-12T00:00:00"/>
        <d v="2023-02-05T00:00:00"/>
        <d v="2023-11-01T00:00:00"/>
        <d v="2023-10-27T00:00:00"/>
        <d v="2023-02-24T00:00:00"/>
        <d v="2023-02-13T00:00:00"/>
        <d v="2023-08-04T00:00:00"/>
        <d v="2023-02-09T00:00:00"/>
        <d v="2023-05-12T00:00:00"/>
        <d v="2023-12-02T00:00:00"/>
        <d v="2023-10-13T00:00:00"/>
        <d v="2023-05-17T00:00:00"/>
        <d v="2023-06-16T00:00:00"/>
        <d v="2023-07-18T00:00:00"/>
        <d v="2023-05-16T00:00:00"/>
        <d v="2023-07-29T00:00:00"/>
        <d v="2023-07-17T00:00:00"/>
        <d v="2023-04-11T00:00:00"/>
        <d v="2023-06-30T00:00:00"/>
        <d v="2023-06-19T00:00:00"/>
        <d v="2023-01-30T00:00:00"/>
        <d v="2023-10-10T00:00:00"/>
        <d v="2023-11-17T00:00:00"/>
        <d v="2023-07-10T00:00:00"/>
        <d v="2023-08-03T00:00:00"/>
        <d v="2023-08-15T00:00:00"/>
        <d v="2023-05-15T00:00:00"/>
        <d v="2023-04-17T00:00:00"/>
        <d v="2023-08-23T00:00:00"/>
        <d v="2023-01-18T00:00:00"/>
        <d v="2023-01-06T00:00:00"/>
        <d v="2023-02-19T00:00:00"/>
        <d v="2023-04-16T00:00:00"/>
        <d v="2023-07-02T00:00:00"/>
        <d v="2023-03-29T00:00:00"/>
        <d v="2023-03-18T00:00:00"/>
        <d v="2023-11-28T00:00:00"/>
        <d v="2023-09-20T00:00:00"/>
        <d v="2023-08-14T00:00:00"/>
        <d v="2023-03-27T00:00:00"/>
        <d v="2023-06-08T00:00:00"/>
        <d v="2023-12-30T00:00:00"/>
        <d v="2023-11-04T00:00:00"/>
        <d v="2023-05-02T00:00:00"/>
        <d v="2023-07-19T00:00:00"/>
        <d v="2023-07-06T00:00:00"/>
        <d v="2023-10-25T00:00:00"/>
        <d v="2023-08-19T00:00:00"/>
        <d v="2023-12-05T00:00:00"/>
        <d v="2023-03-05T00:00:00"/>
        <d v="2023-03-19T00:00:00"/>
        <d v="2023-10-16T00:00:00"/>
        <d v="2023-04-28T00:00:00"/>
        <d v="2023-06-11T00:00:00"/>
        <d v="2023-02-15T00:00:00"/>
        <d v="2023-04-27T00:00:00"/>
        <d v="2023-12-28T00:00:00"/>
        <d v="2023-12-19T00:00:00"/>
        <d v="2023-04-06T00:00:00"/>
        <d v="2023-09-23T00:00:00"/>
        <d v="2023-09-27T00:00:00"/>
        <d v="2023-12-08T00:00:00"/>
        <d v="2023-01-02T00:00:00"/>
        <d v="2023-10-15T00:00:00"/>
        <d v="2023-07-28T00:00:00"/>
        <d v="2023-02-18T00:00:00"/>
        <d v="2023-06-03T00:00:00"/>
        <d v="2023-09-13T00:00:00"/>
        <d v="2023-03-06T00:00:00"/>
        <d v="2023-11-11T00:00:00"/>
        <d v="2023-09-24T00:00:00"/>
        <d v="2023-01-28T00:00:00"/>
        <d v="2023-06-06T00:00:00"/>
        <d v="2023-01-09T00:00:00"/>
        <d v="2023-09-12T00:00:00"/>
        <d v="2023-11-07T00:00:00"/>
        <d v="2023-10-26T00:00:00"/>
        <d v="2023-01-08T00:00:00"/>
        <d v="2023-08-30T00:00:00"/>
        <d v="2023-05-24T00:00:00"/>
        <d v="2023-05-09T00:00:00"/>
        <d v="2023-07-30T00:00:00"/>
        <d v="2023-08-20T00:00:00"/>
        <d v="2023-06-26T00:00:00"/>
        <d v="2023-01-10T00:00:00"/>
        <d v="2023-10-30T00:00:00"/>
        <d v="2023-05-08T00:00:00"/>
        <d v="2023-05-25T00:00:00"/>
        <d v="2023-01-12T00:00:00"/>
        <d v="2023-12-29T00:00:00"/>
        <d v="2023-06-10T00:00:00"/>
        <d v="2023-10-24T00:00:00"/>
        <d v="2023-02-06T00:00:00"/>
        <d v="2023-03-11T00:00:00"/>
        <d v="2023-04-04T00:00:00"/>
        <d v="2023-08-12T00:00:00"/>
        <d v="2023-06-28T00:00:00"/>
        <d v="2023-12-01T00:00:00"/>
        <d v="2023-05-07T00:00:00"/>
        <d v="2023-01-25T00:00:00"/>
        <d v="2023-12-14T00:00:00"/>
        <d v="2023-05-06T00:00:00"/>
        <d v="2023-03-03T00:00:00"/>
        <d v="2023-12-17T00:00:00"/>
        <d v="2023-03-20T00:00:00"/>
        <d v="2023-12-31T00:00:00"/>
        <d v="2023-05-03T00:00:00"/>
        <d v="2023-12-20T00:00:00"/>
        <d v="2023-04-05T00:00:00"/>
        <d v="2023-07-27T00:00:00"/>
        <d v="2023-07-04T00:00:00"/>
        <d v="2023-07-01T00:00:00"/>
        <d v="2023-02-04T00:00:00"/>
        <d v="2023-09-26T00:00:00"/>
        <d v="2023-10-02T00:00:00"/>
        <d v="2023-01-19T00:00:00"/>
        <d v="2023-12-26T00:00:00"/>
        <d v="2023-05-14T00:00:00"/>
        <d v="2023-11-23T00:00:00"/>
        <d v="2023-06-07T00:00:00"/>
        <d v="2023-09-04T00:00:00"/>
        <d v="2023-08-27T00:00:00"/>
        <d v="2023-04-13T00:00:00"/>
        <d v="2023-07-25T00:00:00"/>
        <d v="2023-03-30T00:00:00"/>
        <d v="2023-04-02T00:00:00"/>
        <d v="2023-01-17T00:00:00"/>
        <d v="2023-04-15T00:00:00"/>
        <d v="2023-03-15T00:00:00"/>
        <d v="2023-10-23T00:00:00"/>
        <d v="2023-07-26T00:00:00"/>
        <d v="2023-02-07T00:00:00"/>
        <d v="2023-12-09T00:00:00"/>
        <d v="2023-06-13T00:00:00"/>
        <d v="2023-01-16T00:00:00"/>
        <d v="2023-12-22T00:00:00"/>
        <d v="2023-08-01T00:00:00"/>
        <d v="2023-11-19T00:00:00"/>
        <d v="2023-09-25T00:00:00"/>
        <d v="2023-10-31T00:00:00"/>
        <d v="2023-05-20T00:00:00"/>
        <d v="2023-08-26T00:00:00"/>
        <d v="2023-06-21T00:00:00"/>
        <d v="2023-09-11T00:00:00"/>
        <d v="2023-09-21T00:00:00"/>
        <d v="2023-10-29T00:00:00"/>
        <d v="2023-08-16T00:00:00"/>
        <d v="2023-12-04T00:00:00"/>
        <d v="2023-09-22T00:00:00"/>
        <d v="2023-03-23T00:00:00"/>
        <d v="2023-06-27T00:00:00"/>
        <d v="2023-04-07T00:00:00"/>
        <d v="2023-05-10T00:00:00"/>
        <d v="2023-10-21T00:00:00"/>
        <d v="2023-12-07T00:00:00"/>
        <d v="2023-07-14T00:00:00"/>
        <d v="2023-04-22T00:00:00"/>
        <d v="2023-03-04T00:00:00"/>
        <d v="2023-03-26T00:00:00"/>
        <d v="2023-11-10T00:00:00"/>
        <d v="2023-01-29T00:00:00"/>
        <d v="2023-03-21T00:00:00"/>
        <d v="2023-02-11T00:00:00"/>
        <d v="2023-10-20T00:00:00"/>
        <d v="2023-12-21T00:00:00"/>
        <d v="2023-06-14T00:00:00"/>
        <d v="2023-03-01T00:00:00"/>
        <d v="2023-06-15T00:00:00"/>
        <d v="2023-03-28T00:00:00"/>
        <d v="2023-06-24T00:00:00"/>
        <d v="2023-01-15T00:00:00"/>
        <d v="2023-05-28T00:00:00"/>
        <d v="2023-08-05T00:00:00"/>
        <d v="2023-01-27T00:00:00"/>
        <d v="2023-03-22T00:00:00"/>
        <d v="2023-11-27T00:00:00"/>
        <d v="2023-11-21T00:00:00"/>
        <d v="2023-09-16T00:00:00"/>
        <d v="2023-04-24T00:00:00"/>
        <d v="2023-01-21T00:00:00"/>
        <d v="2023-02-01T00:00:00"/>
        <d v="2023-05-31T00:00:00"/>
        <d v="2023-04-25T00:00:00"/>
        <d v="2023-06-12T00:00:00"/>
        <d v="2023-04-29T00:00:00"/>
        <d v="2023-06-23T00:00:00"/>
        <d v="2023-12-11T00:00:00"/>
        <d v="2023-09-01T00:00:00"/>
        <d v="2023-06-20T00:00:00"/>
        <d v="2023-04-01T00:00:00"/>
        <d v="2023-05-26T00:00:00"/>
        <d v="2023-02-26T00:00:00"/>
        <d v="2023-09-03T00:00:00"/>
        <d v="2023-08-29T00:00:00"/>
        <d v="2023-10-12T00:00:00"/>
        <d v="2023-06-22T00:00:00"/>
        <d v="2023-02-10T00:00:00"/>
        <d v="2023-07-07T00:00:00"/>
        <d v="2023-12-13T00:00:00"/>
        <d v="2023-11-18T00:00:00"/>
        <d v="2023-08-02T00:00:00"/>
        <d v="2023-03-31T00:00:00"/>
        <d v="2023-10-09T00:00:00"/>
        <d v="2023-02-02T00:00:00"/>
        <d v="2023-11-16T00:00:00"/>
        <d v="2023-11-30T00:00:00"/>
        <d v="2023-03-24T00:00:00"/>
        <d v="2023-06-04T00:00:00"/>
        <d v="2023-10-08T00:00:00"/>
        <d v="2023-07-20T00:00:00"/>
        <d v="2023-01-31T00:00:00"/>
        <d v="2023-12-25T00:00:00"/>
        <d v="2023-09-07T00:00:00"/>
        <d v="2023-09-06T00:00:00"/>
        <d v="2023-06-05T00:00:00"/>
        <d v="2023-11-03T00:00:00"/>
        <d v="2023-02-22T00:00:00"/>
        <d v="2023-08-10T00:00:00"/>
        <d v="2023-04-12T00:00:00"/>
        <d v="2023-02-28T00:00:00"/>
        <d v="2023-01-04T00:00:00"/>
        <d v="2023-05-01T00:00:00"/>
        <d v="2023-05-22T00:00:00"/>
        <d v="2023-02-25T00:00:00"/>
        <d v="2023-08-24T00:00:00"/>
        <d v="2023-07-13T00:00:00"/>
        <d v="2023-08-06T00:00:00"/>
        <d v="2023-08-25T00:00:00"/>
        <d v="2023-07-22T00:00:00"/>
        <d v="2023-10-28T00:00:00"/>
        <d v="2023-10-01T00:00:00"/>
        <d v="2023-03-07T00:00:00"/>
        <d v="2023-01-03T00:00:00"/>
        <d v="2023-10-06T00:00:00"/>
        <d v="2023-04-26T00:00:00"/>
        <d v="2023-11-24T00:00:00"/>
        <d v="2023-03-12T00:00:00"/>
        <d v="2023-05-13T00:00:00"/>
        <d v="2023-08-28T00:00:00"/>
        <d v="2023-07-08T00:00:00"/>
        <d v="2023-09-19T00:00:00"/>
        <d v="2023-10-11T00:00:00"/>
        <d v="2023-10-17T00:00:00"/>
        <d v="2023-03-08T00:00:00"/>
        <d v="2023-12-18T00:00:00"/>
        <d v="2023-02-20T00:00:00"/>
        <d v="2023-01-23T00:00:00"/>
        <d v="2023-02-21T00:00:00"/>
        <d v="2023-10-05T00:00:00"/>
        <d v="2023-09-29T00:00:00"/>
        <d v="2023-08-31T00:00:00"/>
        <d v="2023-12-27T00:00:00"/>
        <d v="2023-06-09T00:00:00"/>
        <d v="2023-12-24T00:00:00"/>
        <d v="2023-11-25T00:00:00"/>
        <d v="2023-09-14T00:00:00"/>
        <d v="2023-08-21T00:00:00"/>
        <d v="2023-05-29T00:00:00"/>
        <d v="2023-10-22T00:00:00"/>
        <d v="2023-05-19T00:00:00"/>
        <d v="2023-02-27T00:00:00"/>
        <d v="2023-03-16T00:00:00"/>
        <d v="2023-09-17T00:00:00"/>
        <d v="2023-08-11T00:00:00"/>
        <d v="2023-09-02T00:00:00"/>
        <d v="2023-11-13T00:00:00"/>
        <d v="2023-09-28T00:00:00"/>
        <d v="2023-06-18T00:00:00"/>
        <d v="2023-11-02T00:00:00"/>
        <d v="2023-05-21T00:00:00"/>
        <d v="2023-12-03T00:00:00"/>
        <d v="2023-08-09T00:00:00"/>
        <d v="2023-04-08T00:00:00"/>
        <d v="2023-02-23T00:00:00"/>
        <d v="2024-05-26T00:00:00"/>
        <d v="2024-10-13T00:00:00"/>
        <d v="2024-01-28T00:00:00"/>
        <d v="2024-11-16T00:00:00"/>
        <d v="2024-05-21T00:00:00"/>
        <d v="2024-04-26T00:00:00"/>
        <d v="2024-11-19T00:00:00"/>
        <d v="2024-09-09T00:00:00"/>
        <d v="2024-04-30T00:00:00"/>
        <d v="2024-02-23T00:00:00"/>
        <d v="2024-09-03T00:00:00"/>
        <d v="2024-09-15T00:00:00"/>
        <d v="2024-02-12T00:00:00"/>
        <d v="2024-03-13T00:00:00"/>
        <d v="2024-05-01T00:00:00"/>
        <d v="2024-03-21T00:00:00"/>
        <d v="2024-07-02T00:00:00"/>
        <d v="2024-04-20T00:00:00"/>
        <d v="2024-09-14T00:00:00"/>
        <d v="2024-08-11T00:00:00"/>
        <d v="2024-09-20T00:00:00"/>
        <d v="2024-08-21T00:00:00"/>
        <d v="2024-03-19T00:00:00"/>
        <d v="2024-10-25T00:00:00"/>
        <d v="2024-05-28T00:00:00"/>
        <d v="2024-04-16T00:00:00"/>
        <d v="2024-01-30T00:00:00"/>
        <d v="2024-11-14T00:00:00"/>
        <d v="2024-11-15T00:00:00"/>
        <d v="2024-11-26T00:00:00"/>
        <d v="2024-12-31T00:00:00"/>
        <d v="2024-11-11T00:00:00"/>
        <d v="2024-09-08T00:00:00"/>
        <d v="2024-10-23T00:00:00"/>
        <d v="2024-11-06T00:00:00"/>
        <d v="2024-12-17T00:00:00"/>
        <d v="2024-02-13T00:00:00"/>
        <d v="2024-03-12T00:00:00"/>
        <d v="2024-09-16T00:00:00"/>
        <d v="2024-06-20T00:00:00"/>
        <d v="2024-10-14T00:00:00"/>
        <d v="2024-05-23T00:00:00"/>
        <d v="2024-10-12T00:00:00"/>
        <d v="2024-12-18T00:00:00"/>
        <d v="2024-05-07T00:00:00"/>
        <d v="2024-01-09T00:00:00"/>
        <d v="2024-12-09T00:00:00"/>
        <d v="2024-07-15T00:00:00"/>
        <d v="2024-08-20T00:00:00"/>
        <d v="2024-10-04T00:00:00"/>
        <d v="2024-02-26T00:00:00"/>
        <d v="2024-12-07T00:00:00"/>
        <d v="2024-02-28T00:00:00"/>
        <d v="2024-05-17T00:00:00"/>
        <d v="2024-03-11T00:00:00"/>
        <d v="2024-08-10T00:00:00"/>
        <d v="2024-09-21T00:00:00"/>
        <d v="2024-02-16T00:00:00"/>
        <d v="2024-06-13T00:00:00"/>
        <d v="2024-11-27T00:00:00"/>
        <d v="2024-02-10T00:00:00"/>
        <d v="2024-07-10T00:00:00"/>
        <d v="2024-02-07T00:00:00"/>
        <d v="2024-04-15T00:00:00"/>
        <d v="2024-03-01T00:00:00"/>
        <d v="2024-12-12T00:00:00"/>
        <d v="2024-06-22T00:00:00"/>
        <d v="2024-03-05T00:00:00"/>
        <d v="2024-11-13T00:00:00"/>
        <d v="2024-02-27T00:00:00"/>
        <d v="2024-02-11T00:00:00"/>
        <d v="2024-12-28T00:00:00"/>
        <d v="2024-02-29T00:00:00"/>
        <d v="2024-04-19T00:00:00"/>
        <d v="2024-01-01T00:00:00"/>
        <d v="2024-12-29T00:00:00"/>
        <d v="2024-06-14T00:00:00"/>
        <d v="2024-07-12T00:00:00"/>
        <d v="2024-06-10T00:00:00"/>
        <d v="2024-01-18T00:00:00"/>
        <d v="2024-03-10T00:00:00"/>
        <d v="2024-01-07T00:00:00"/>
        <d v="2024-08-07T00:00:00"/>
        <d v="2024-10-07T00:00:00"/>
        <d v="2024-04-18T00:00:00"/>
        <d v="2024-04-21T00:00:00"/>
        <d v="2024-01-11T00:00:00"/>
        <d v="2024-09-10T00:00:00"/>
        <d v="2024-05-15T00:00:00"/>
        <d v="2024-07-19T00:00:00"/>
        <d v="2024-07-06T00:00:00"/>
        <d v="2024-05-12T00:00:00"/>
        <d v="2024-06-08T00:00:00"/>
        <d v="2024-05-16T00:00:00"/>
        <d v="2024-07-09T00:00:00"/>
        <d v="2024-11-02T00:00:00"/>
        <d v="2024-01-26T00:00:00"/>
        <d v="2024-04-05T00:00:00"/>
        <d v="2024-08-31T00:00:00"/>
        <d v="2024-09-12T00:00:00"/>
        <d v="2024-03-17T00:00:00"/>
        <d v="2024-02-17T00:00:00"/>
        <d v="2024-06-07T00:00:00"/>
        <d v="2024-08-03T00:00:00"/>
        <d v="2024-05-11T00:00:00"/>
        <d v="2024-11-07T00:00:00"/>
        <d v="2024-09-24T00:00:00"/>
        <d v="2024-09-17T00:00:00"/>
        <d v="2024-10-09T00:00:00"/>
        <d v="2024-01-14T00:00:00"/>
        <d v="2024-08-19T00:00:00"/>
        <d v="2024-06-18T00:00:00"/>
        <d v="2024-02-04T00:00:00"/>
        <d v="2024-06-04T00:00:00"/>
        <d v="2024-09-01T00:00:00"/>
        <d v="2024-06-23T00:00:00"/>
        <d v="2024-03-16T00:00:00"/>
        <d v="2024-08-13T00:00:00"/>
        <d v="2024-04-17T00:00:00"/>
        <d v="2024-06-29T00:00:00"/>
        <d v="2024-06-28T00:00:00"/>
        <d v="2024-03-23T00:00:00"/>
        <d v="2024-08-04T00:00:00"/>
        <d v="2024-01-17T00:00:00"/>
        <d v="2024-09-18T00:00:00"/>
        <d v="2024-11-10T00:00:00"/>
        <d v="2024-08-14T00:00:00"/>
        <d v="2024-04-13T00:00:00"/>
        <d v="2024-07-21T00:00:00"/>
        <d v="2024-09-29T00:00:00"/>
        <d v="2024-10-31T00:00:00"/>
        <d v="2024-12-11T00:00:00"/>
        <d v="2024-06-16T00:00:00"/>
        <d v="2024-10-10T00:00:00"/>
        <d v="2024-01-23T00:00:00"/>
        <d v="2024-09-07T00:00:00"/>
        <d v="2024-07-01T00:00:00"/>
        <d v="2024-06-17T00:00:00"/>
        <d v="2024-08-24T00:00:00"/>
        <d v="2024-04-02T00:00:00"/>
        <d v="2024-06-27T00:00:00"/>
        <d v="2024-10-01T00:00:00"/>
        <d v="2024-01-29T00:00:00"/>
        <d v="2024-02-22T00:00:00"/>
        <d v="2024-03-24T00:00:00"/>
        <d v="2024-05-03T00:00:00"/>
        <d v="2024-04-06T00:00:00"/>
        <d v="2024-04-09T00:00:00"/>
        <d v="2024-07-13T00:00:00"/>
        <d v="2024-10-02T00:00:00"/>
        <d v="2024-06-15T00:00:00"/>
        <d v="2024-12-14T00:00:00"/>
        <d v="2024-09-02T00:00:00"/>
        <d v="2024-03-27T00:00:00"/>
        <d v="2024-10-29T00:00:00"/>
        <d v="2024-06-06T00:00:00"/>
        <d v="2024-07-20T00:00:00"/>
        <d v="2024-01-27T00:00:00"/>
        <d v="2024-09-27T00:00:00"/>
        <d v="2024-08-16T00:00:00"/>
        <d v="2024-05-04T00:00:00"/>
        <d v="2024-11-30T00:00:00"/>
        <d v="2024-05-19T00:00:00"/>
        <d v="2024-08-08T00:00:00"/>
        <d v="2024-12-27T00:00:00"/>
        <d v="2024-02-05T00:00:00"/>
        <d v="2024-02-18T00:00:00"/>
        <d v="2024-12-13T00:00:00"/>
        <d v="2024-05-05T00:00:00"/>
        <d v="2024-01-22T00:00:00"/>
        <d v="2024-04-01T00:00:00"/>
        <d v="2024-05-24T00:00:00"/>
        <d v="2024-05-27T00:00:00"/>
        <d v="2024-01-10T00:00:00"/>
        <d v="2024-12-30T00:00:00"/>
        <d v="2024-09-30T00:00:00"/>
        <d v="2024-08-22T00:00:00"/>
        <d v="2024-07-29T00:00:00"/>
        <d v="2024-02-19T00:00:00"/>
        <d v="2024-04-23T00:00:00"/>
        <d v="2024-05-29T00:00:00"/>
        <d v="2024-04-12T00:00:00"/>
        <d v="2024-12-15T00:00:00"/>
        <d v="2024-05-14T00:00:00"/>
        <d v="2024-02-24T00:00:00"/>
        <d v="2024-08-28T00:00:00"/>
        <d v="2024-07-04T00:00:00"/>
        <d v="2024-01-31T00:00:00"/>
        <d v="2024-03-08T00:00:00"/>
        <d v="2024-07-14T00:00:00"/>
        <d v="2024-08-30T00:00:00"/>
        <d v="2024-12-05T00:00:00"/>
        <d v="2024-07-24T00:00:00"/>
        <d v="2024-05-25T00:00:00"/>
        <d v="2024-05-18T00:00:00"/>
        <d v="2024-02-01T00:00:00"/>
        <d v="2024-01-15T00:00:00"/>
        <d v="2024-06-09T00:00:00"/>
        <d v="2024-09-13T00:00:00"/>
        <d v="2024-03-03T00:00:00"/>
        <d v="2024-06-01T00:00:00"/>
        <d v="2024-11-18T00:00:00"/>
        <d v="2024-04-03T00:00:00"/>
        <d v="2024-02-02T00:00:00"/>
        <d v="2024-07-05T00:00:00"/>
        <d v="2024-02-09T00:00:00"/>
        <d v="2024-04-24T00:00:00"/>
        <d v="2024-05-06T00:00:00"/>
        <d v="2024-08-25T00:00:00"/>
        <d v="2024-08-06T00:00:00"/>
        <d v="2024-10-22T00:00:00"/>
        <d v="2024-08-17T00:00:00"/>
        <d v="2024-11-21T00:00:00"/>
        <d v="2024-03-15T00:00:00"/>
        <d v="2024-06-12T00:00:00"/>
        <d v="2024-10-08T00:00:00"/>
        <d v="2024-04-25T00:00:00"/>
        <d v="2024-07-17T00:00:00"/>
        <d v="2024-06-24T00:00:00"/>
        <d v="2024-02-25T00:00:00"/>
        <d v="2024-04-22T00:00:00"/>
        <d v="2024-06-03T00:00:00"/>
        <d v="2024-09-05T00:00:00"/>
        <d v="2024-07-28T00:00:00"/>
        <d v="2024-12-16T00:00:00"/>
        <d v="2024-05-20T00:00:00"/>
        <d v="2024-08-27T00:00:00"/>
        <d v="2024-02-08T00:00:00"/>
        <d v="2024-10-26T00:00:00"/>
        <d v="2024-11-22T00:00:00"/>
        <d v="2024-12-23T00:00:00"/>
        <d v="2024-07-03T00:00:00"/>
        <d v="2024-10-20T00:00:00"/>
        <d v="2024-09-28T00:00:00"/>
        <d v="2024-01-21T00:00:00"/>
        <d v="2024-11-08T00:00:00"/>
        <d v="2024-03-22T00:00:00"/>
        <d v="2024-05-10T00:00:00"/>
        <d v="2024-07-26T00:00:00"/>
        <d v="2024-12-03T00:00:00"/>
        <d v="2024-11-05T00:00:00"/>
        <d v="2024-01-04T00:00:00"/>
        <d v="2024-11-03T00:00:00"/>
        <d v="2024-04-28T00:00:00"/>
        <d v="2024-10-24T00:00:00"/>
        <d v="2024-02-21T00:00:00"/>
        <d v="2024-05-31T00:00:00"/>
        <d v="2024-10-16T00:00:00"/>
        <d v="2024-07-27T00:00:00"/>
        <d v="2024-10-15T00:00:00"/>
        <d v="2024-12-10T00:00:00"/>
        <d v="2024-07-08T00:00:00"/>
        <d v="2024-12-21T00:00:00"/>
        <d v="2024-04-29T00:00:00"/>
        <d v="2024-09-04T00:00:00"/>
        <d v="2024-12-02T00:00:00"/>
        <d v="2024-06-02T00:00:00"/>
        <d v="2024-09-06T00:00:00"/>
        <d v="2024-12-24T00:00:00"/>
        <d v="2024-08-12T00:00:00"/>
        <d v="2024-01-08T00:00:00"/>
        <d v="2024-11-20T00:00:00"/>
        <d v="2024-06-21T00:00:00"/>
        <d v="2024-07-23T00:00:00"/>
        <d v="2024-11-01T00:00:00"/>
        <d v="2024-04-27T00:00:00"/>
        <d v="2024-08-09T00:00:00"/>
        <d v="2024-07-31T00:00:00"/>
        <d v="2024-09-26T00:00:00"/>
        <d v="2024-09-11T00:00:00"/>
        <d v="2024-12-25T00:00:00"/>
        <d v="2024-07-22T00:00:00"/>
        <d v="2024-10-28T00:00:00"/>
        <d v="2024-03-07T00:00:00"/>
        <d v="2024-04-10T00:00:00"/>
        <d v="2024-06-26T00:00:00"/>
        <d v="2024-07-16T00:00:00"/>
        <d v="2024-07-11T00:00:00"/>
        <d v="2024-08-05T00:00:00"/>
        <d v="2024-06-05T00:00:00"/>
        <d v="2024-12-20T00:00:00"/>
        <d v="2024-04-04T00:00:00"/>
        <d v="2024-01-03T00:00:00"/>
        <d v="2024-11-23T00:00:00"/>
        <d v="2024-05-02T00:00:00"/>
        <d v="2024-05-30T00:00:00"/>
        <d v="2024-09-25T00:00:00"/>
        <d v="2024-05-08T00:00:00"/>
        <d v="2024-12-04T00:00:00"/>
        <d v="2024-10-19T00:00:00"/>
        <d v="2024-12-06T00:00:00"/>
        <d v="2024-09-19T00:00:00"/>
        <d v="2024-10-03T00:00:00"/>
        <d v="2024-04-07T00:00:00"/>
        <d v="2024-02-15T00:00:00"/>
        <d v="2024-04-08T00:00:00"/>
        <d v="2024-09-22T00:00:00"/>
        <d v="2024-10-17T00:00:00"/>
        <d v="2024-03-25T00:00:00"/>
        <d v="2024-06-19T00:00:00"/>
        <d v="2024-03-04T00:00:00"/>
        <d v="2024-05-13T00:00:00"/>
        <d v="2024-02-20T00:00:00"/>
        <d v="2024-11-29T00:00:00"/>
        <d v="2024-11-04T00:00:00"/>
        <d v="2024-12-22T00:00:00"/>
        <d v="2024-11-24T00:00:00"/>
        <d v="2024-02-14T00:00:00"/>
        <d v="2024-05-09T00:00:00"/>
        <d v="2024-12-26T00:00:00"/>
        <d v="2024-10-21T00:00:00"/>
        <d v="2024-08-18T00:00:00"/>
        <d v="2024-03-06T00:00:00"/>
        <d v="2024-01-25T00:00:00"/>
        <d v="2024-01-20T00:00:00"/>
        <d v="2024-12-08T00:00:00"/>
        <d v="2024-03-09T00:00:00"/>
        <d v="2024-07-25T00:00:00"/>
        <d v="2024-03-29T00:00:00"/>
        <d v="2024-10-06T00:00:00"/>
        <d v="2024-08-02T00:00:00"/>
        <d v="2024-11-28T00:00:00"/>
        <d v="2024-04-14T00:00:00"/>
        <d v="2024-03-31T00:00:00"/>
        <d v="2024-08-29T00:00:00"/>
        <d v="2024-12-01T00:00:00"/>
        <d v="2024-07-07T00:00:00"/>
        <d v="2024-04-11T00:00:00"/>
        <d v="2024-12-19T00:00:00"/>
        <d v="2024-10-30T00:00:00"/>
        <d v="2024-08-15T00:00:00"/>
        <d v="2024-02-03T00:00:00"/>
        <d v="2024-01-06T00:00:00"/>
        <d v="2024-08-23T00:00:00"/>
        <d v="2024-03-02T00:00:00"/>
        <d v="2024-01-12T00:00:00"/>
        <d v="2024-10-11T00:00:00"/>
        <d v="2024-03-26T00:00:00"/>
        <d v="2024-10-05T00:00:00"/>
        <d v="2024-06-25T00:00:00"/>
        <d v="2024-02-06T00:00:00"/>
        <d v="2024-01-16T00:00:00"/>
        <d v="2024-01-19T00:00:00"/>
        <d v="2024-07-18T00:00:00"/>
        <d v="2024-07-30T00:00:00"/>
        <d v="2024-03-28T00:00:00"/>
        <d v="2024-01-24T00:00:00"/>
        <d v="2024-11-12T00:00:00"/>
        <d v="2024-11-09T00:00:00"/>
        <d v="2024-03-14T00:00:00"/>
        <d v="2024-08-26T00:00:00"/>
        <d v="2024-01-05T00:00:00"/>
        <d v="2024-05-22T00:00:00"/>
        <d v="2024-08-01T00:00:00"/>
      </sharedItems>
      <fieldGroup par="21"/>
    </cacheField>
    <cacheField name="Ship_Date" numFmtId="14">
      <sharedItems containsSemiMixedTypes="0" containsNonDate="0" containsDate="1" containsString="0" minDate="2023-01-02T00:00:00" maxDate="2025-01-06T00:00:00"/>
    </cacheField>
    <cacheField name="Payment_Date" numFmtId="14">
      <sharedItems containsSemiMixedTypes="0" containsNonDate="0" containsDate="1" containsString="0" minDate="2023-01-06T00:00:00" maxDate="2025-01-31T00:00:00"/>
    </cacheField>
    <cacheField name="Days_to_Payment" numFmtId="0">
      <sharedItems containsSemiMixedTypes="0" containsString="0" containsNumber="1" containsInteger="1" minValue="2" maxValue="30"/>
    </cacheField>
    <cacheField name="Days_to_Ship" numFmtId="0">
      <sharedItems containsSemiMixedTypes="0" containsString="0" containsNumber="1" containsInteger="1" minValue="1" maxValue="5"/>
    </cacheField>
    <cacheField name="Quantity" numFmtId="0">
      <sharedItems containsSemiMixedTypes="0" containsString="0" containsNumber="1" containsInteger="1" minValue="1" maxValue="14"/>
    </cacheField>
    <cacheField name="Unit_Price" numFmtId="0">
      <sharedItems containsSemiMixedTypes="0" containsString="0" containsNumber="1" minValue="5.38" maxValue="799.73"/>
    </cacheField>
    <cacheField name="Sales_Amount" numFmtId="0">
      <sharedItems containsSemiMixedTypes="0" containsString="0" containsNumber="1" minValue="10.98" maxValue="11168.08"/>
    </cacheField>
    <cacheField name="Discount_Rate" numFmtId="0">
      <sharedItems containsSemiMixedTypes="0" containsString="0" containsNumber="1" minValue="0" maxValue="0.26"/>
    </cacheField>
    <cacheField name="Discount_Amount" numFmtId="0">
      <sharedItems containsSemiMixedTypes="0" containsString="0" containsNumber="1" minValue="0" maxValue="1928.98"/>
    </cacheField>
    <cacheField name="Net_Sales" numFmtId="0">
      <sharedItems containsSemiMixedTypes="0" containsString="0" containsNumber="1" minValue="9.66" maxValue="11085.2"/>
    </cacheField>
    <cacheField name="Cost_Amount" numFmtId="0">
      <sharedItems containsSemiMixedTypes="0" containsString="0" containsNumber="1" minValue="7.47" maxValue="7661.15"/>
    </cacheField>
    <cacheField name="Profit_After_Discount" numFmtId="0">
      <sharedItems containsSemiMixedTypes="0" containsString="0" containsNumber="1" minValue="2.19" maxValue="4156.96"/>
    </cacheField>
    <cacheField name="Months (Order_Date)" numFmtId="0" databaseField="0">
      <fieldGroup base="6">
        <rangePr groupBy="months" startDate="2023-01-01T00:00:00" endDate="2025-01-01T00:00:00"/>
        <groupItems count="14">
          <s v="&lt;01/01/2023"/>
          <s v="Jan"/>
          <s v="Feb"/>
          <s v="Mar"/>
          <s v="Apr"/>
          <s v="May"/>
          <s v="Jun"/>
          <s v="Jul"/>
          <s v="Aug"/>
          <s v="Sep"/>
          <s v="Oct"/>
          <s v="Nov"/>
          <s v="Dec"/>
          <s v="&gt;01/01/2025"/>
        </groupItems>
      </fieldGroup>
    </cacheField>
    <cacheField name="Quarters (Order_Date)" numFmtId="0" databaseField="0">
      <fieldGroup base="6">
        <rangePr groupBy="quarters" startDate="2023-01-01T00:00:00" endDate="2025-01-01T00:00:00"/>
        <groupItems count="6">
          <s v="&lt;01/01/2023"/>
          <s v="Qtr1"/>
          <s v="Qtr2"/>
          <s v="Qtr3"/>
          <s v="Qtr4"/>
          <s v="&gt;01/01/2025"/>
        </groupItems>
      </fieldGroup>
    </cacheField>
    <cacheField name="Years (Order_Date)" numFmtId="0" databaseField="0">
      <fieldGroup base="6">
        <rangePr groupBy="years" startDate="2023-01-01T00:00:00" endDate="2025-01-01T00:00:00"/>
        <groupItems count="5">
          <s v="&lt;01/01/2023"/>
          <s v="2023"/>
          <s v="2024"/>
          <s v="2025"/>
          <s v="&gt;01/01/2025"/>
        </groupItems>
      </fieldGroup>
    </cacheField>
  </cacheFields>
  <extLst>
    <ext xmlns:x14="http://schemas.microsoft.com/office/spreadsheetml/2009/9/main" uri="{725AE2AE-9491-48be-B2B4-4EB974FC3084}">
      <x14:pivotCacheDefinition pivotCacheId="927247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25">
  <r>
    <n v="100000"/>
    <n v="3570"/>
    <x v="0"/>
    <x v="0"/>
    <x v="0"/>
    <s v="Sofa"/>
    <x v="0"/>
    <d v="2023-06-27T00:00:00"/>
    <d v="2023-07-16T00:00:00"/>
    <n v="21"/>
    <n v="2"/>
    <n v="1"/>
    <n v="566.21"/>
    <n v="566.21"/>
    <n v="0.06"/>
    <n v="33.97"/>
    <n v="532.24"/>
    <n v="379.36"/>
    <n v="152.88"/>
  </r>
  <r>
    <n v="100001"/>
    <n v="3122"/>
    <x v="1"/>
    <x v="0"/>
    <x v="1"/>
    <s v="Pasta"/>
    <x v="1"/>
    <d v="2023-07-18T00:00:00"/>
    <d v="2023-07-25T00:00:00"/>
    <n v="9"/>
    <n v="2"/>
    <n v="3"/>
    <n v="367.52"/>
    <n v="1102.56"/>
    <n v="0.04"/>
    <n v="44.1"/>
    <n v="1058.46"/>
    <n v="782.82"/>
    <n v="275.64"/>
  </r>
  <r>
    <n v="100002"/>
    <n v="1316"/>
    <x v="0"/>
    <x v="0"/>
    <x v="2"/>
    <s v="Tablet"/>
    <x v="2"/>
    <d v="2023-01-28T00:00:00"/>
    <d v="2023-01-30T00:00:00"/>
    <n v="4"/>
    <n v="2"/>
    <n v="12"/>
    <n v="247.63"/>
    <n v="2971.56"/>
    <n v="0.12"/>
    <n v="356.59"/>
    <n v="2614.9699999999998"/>
    <n v="1693.79"/>
    <n v="921.18"/>
  </r>
  <r>
    <n v="100003"/>
    <n v="1152"/>
    <x v="2"/>
    <x v="1"/>
    <x v="1"/>
    <s v="Rice"/>
    <x v="3"/>
    <d v="2023-03-12T00:00:00"/>
    <d v="2023-03-25T00:00:00"/>
    <n v="16"/>
    <n v="3"/>
    <n v="14"/>
    <n v="622.33000000000004"/>
    <n v="8712.6200000000008"/>
    <n v="0.02"/>
    <n v="174.25"/>
    <n v="8538.3700000000008"/>
    <n v="5750.33"/>
    <n v="2788.04"/>
  </r>
  <r>
    <n v="100004"/>
    <n v="4355"/>
    <x v="0"/>
    <x v="2"/>
    <x v="0"/>
    <s v="Sofa"/>
    <x v="4"/>
    <d v="2023-08-02T00:00:00"/>
    <d v="2023-08-12T00:00:00"/>
    <n v="12"/>
    <n v="2"/>
    <n v="6"/>
    <n v="383.23"/>
    <n v="2299.38"/>
    <n v="0.09"/>
    <n v="206.94"/>
    <n v="2092.44"/>
    <n v="1356.63"/>
    <n v="735.81"/>
  </r>
  <r>
    <n v="100005"/>
    <n v="1498"/>
    <x v="1"/>
    <x v="1"/>
    <x v="1"/>
    <s v="Pasta"/>
    <x v="5"/>
    <d v="2023-04-15T00:00:00"/>
    <d v="2023-05-07T00:00:00"/>
    <n v="23"/>
    <n v="1"/>
    <n v="14"/>
    <n v="691.36"/>
    <n v="9679.0400000000009"/>
    <n v="7.0000000000000007E-2"/>
    <n v="677.53"/>
    <n v="9001.51"/>
    <n v="5807.42"/>
    <n v="3194.09"/>
  </r>
  <r>
    <n v="100006"/>
    <n v="1863"/>
    <x v="1"/>
    <x v="0"/>
    <x v="1"/>
    <s v="Snacks"/>
    <x v="6"/>
    <d v="2023-12-20T00:00:00"/>
    <d v="2023-12-25T00:00:00"/>
    <n v="10"/>
    <n v="5"/>
    <n v="3"/>
    <n v="359.81"/>
    <n v="1079.43"/>
    <n v="0.04"/>
    <n v="43.18"/>
    <n v="1036.25"/>
    <n v="604.48"/>
    <n v="431.77"/>
  </r>
  <r>
    <n v="100007"/>
    <n v="2955"/>
    <x v="3"/>
    <x v="1"/>
    <x v="3"/>
    <s v="Shirt"/>
    <x v="7"/>
    <d v="2023-07-06T00:00:00"/>
    <d v="2023-07-31T00:00:00"/>
    <n v="26"/>
    <n v="1"/>
    <n v="1"/>
    <n v="226.5"/>
    <n v="226.5"/>
    <n v="0.1"/>
    <n v="22.65"/>
    <n v="203.85"/>
    <n v="140.43"/>
    <n v="63.42"/>
  </r>
  <r>
    <n v="100008"/>
    <n v="3657"/>
    <x v="0"/>
    <x v="0"/>
    <x v="2"/>
    <s v="Laptop"/>
    <x v="8"/>
    <d v="2023-01-25T00:00:00"/>
    <d v="2023-02-04T00:00:00"/>
    <n v="11"/>
    <n v="1"/>
    <n v="14"/>
    <n v="404.62"/>
    <n v="5664.68"/>
    <n v="0.16"/>
    <n v="906.35"/>
    <n v="4758.33"/>
    <n v="4021.92"/>
    <n v="736.41"/>
  </r>
  <r>
    <n v="100009"/>
    <n v="1573"/>
    <x v="2"/>
    <x v="0"/>
    <x v="2"/>
    <s v="Headphones"/>
    <x v="9"/>
    <d v="2023-03-19T00:00:00"/>
    <d v="2023-04-04T00:00:00"/>
    <n v="21"/>
    <n v="5"/>
    <n v="1"/>
    <n v="377.43"/>
    <n v="377.43"/>
    <n v="0.06"/>
    <n v="22.65"/>
    <n v="354.78"/>
    <n v="218.91"/>
    <n v="135.87"/>
  </r>
  <r>
    <n v="100010"/>
    <n v="1352"/>
    <x v="1"/>
    <x v="2"/>
    <x v="0"/>
    <s v="Table"/>
    <x v="10"/>
    <d v="2023-12-13T00:00:00"/>
    <d v="2023-12-14T00:00:00"/>
    <n v="2"/>
    <n v="1"/>
    <n v="2"/>
    <n v="774.44"/>
    <n v="1548.88"/>
    <n v="0"/>
    <n v="0"/>
    <n v="1548.88"/>
    <n v="1037.75"/>
    <n v="511.13"/>
  </r>
  <r>
    <n v="100011"/>
    <n v="4085"/>
    <x v="3"/>
    <x v="0"/>
    <x v="0"/>
    <s v="Cookware"/>
    <x v="11"/>
    <d v="2023-02-17T00:00:00"/>
    <d v="2023-03-05T00:00:00"/>
    <n v="21"/>
    <n v="5"/>
    <n v="9"/>
    <n v="746.3"/>
    <n v="6716.7"/>
    <n v="0"/>
    <n v="0"/>
    <n v="6716.7"/>
    <n v="4164.3500000000004"/>
    <n v="2552.35"/>
  </r>
  <r>
    <n v="100012"/>
    <n v="4650"/>
    <x v="0"/>
    <x v="1"/>
    <x v="3"/>
    <s v="Shirt"/>
    <x v="12"/>
    <d v="2023-08-08T00:00:00"/>
    <d v="2023-08-27T00:00:00"/>
    <n v="20"/>
    <n v="1"/>
    <n v="6"/>
    <n v="33.049999999999997"/>
    <n v="198.3"/>
    <n v="0.05"/>
    <n v="9.91"/>
    <n v="188.38"/>
    <n v="120.96"/>
    <n v="67.42"/>
  </r>
  <r>
    <n v="100013"/>
    <n v="4680"/>
    <x v="0"/>
    <x v="2"/>
    <x v="1"/>
    <s v="Snacks"/>
    <x v="13"/>
    <d v="2023-06-19T00:00:00"/>
    <d v="2023-07-04T00:00:00"/>
    <n v="17"/>
    <n v="2"/>
    <n v="4"/>
    <n v="428.77"/>
    <n v="1715.08"/>
    <n v="0.14000000000000001"/>
    <n v="240.11"/>
    <n v="1474.97"/>
    <n v="977.6"/>
    <n v="497.37"/>
  </r>
  <r>
    <n v="100014"/>
    <n v="4921"/>
    <x v="3"/>
    <x v="1"/>
    <x v="0"/>
    <s v="Table"/>
    <x v="14"/>
    <d v="2023-03-12T00:00:00"/>
    <d v="2023-03-22T00:00:00"/>
    <n v="12"/>
    <n v="2"/>
    <n v="1"/>
    <n v="257.95"/>
    <n v="257.95"/>
    <n v="0.03"/>
    <n v="7.74"/>
    <n v="250.21"/>
    <n v="180.56"/>
    <n v="69.650000000000006"/>
  </r>
  <r>
    <n v="100015"/>
    <n v="3134"/>
    <x v="2"/>
    <x v="0"/>
    <x v="3"/>
    <s v="Shoes"/>
    <x v="15"/>
    <d v="2023-01-06T00:00:00"/>
    <d v="2023-01-13T00:00:00"/>
    <n v="12"/>
    <n v="5"/>
    <n v="3"/>
    <n v="585.46"/>
    <n v="1756.38"/>
    <n v="7.0000000000000007E-2"/>
    <n v="122.95"/>
    <n v="1633.43"/>
    <n v="1282.1600000000001"/>
    <n v="351.27"/>
  </r>
  <r>
    <n v="100016"/>
    <n v="1601"/>
    <x v="2"/>
    <x v="1"/>
    <x v="1"/>
    <s v="Snacks"/>
    <x v="16"/>
    <d v="2023-03-22T00:00:00"/>
    <d v="2023-03-23T00:00:00"/>
    <n v="6"/>
    <n v="5"/>
    <n v="10"/>
    <n v="536.36"/>
    <n v="5363.6"/>
    <n v="0.14000000000000001"/>
    <n v="750.9"/>
    <n v="4612.7"/>
    <n v="3432.7"/>
    <n v="1180"/>
  </r>
  <r>
    <n v="100017"/>
    <n v="3437"/>
    <x v="0"/>
    <x v="1"/>
    <x v="0"/>
    <s v="Lamp"/>
    <x v="17"/>
    <d v="2023-11-10T00:00:00"/>
    <d v="2023-12-05T00:00:00"/>
    <n v="27"/>
    <n v="2"/>
    <n v="10"/>
    <n v="559.17999999999995"/>
    <n v="5591.8"/>
    <n v="0.1"/>
    <n v="559.17999999999995"/>
    <n v="5032.62"/>
    <n v="3299.16"/>
    <n v="1733.46"/>
  </r>
  <r>
    <n v="100018"/>
    <n v="3415"/>
    <x v="3"/>
    <x v="0"/>
    <x v="3"/>
    <s v="Shirt"/>
    <x v="18"/>
    <d v="2023-09-13T00:00:00"/>
    <d v="2023-09-16T00:00:00"/>
    <n v="8"/>
    <n v="5"/>
    <n v="8"/>
    <n v="393.84"/>
    <n v="3150.72"/>
    <n v="0.13"/>
    <n v="409.59"/>
    <n v="2741.13"/>
    <n v="1858.92"/>
    <n v="882.21"/>
  </r>
  <r>
    <n v="100019"/>
    <n v="3401"/>
    <x v="1"/>
    <x v="2"/>
    <x v="1"/>
    <s v="Beverage"/>
    <x v="19"/>
    <d v="2023-01-09T00:00:00"/>
    <d v="2023-01-15T00:00:00"/>
    <n v="8"/>
    <n v="2"/>
    <n v="5"/>
    <n v="355.73"/>
    <n v="1778.65"/>
    <n v="0.08"/>
    <n v="142.29"/>
    <n v="1636.36"/>
    <n v="1245.06"/>
    <n v="391.3"/>
  </r>
  <r>
    <n v="100020"/>
    <n v="1143"/>
    <x v="2"/>
    <x v="0"/>
    <x v="2"/>
    <s v="Tablet"/>
    <x v="20"/>
    <d v="2023-10-04T00:00:00"/>
    <d v="2023-10-13T00:00:00"/>
    <n v="10"/>
    <n v="1"/>
    <n v="13"/>
    <n v="148.44999999999999"/>
    <n v="1929.85"/>
    <n v="0.1"/>
    <n v="192.98"/>
    <n v="1736.86"/>
    <n v="1293"/>
    <n v="443.86"/>
  </r>
  <r>
    <n v="100021"/>
    <n v="3767"/>
    <x v="3"/>
    <x v="2"/>
    <x v="3"/>
    <s v="Jacket"/>
    <x v="21"/>
    <d v="2023-02-15T00:00:00"/>
    <d v="2023-02-23T00:00:00"/>
    <n v="9"/>
    <n v="1"/>
    <n v="4"/>
    <n v="172.58"/>
    <n v="690.32"/>
    <n v="0"/>
    <n v="0"/>
    <n v="690.32"/>
    <n v="407.29"/>
    <n v="283.02999999999997"/>
  </r>
  <r>
    <n v="100022"/>
    <n v="2174"/>
    <x v="1"/>
    <x v="1"/>
    <x v="0"/>
    <s v="Cookware"/>
    <x v="22"/>
    <d v="2023-07-12T00:00:00"/>
    <d v="2023-07-27T00:00:00"/>
    <n v="16"/>
    <n v="1"/>
    <n v="7"/>
    <n v="187.71"/>
    <n v="1313.97"/>
    <n v="0.14000000000000001"/>
    <n v="183.96"/>
    <n v="1130.01"/>
    <n v="827.8"/>
    <n v="302.20999999999998"/>
  </r>
  <r>
    <n v="100023"/>
    <n v="2575"/>
    <x v="0"/>
    <x v="2"/>
    <x v="2"/>
    <s v="Phone"/>
    <x v="23"/>
    <d v="2023-11-23T00:00:00"/>
    <d v="2023-12-19T00:00:00"/>
    <n v="27"/>
    <n v="1"/>
    <n v="3"/>
    <n v="174.2"/>
    <n v="522.6"/>
    <n v="0.04"/>
    <n v="20.9"/>
    <n v="501.7"/>
    <n v="360.59"/>
    <n v="141.11000000000001"/>
  </r>
  <r>
    <n v="100024"/>
    <n v="3981"/>
    <x v="0"/>
    <x v="1"/>
    <x v="2"/>
    <s v="Tablet"/>
    <x v="24"/>
    <d v="2023-11-10T00:00:00"/>
    <d v="2023-11-11T00:00:00"/>
    <n v="2"/>
    <n v="1"/>
    <n v="9"/>
    <n v="278.52"/>
    <n v="2506.6799999999998"/>
    <n v="0.11"/>
    <n v="275.73"/>
    <n v="2230.9499999999998"/>
    <n v="1654.41"/>
    <n v="576.54"/>
  </r>
  <r>
    <n v="100025"/>
    <n v="1950"/>
    <x v="2"/>
    <x v="0"/>
    <x v="1"/>
    <s v="Snacks"/>
    <x v="25"/>
    <d v="2023-06-07T00:00:00"/>
    <d v="2023-06-08T00:00:00"/>
    <n v="6"/>
    <n v="5"/>
    <n v="2"/>
    <n v="674.4"/>
    <n v="1348.8"/>
    <n v="0.14000000000000001"/>
    <n v="188.83"/>
    <n v="1159.97"/>
    <n v="822.77"/>
    <n v="337.2"/>
  </r>
  <r>
    <n v="100026"/>
    <n v="3064"/>
    <x v="0"/>
    <x v="2"/>
    <x v="1"/>
    <s v="Snacks"/>
    <x v="26"/>
    <d v="2023-07-07T00:00:00"/>
    <d v="2023-07-09T00:00:00"/>
    <n v="6"/>
    <n v="4"/>
    <n v="11"/>
    <n v="143.78"/>
    <n v="1581.58"/>
    <n v="0.11"/>
    <n v="173.97"/>
    <n v="1407.61"/>
    <n v="996.4"/>
    <n v="411.21"/>
  </r>
  <r>
    <n v="100027"/>
    <n v="2757"/>
    <x v="1"/>
    <x v="1"/>
    <x v="3"/>
    <s v="Shirt"/>
    <x v="27"/>
    <d v="2023-04-28T00:00:00"/>
    <d v="2023-05-07T00:00:00"/>
    <n v="14"/>
    <n v="5"/>
    <n v="6"/>
    <n v="276.64"/>
    <n v="1659.84"/>
    <n v="0.06"/>
    <n v="99.59"/>
    <n v="1560.25"/>
    <n v="1078.9000000000001"/>
    <n v="481.35"/>
  </r>
  <r>
    <n v="100028"/>
    <n v="1901"/>
    <x v="1"/>
    <x v="1"/>
    <x v="2"/>
    <s v="Laptop"/>
    <x v="28"/>
    <d v="2023-09-14T00:00:00"/>
    <d v="2023-09-30T00:00:00"/>
    <n v="21"/>
    <n v="5"/>
    <n v="7"/>
    <n v="451.54"/>
    <n v="3160.78"/>
    <n v="0.06"/>
    <n v="189.65"/>
    <n v="2971.13"/>
    <n v="1959.68"/>
    <n v="1011.45"/>
  </r>
  <r>
    <n v="100029"/>
    <n v="3213"/>
    <x v="0"/>
    <x v="1"/>
    <x v="3"/>
    <s v="Jacket"/>
    <x v="29"/>
    <d v="2023-07-14T00:00:00"/>
    <d v="2023-08-01T00:00:00"/>
    <n v="23"/>
    <n v="5"/>
    <n v="2"/>
    <n v="99.05"/>
    <n v="198.1"/>
    <n v="0.1"/>
    <n v="19.809999999999999"/>
    <n v="178.29"/>
    <n v="130.75"/>
    <n v="47.54"/>
  </r>
  <r>
    <n v="100030"/>
    <n v="4217"/>
    <x v="3"/>
    <x v="0"/>
    <x v="1"/>
    <s v="Pasta"/>
    <x v="30"/>
    <d v="2023-10-23T00:00:00"/>
    <d v="2023-11-01T00:00:00"/>
    <n v="14"/>
    <n v="5"/>
    <n v="14"/>
    <n v="666.61"/>
    <n v="9332.5400000000009"/>
    <n v="0.06"/>
    <n v="559.95000000000005"/>
    <n v="8772.59"/>
    <n v="5132.8999999999996"/>
    <n v="3639.69"/>
  </r>
  <r>
    <n v="100031"/>
    <n v="3829"/>
    <x v="1"/>
    <x v="1"/>
    <x v="0"/>
    <s v="Lamp"/>
    <x v="24"/>
    <d v="2023-11-11T00:00:00"/>
    <d v="2023-11-27T00:00:00"/>
    <n v="18"/>
    <n v="2"/>
    <n v="10"/>
    <n v="219.03"/>
    <n v="2190.3000000000002"/>
    <n v="0"/>
    <n v="0"/>
    <n v="2190.3000000000002"/>
    <n v="1511.31"/>
    <n v="678.99"/>
  </r>
  <r>
    <n v="100032"/>
    <n v="1981"/>
    <x v="2"/>
    <x v="1"/>
    <x v="0"/>
    <s v="Sofa"/>
    <x v="31"/>
    <d v="2023-07-25T00:00:00"/>
    <d v="2023-08-20T00:00:00"/>
    <n v="30"/>
    <n v="4"/>
    <n v="14"/>
    <n v="120.34"/>
    <n v="1684.76"/>
    <n v="0.1"/>
    <n v="168.48"/>
    <n v="1516.28"/>
    <n v="1111.94"/>
    <n v="404.34"/>
  </r>
  <r>
    <n v="100033"/>
    <n v="2986"/>
    <x v="3"/>
    <x v="2"/>
    <x v="3"/>
    <s v="Shirt"/>
    <x v="32"/>
    <d v="2023-02-09T00:00:00"/>
    <d v="2023-02-13T00:00:00"/>
    <n v="5"/>
    <n v="1"/>
    <n v="13"/>
    <n v="438.69"/>
    <n v="5702.97"/>
    <n v="0.12"/>
    <n v="684.36"/>
    <n v="5018.6099999999997"/>
    <n v="3592.87"/>
    <n v="1425.74"/>
  </r>
  <r>
    <n v="100034"/>
    <n v="4513"/>
    <x v="3"/>
    <x v="0"/>
    <x v="2"/>
    <s v="Laptop"/>
    <x v="33"/>
    <d v="2023-09-19T00:00:00"/>
    <d v="2023-10-11T00:00:00"/>
    <n v="23"/>
    <n v="1"/>
    <n v="14"/>
    <n v="182.57"/>
    <n v="2555.98"/>
    <n v="0.17"/>
    <n v="434.52"/>
    <n v="2121.46"/>
    <n v="1303.55"/>
    <n v="817.91"/>
  </r>
  <r>
    <n v="100035"/>
    <n v="3061"/>
    <x v="3"/>
    <x v="0"/>
    <x v="0"/>
    <s v="Cookware"/>
    <x v="34"/>
    <d v="2023-05-21T00:00:00"/>
    <d v="2023-06-08T00:00:00"/>
    <n v="21"/>
    <n v="3"/>
    <n v="4"/>
    <n v="197.36"/>
    <n v="789.44"/>
    <n v="0.1"/>
    <n v="78.94"/>
    <n v="710.5"/>
    <n v="560.5"/>
    <n v="150"/>
  </r>
  <r>
    <n v="100036"/>
    <n v="1782"/>
    <x v="1"/>
    <x v="2"/>
    <x v="0"/>
    <s v="Table"/>
    <x v="35"/>
    <d v="2023-12-13T00:00:00"/>
    <d v="2024-01-01T00:00:00"/>
    <n v="22"/>
    <n v="3"/>
    <n v="5"/>
    <n v="68.06"/>
    <n v="340.3"/>
    <n v="0.05"/>
    <n v="17.02"/>
    <n v="323.29000000000002"/>
    <n v="193.97"/>
    <n v="129.32"/>
  </r>
  <r>
    <n v="100037"/>
    <n v="2287"/>
    <x v="2"/>
    <x v="0"/>
    <x v="3"/>
    <s v="Shirt"/>
    <x v="36"/>
    <d v="2023-07-19T00:00:00"/>
    <d v="2023-07-26T00:00:00"/>
    <n v="11"/>
    <n v="4"/>
    <n v="4"/>
    <n v="222.55"/>
    <n v="890.2"/>
    <n v="0.13"/>
    <n v="115.73"/>
    <n v="774.47"/>
    <n v="596.42999999999995"/>
    <n v="178.04"/>
  </r>
  <r>
    <n v="100038"/>
    <n v="2435"/>
    <x v="3"/>
    <x v="0"/>
    <x v="1"/>
    <s v="Pasta"/>
    <x v="9"/>
    <d v="2023-03-16T00:00:00"/>
    <d v="2023-03-21T00:00:00"/>
    <n v="7"/>
    <n v="2"/>
    <n v="1"/>
    <n v="547.36"/>
    <n v="547.36"/>
    <n v="0.04"/>
    <n v="21.89"/>
    <n v="525.47"/>
    <n v="383.15"/>
    <n v="142.32"/>
  </r>
  <r>
    <n v="100039"/>
    <n v="3999"/>
    <x v="0"/>
    <x v="2"/>
    <x v="0"/>
    <s v="Table"/>
    <x v="37"/>
    <d v="2023-12-08T00:00:00"/>
    <d v="2023-12-21T00:00:00"/>
    <n v="15"/>
    <n v="2"/>
    <n v="2"/>
    <n v="368.96"/>
    <n v="737.92"/>
    <n v="0"/>
    <n v="0"/>
    <n v="737.92"/>
    <n v="523.91999999999996"/>
    <n v="214"/>
  </r>
  <r>
    <n v="100040"/>
    <n v="3243"/>
    <x v="2"/>
    <x v="0"/>
    <x v="0"/>
    <s v="Sofa"/>
    <x v="38"/>
    <d v="2023-09-17T00:00:00"/>
    <d v="2023-09-18T00:00:00"/>
    <n v="3"/>
    <n v="2"/>
    <n v="13"/>
    <n v="358.55"/>
    <n v="4661.1499999999996"/>
    <n v="0.02"/>
    <n v="93.22"/>
    <n v="4567.93"/>
    <n v="2796.69"/>
    <n v="1771.24"/>
  </r>
  <r>
    <n v="100041"/>
    <n v="4439"/>
    <x v="2"/>
    <x v="2"/>
    <x v="0"/>
    <s v="Table"/>
    <x v="39"/>
    <d v="2023-07-15T00:00:00"/>
    <d v="2023-07-26T00:00:00"/>
    <n v="14"/>
    <n v="3"/>
    <n v="13"/>
    <n v="642.9"/>
    <n v="8357.7000000000007"/>
    <n v="0.03"/>
    <n v="250.73"/>
    <n v="8106.97"/>
    <n v="5098.2"/>
    <n v="3008.77"/>
  </r>
  <r>
    <n v="100042"/>
    <n v="4353"/>
    <x v="0"/>
    <x v="1"/>
    <x v="1"/>
    <s v="Pasta"/>
    <x v="40"/>
    <d v="2023-12-20T00:00:00"/>
    <d v="2023-12-23T00:00:00"/>
    <n v="7"/>
    <n v="4"/>
    <n v="4"/>
    <n v="423.26"/>
    <n v="1693.04"/>
    <n v="0.1"/>
    <n v="169.3"/>
    <n v="1523.74"/>
    <n v="1066.6199999999999"/>
    <n v="457.12"/>
  </r>
  <r>
    <n v="100043"/>
    <n v="2651"/>
    <x v="0"/>
    <x v="1"/>
    <x v="0"/>
    <s v="Sofa"/>
    <x v="41"/>
    <d v="2023-04-08T00:00:00"/>
    <d v="2023-04-10T00:00:00"/>
    <n v="7"/>
    <n v="5"/>
    <n v="8"/>
    <n v="551.15"/>
    <n v="4409.2"/>
    <n v="0.06"/>
    <n v="264.55"/>
    <n v="4144.6499999999996"/>
    <n v="2513.2399999999998"/>
    <n v="1631.41"/>
  </r>
  <r>
    <n v="100044"/>
    <n v="2392"/>
    <x v="1"/>
    <x v="2"/>
    <x v="2"/>
    <s v="Headphones"/>
    <x v="42"/>
    <d v="2023-09-14T00:00:00"/>
    <d v="2023-09-27T00:00:00"/>
    <n v="17"/>
    <n v="4"/>
    <n v="6"/>
    <n v="254.94"/>
    <n v="1529.64"/>
    <n v="0"/>
    <n v="0"/>
    <n v="1529.64"/>
    <n v="856.6"/>
    <n v="673.04"/>
  </r>
  <r>
    <n v="100045"/>
    <n v="1478"/>
    <x v="0"/>
    <x v="2"/>
    <x v="3"/>
    <s v="Shoes"/>
    <x v="43"/>
    <d v="2023-03-17T00:00:00"/>
    <d v="2023-03-15T00:00:00"/>
    <n v="2"/>
    <n v="4"/>
    <n v="8"/>
    <n v="280.49"/>
    <n v="2243.92"/>
    <n v="0.06"/>
    <n v="134.63999999999999"/>
    <n v="2109.2800000000002"/>
    <n v="1660.5"/>
    <n v="448.78"/>
  </r>
  <r>
    <n v="100046"/>
    <n v="4042"/>
    <x v="1"/>
    <x v="1"/>
    <x v="3"/>
    <s v="Shirt"/>
    <x v="44"/>
    <d v="2023-10-08T00:00:00"/>
    <d v="2023-10-19T00:00:00"/>
    <n v="12"/>
    <n v="1"/>
    <n v="1"/>
    <n v="267.07"/>
    <n v="267.07"/>
    <n v="0.09"/>
    <n v="24.04"/>
    <n v="243.03"/>
    <n v="170.92"/>
    <n v="72.11"/>
  </r>
  <r>
    <n v="100047"/>
    <n v="1013"/>
    <x v="0"/>
    <x v="0"/>
    <x v="3"/>
    <s v="Jacket"/>
    <x v="45"/>
    <d v="2023-01-15T00:00:00"/>
    <d v="2023-02-04T00:00:00"/>
    <n v="24"/>
    <n v="4"/>
    <n v="6"/>
    <n v="225.61"/>
    <n v="1353.66"/>
    <n v="0.18"/>
    <n v="243.66"/>
    <n v="1110"/>
    <n v="852.81"/>
    <n v="257.19"/>
  </r>
  <r>
    <n v="100048"/>
    <n v="2436"/>
    <x v="2"/>
    <x v="0"/>
    <x v="2"/>
    <s v="Phone"/>
    <x v="46"/>
    <d v="2023-08-23T00:00:00"/>
    <d v="2023-08-28T00:00:00"/>
    <n v="6"/>
    <n v="1"/>
    <n v="6"/>
    <n v="89.72"/>
    <n v="538.32000000000005"/>
    <n v="0.09"/>
    <n v="48.45"/>
    <n v="489.87"/>
    <n v="306.83999999999997"/>
    <n v="183.03"/>
  </r>
  <r>
    <n v="100049"/>
    <n v="3784"/>
    <x v="1"/>
    <x v="0"/>
    <x v="3"/>
    <s v="Jeans"/>
    <x v="47"/>
    <d v="2023-10-24T00:00:00"/>
    <d v="2023-11-12T00:00:00"/>
    <n v="24"/>
    <n v="5"/>
    <n v="13"/>
    <n v="265.12"/>
    <n v="3446.56"/>
    <n v="0.02"/>
    <n v="68.930000000000007"/>
    <n v="3377.63"/>
    <n v="2309.1999999999998"/>
    <n v="1068.43"/>
  </r>
  <r>
    <n v="100050"/>
    <n v="3513"/>
    <x v="3"/>
    <x v="2"/>
    <x v="0"/>
    <s v="Cookware"/>
    <x v="48"/>
    <d v="2023-11-15T00:00:00"/>
    <d v="2023-11-17T00:00:00"/>
    <n v="3"/>
    <n v="1"/>
    <n v="2"/>
    <n v="252.84"/>
    <n v="505.68"/>
    <n v="0.02"/>
    <n v="10.11"/>
    <n v="495.57"/>
    <n v="313.52"/>
    <n v="182.05"/>
  </r>
  <r>
    <n v="100051"/>
    <n v="1358"/>
    <x v="2"/>
    <x v="1"/>
    <x v="0"/>
    <s v="Cookware"/>
    <x v="49"/>
    <d v="2023-06-02T00:00:00"/>
    <d v="2023-06-17T00:00:00"/>
    <n v="16"/>
    <n v="1"/>
    <n v="11"/>
    <n v="512.48"/>
    <n v="5637.28"/>
    <n v="0.01"/>
    <n v="56.37"/>
    <n v="5580.91"/>
    <n v="3438.74"/>
    <n v="2142.17"/>
  </r>
  <r>
    <n v="100052"/>
    <n v="4000"/>
    <x v="3"/>
    <x v="1"/>
    <x v="2"/>
    <s v="Laptop"/>
    <x v="41"/>
    <d v="2023-04-04T00:00:00"/>
    <d v="2023-05-01T00:00:00"/>
    <n v="28"/>
    <n v="1"/>
    <n v="8"/>
    <n v="163.75"/>
    <n v="1310"/>
    <n v="0.12"/>
    <n v="157.19999999999999"/>
    <n v="1152.8"/>
    <n v="812.2"/>
    <n v="340.6"/>
  </r>
  <r>
    <n v="100053"/>
    <n v="3022"/>
    <x v="0"/>
    <x v="1"/>
    <x v="1"/>
    <s v="Pasta"/>
    <x v="50"/>
    <d v="2023-09-06T00:00:00"/>
    <d v="2023-09-14T00:00:00"/>
    <n v="9"/>
    <n v="1"/>
    <n v="14"/>
    <n v="608.11"/>
    <n v="8513.5400000000009"/>
    <n v="0.11"/>
    <n v="936.49"/>
    <n v="7577.05"/>
    <n v="4937.8500000000004"/>
    <n v="2639.2"/>
  </r>
  <r>
    <n v="100054"/>
    <n v="1555"/>
    <x v="0"/>
    <x v="0"/>
    <x v="2"/>
    <s v="Phone"/>
    <x v="51"/>
    <d v="2023-08-17T00:00:00"/>
    <d v="2023-09-09T00:00:00"/>
    <n v="27"/>
    <n v="4"/>
    <n v="8"/>
    <n v="29.08"/>
    <n v="232.64"/>
    <n v="0.05"/>
    <n v="11.63"/>
    <n v="221.01"/>
    <n v="160.52000000000001"/>
    <n v="60.49"/>
  </r>
  <r>
    <n v="100055"/>
    <n v="3098"/>
    <x v="1"/>
    <x v="1"/>
    <x v="2"/>
    <s v="Headphones"/>
    <x v="52"/>
    <d v="2023-06-02T00:00:00"/>
    <d v="2023-06-18T00:00:00"/>
    <n v="19"/>
    <n v="3"/>
    <n v="8"/>
    <n v="401.76"/>
    <n v="3214.08"/>
    <n v="0.09"/>
    <n v="289.27"/>
    <n v="2924.81"/>
    <n v="1767.74"/>
    <n v="1157.07"/>
  </r>
  <r>
    <n v="100056"/>
    <n v="4308"/>
    <x v="3"/>
    <x v="2"/>
    <x v="0"/>
    <s v="Lamp"/>
    <x v="53"/>
    <d v="2023-12-26T00:00:00"/>
    <d v="2024-01-22T00:00:00"/>
    <n v="30"/>
    <n v="3"/>
    <n v="7"/>
    <n v="681.22"/>
    <n v="4768.54"/>
    <n v="0.1"/>
    <n v="476.85"/>
    <n v="4291.6899999999996"/>
    <n v="3004.18"/>
    <n v="1287.51"/>
  </r>
  <r>
    <n v="100057"/>
    <n v="2141"/>
    <x v="1"/>
    <x v="0"/>
    <x v="3"/>
    <s v="Shoes"/>
    <x v="3"/>
    <d v="2023-03-11T00:00:00"/>
    <d v="2023-03-11T00:00:00"/>
    <n v="2"/>
    <n v="2"/>
    <n v="2"/>
    <n v="113.69"/>
    <n v="227.38"/>
    <n v="7.0000000000000007E-2"/>
    <n v="15.92"/>
    <n v="211.46"/>
    <n v="156.88999999999999"/>
    <n v="54.57"/>
  </r>
  <r>
    <n v="100058"/>
    <n v="2873"/>
    <x v="3"/>
    <x v="1"/>
    <x v="1"/>
    <s v="Snacks"/>
    <x v="54"/>
    <d v="2023-08-13T00:00:00"/>
    <d v="2023-08-31T00:00:00"/>
    <n v="23"/>
    <n v="5"/>
    <n v="4"/>
    <n v="247.26"/>
    <n v="989.04"/>
    <n v="0.06"/>
    <n v="59.34"/>
    <n v="929.7"/>
    <n v="682.44"/>
    <n v="247.26"/>
  </r>
  <r>
    <n v="100059"/>
    <n v="2043"/>
    <x v="2"/>
    <x v="0"/>
    <x v="1"/>
    <s v="Rice"/>
    <x v="55"/>
    <d v="2023-01-22T00:00:00"/>
    <d v="2023-02-14T00:00:00"/>
    <n v="25"/>
    <n v="2"/>
    <n v="6"/>
    <n v="598.35"/>
    <n v="3590.1"/>
    <n v="0.02"/>
    <n v="71.8"/>
    <n v="3518.3"/>
    <n v="2297.66"/>
    <n v="1220.6400000000001"/>
  </r>
  <r>
    <n v="100060"/>
    <n v="1971"/>
    <x v="3"/>
    <x v="2"/>
    <x v="0"/>
    <s v="Table"/>
    <x v="56"/>
    <d v="2023-01-08T00:00:00"/>
    <d v="2023-01-24T00:00:00"/>
    <n v="19"/>
    <n v="3"/>
    <n v="14"/>
    <n v="92.49"/>
    <n v="1294.8599999999999"/>
    <n v="0.09"/>
    <n v="116.54"/>
    <n v="1178.32"/>
    <n v="880.5"/>
    <n v="297.82"/>
  </r>
  <r>
    <n v="100061"/>
    <n v="3499"/>
    <x v="1"/>
    <x v="2"/>
    <x v="3"/>
    <s v="Jeans"/>
    <x v="20"/>
    <d v="2023-10-05T00:00:00"/>
    <d v="2023-10-05T00:00:00"/>
    <n v="2"/>
    <n v="2"/>
    <n v="1"/>
    <n v="766.89"/>
    <n v="766.89"/>
    <n v="7.0000000000000007E-2"/>
    <n v="53.68"/>
    <n v="713.21"/>
    <n v="421.79"/>
    <n v="291.42"/>
  </r>
  <r>
    <n v="100062"/>
    <n v="4258"/>
    <x v="3"/>
    <x v="2"/>
    <x v="2"/>
    <s v="Phone"/>
    <x v="57"/>
    <d v="2023-02-08T00:00:00"/>
    <d v="2023-02-07T00:00:00"/>
    <n v="4"/>
    <n v="5"/>
    <n v="3"/>
    <n v="520.78"/>
    <n v="1562.34"/>
    <n v="0.02"/>
    <n v="31.25"/>
    <n v="1531.09"/>
    <n v="953.03"/>
    <n v="578.05999999999995"/>
  </r>
  <r>
    <n v="100063"/>
    <n v="3730"/>
    <x v="3"/>
    <x v="2"/>
    <x v="2"/>
    <s v="Tablet"/>
    <x v="58"/>
    <d v="2023-05-07T00:00:00"/>
    <d v="2023-05-28T00:00:00"/>
    <n v="24"/>
    <n v="3"/>
    <n v="9"/>
    <n v="209.16"/>
    <n v="1882.44"/>
    <n v="0.09"/>
    <n v="169.42"/>
    <n v="1713.02"/>
    <n v="1129.46"/>
    <n v="583.55999999999995"/>
  </r>
  <r>
    <n v="100064"/>
    <n v="1914"/>
    <x v="2"/>
    <x v="2"/>
    <x v="1"/>
    <s v="Rice"/>
    <x v="59"/>
    <d v="2023-10-15T00:00:00"/>
    <d v="2023-10-27T00:00:00"/>
    <n v="13"/>
    <n v="1"/>
    <n v="3"/>
    <n v="663.13"/>
    <n v="1989.39"/>
    <n v="0.11"/>
    <n v="218.83"/>
    <n v="1770.56"/>
    <n v="1293.0999999999999"/>
    <n v="477.46"/>
  </r>
  <r>
    <n v="100065"/>
    <n v="2023"/>
    <x v="3"/>
    <x v="2"/>
    <x v="0"/>
    <s v="Sofa"/>
    <x v="7"/>
    <d v="2023-07-08T00:00:00"/>
    <d v="2023-07-30T00:00:00"/>
    <n v="25"/>
    <n v="3"/>
    <n v="4"/>
    <n v="587.49"/>
    <n v="2349.96"/>
    <n v="0.11"/>
    <n v="258.5"/>
    <n v="2091.46"/>
    <n v="1456.98"/>
    <n v="634.48"/>
  </r>
  <r>
    <n v="100066"/>
    <n v="4189"/>
    <x v="1"/>
    <x v="2"/>
    <x v="2"/>
    <s v="Headphones"/>
    <x v="60"/>
    <d v="2023-08-20T00:00:00"/>
    <d v="2023-08-22T00:00:00"/>
    <n v="4"/>
    <n v="2"/>
    <n v="9"/>
    <n v="405.87"/>
    <n v="3652.83"/>
    <n v="0"/>
    <n v="0"/>
    <n v="3652.83"/>
    <n v="2374.34"/>
    <n v="1278.49"/>
  </r>
  <r>
    <n v="100067"/>
    <n v="2704"/>
    <x v="3"/>
    <x v="0"/>
    <x v="2"/>
    <s v="Phone"/>
    <x v="61"/>
    <d v="2023-11-27T00:00:00"/>
    <d v="2023-12-13T00:00:00"/>
    <n v="17"/>
    <n v="1"/>
    <n v="9"/>
    <n v="105.97"/>
    <n v="953.73"/>
    <n v="0.08"/>
    <n v="76.3"/>
    <n v="877.43"/>
    <n v="562.70000000000005"/>
    <n v="314.73"/>
  </r>
  <r>
    <n v="100068"/>
    <n v="1666"/>
    <x v="2"/>
    <x v="1"/>
    <x v="3"/>
    <s v="Jacket"/>
    <x v="62"/>
    <d v="2023-05-14T00:00:00"/>
    <d v="2023-05-30T00:00:00"/>
    <n v="19"/>
    <n v="3"/>
    <n v="8"/>
    <n v="57.85"/>
    <n v="462.8"/>
    <n v="7.0000000000000007E-2"/>
    <n v="32.4"/>
    <n v="430.4"/>
    <n v="282.31"/>
    <n v="148.09"/>
  </r>
  <r>
    <n v="100069"/>
    <n v="2947"/>
    <x v="2"/>
    <x v="2"/>
    <x v="0"/>
    <s v="Sofa"/>
    <x v="63"/>
    <d v="2023-03-26T00:00:00"/>
    <d v="2023-04-18T00:00:00"/>
    <n v="24"/>
    <n v="1"/>
    <n v="9"/>
    <n v="61.61"/>
    <n v="554.49"/>
    <n v="0.05"/>
    <n v="27.72"/>
    <n v="526.77"/>
    <n v="388.14"/>
    <n v="138.63"/>
  </r>
  <r>
    <n v="100070"/>
    <n v="3895"/>
    <x v="1"/>
    <x v="2"/>
    <x v="1"/>
    <s v="Rice"/>
    <x v="64"/>
    <d v="2023-01-23T00:00:00"/>
    <d v="2023-02-14T00:00:00"/>
    <n v="23"/>
    <n v="1"/>
    <n v="9"/>
    <n v="141.69999999999999"/>
    <n v="1275.3"/>
    <n v="0.17"/>
    <n v="216.8"/>
    <n v="1058.5"/>
    <n v="765.18"/>
    <n v="293.32"/>
  </r>
  <r>
    <n v="100071"/>
    <n v="1106"/>
    <x v="3"/>
    <x v="1"/>
    <x v="0"/>
    <s v="Sofa"/>
    <x v="65"/>
    <d v="2023-05-02T00:00:00"/>
    <d v="2023-05-19T00:00:00"/>
    <n v="19"/>
    <n v="2"/>
    <n v="4"/>
    <n v="292.31"/>
    <n v="1169.24"/>
    <n v="0.12"/>
    <n v="140.31"/>
    <n v="1028.93"/>
    <n v="701.54"/>
    <n v="327.39"/>
  </r>
  <r>
    <n v="100072"/>
    <n v="2629"/>
    <x v="0"/>
    <x v="1"/>
    <x v="0"/>
    <s v="Sofa"/>
    <x v="3"/>
    <d v="2023-03-14T00:00:00"/>
    <d v="2023-04-03T00:00:00"/>
    <n v="25"/>
    <n v="5"/>
    <n v="10"/>
    <n v="274.27999999999997"/>
    <n v="2742.8"/>
    <n v="0.16"/>
    <n v="438.85"/>
    <n v="2303.9499999999998"/>
    <n v="1837.68"/>
    <n v="466.27"/>
  </r>
  <r>
    <n v="100073"/>
    <n v="2582"/>
    <x v="1"/>
    <x v="0"/>
    <x v="3"/>
    <s v="Jeans"/>
    <x v="66"/>
    <d v="2023-07-26T00:00:00"/>
    <d v="2023-08-10T00:00:00"/>
    <n v="18"/>
    <n v="3"/>
    <n v="2"/>
    <n v="540.25"/>
    <n v="1080.5"/>
    <n v="0.04"/>
    <n v="43.22"/>
    <n v="1037.28"/>
    <n v="583.47"/>
    <n v="453.81"/>
  </r>
  <r>
    <n v="100074"/>
    <n v="4167"/>
    <x v="2"/>
    <x v="1"/>
    <x v="3"/>
    <s v="Shoes"/>
    <x v="67"/>
    <d v="2023-02-20T00:00:00"/>
    <d v="2023-03-06T00:00:00"/>
    <n v="17"/>
    <n v="3"/>
    <n v="6"/>
    <n v="326.64"/>
    <n v="1959.84"/>
    <n v="0"/>
    <n v="0"/>
    <n v="1959.84"/>
    <n v="1273.9000000000001"/>
    <n v="685.94"/>
  </r>
  <r>
    <n v="100075"/>
    <n v="2888"/>
    <x v="1"/>
    <x v="2"/>
    <x v="3"/>
    <s v="Jeans"/>
    <x v="68"/>
    <d v="2023-10-02T00:00:00"/>
    <d v="2023-10-07T00:00:00"/>
    <n v="7"/>
    <n v="2"/>
    <n v="11"/>
    <n v="448.25"/>
    <n v="4930.75"/>
    <n v="0.09"/>
    <n v="443.77"/>
    <n v="4486.9799999999996"/>
    <n v="2761.22"/>
    <n v="1725.76"/>
  </r>
  <r>
    <n v="100076"/>
    <n v="1930"/>
    <x v="1"/>
    <x v="1"/>
    <x v="3"/>
    <s v="Jacket"/>
    <x v="69"/>
    <d v="2023-01-17T00:00:00"/>
    <d v="2023-02-04T00:00:00"/>
    <n v="22"/>
    <n v="4"/>
    <n v="4"/>
    <n v="38.68"/>
    <n v="154.72"/>
    <n v="0.04"/>
    <n v="6.19"/>
    <n v="148.53"/>
    <n v="91.28"/>
    <n v="57.25"/>
  </r>
  <r>
    <n v="100077"/>
    <n v="1207"/>
    <x v="1"/>
    <x v="2"/>
    <x v="0"/>
    <s v="Sofa"/>
    <x v="40"/>
    <d v="2023-12-19T00:00:00"/>
    <d v="2023-12-28T00:00:00"/>
    <n v="12"/>
    <n v="3"/>
    <n v="5"/>
    <n v="245.83"/>
    <n v="1229.1500000000001"/>
    <n v="0.1"/>
    <n v="122.92"/>
    <n v="1106.24"/>
    <n v="786.66"/>
    <n v="319.58"/>
  </r>
  <r>
    <n v="100078"/>
    <n v="1741"/>
    <x v="2"/>
    <x v="2"/>
    <x v="2"/>
    <s v="Tablet"/>
    <x v="70"/>
    <d v="2023-04-20T00:00:00"/>
    <d v="2023-05-06T00:00:00"/>
    <n v="18"/>
    <n v="2"/>
    <n v="7"/>
    <n v="615.16"/>
    <n v="4306.12"/>
    <n v="0.05"/>
    <n v="215.31"/>
    <n v="4090.81"/>
    <n v="2712.86"/>
    <n v="1377.95"/>
  </r>
  <r>
    <n v="100079"/>
    <n v="3150"/>
    <x v="0"/>
    <x v="0"/>
    <x v="3"/>
    <s v="Shirt"/>
    <x v="46"/>
    <d v="2023-08-26T00:00:00"/>
    <d v="2023-09-03T00:00:00"/>
    <n v="12"/>
    <n v="4"/>
    <n v="14"/>
    <n v="583.16"/>
    <n v="8164.24"/>
    <n v="7.0000000000000007E-2"/>
    <n v="571.5"/>
    <n v="7592.74"/>
    <n v="5470.04"/>
    <n v="2122.6999999999998"/>
  </r>
  <r>
    <n v="100080"/>
    <n v="1993"/>
    <x v="1"/>
    <x v="1"/>
    <x v="2"/>
    <s v="Laptop"/>
    <x v="71"/>
    <d v="2023-11-30T00:00:00"/>
    <d v="2023-12-07T00:00:00"/>
    <n v="8"/>
    <n v="1"/>
    <n v="9"/>
    <n v="648.91"/>
    <n v="5840.19"/>
    <n v="0.13"/>
    <n v="759.22"/>
    <n v="5080.97"/>
    <n v="3270.51"/>
    <n v="1810.46"/>
  </r>
  <r>
    <n v="100081"/>
    <n v="3219"/>
    <x v="0"/>
    <x v="2"/>
    <x v="1"/>
    <s v="Rice"/>
    <x v="72"/>
    <d v="2023-11-24T00:00:00"/>
    <d v="2023-11-23T00:00:00"/>
    <n v="3"/>
    <n v="4"/>
    <n v="14"/>
    <n v="686.6"/>
    <n v="9612.4"/>
    <n v="0.02"/>
    <n v="192.25"/>
    <n v="9420.15"/>
    <n v="6248.06"/>
    <n v="3172.09"/>
  </r>
  <r>
    <n v="100082"/>
    <n v="3686"/>
    <x v="1"/>
    <x v="0"/>
    <x v="2"/>
    <s v="Laptop"/>
    <x v="73"/>
    <d v="2023-04-24T00:00:00"/>
    <d v="2023-05-07T00:00:00"/>
    <n v="16"/>
    <n v="3"/>
    <n v="8"/>
    <n v="195.22"/>
    <n v="1561.76"/>
    <n v="0.19"/>
    <n v="296.73"/>
    <n v="1265.03"/>
    <n v="968.29"/>
    <n v="296.74"/>
  </r>
  <r>
    <n v="100083"/>
    <n v="4065"/>
    <x v="0"/>
    <x v="2"/>
    <x v="0"/>
    <s v="Sofa"/>
    <x v="74"/>
    <d v="2023-05-24T00:00:00"/>
    <d v="2023-06-11T00:00:00"/>
    <n v="19"/>
    <n v="1"/>
    <n v="11"/>
    <n v="195.73"/>
    <n v="2153.0300000000002"/>
    <n v="0.12"/>
    <n v="258.36"/>
    <n v="1894.67"/>
    <n v="1356.41"/>
    <n v="538.26"/>
  </r>
  <r>
    <n v="100084"/>
    <n v="2986"/>
    <x v="2"/>
    <x v="1"/>
    <x v="3"/>
    <s v="Shoes"/>
    <x v="75"/>
    <d v="2023-05-09T00:00:00"/>
    <d v="2023-05-26T00:00:00"/>
    <n v="21"/>
    <n v="4"/>
    <n v="10"/>
    <n v="697.46"/>
    <n v="6974.6"/>
    <n v="0.11"/>
    <n v="767.21"/>
    <n v="6207.39"/>
    <n v="4533.49"/>
    <n v="1673.9"/>
  </r>
  <r>
    <n v="100085"/>
    <n v="3115"/>
    <x v="0"/>
    <x v="2"/>
    <x v="0"/>
    <s v="Sofa"/>
    <x v="76"/>
    <d v="2023-10-06T00:00:00"/>
    <d v="2023-10-30T00:00:00"/>
    <n v="26"/>
    <n v="2"/>
    <n v="12"/>
    <n v="180.05"/>
    <n v="2160.6"/>
    <n v="0.08"/>
    <n v="172.85"/>
    <n v="1987.75"/>
    <n v="1339.57"/>
    <n v="648.17999999999995"/>
  </r>
  <r>
    <n v="100086"/>
    <n v="2594"/>
    <x v="0"/>
    <x v="1"/>
    <x v="0"/>
    <s v="Cookware"/>
    <x v="77"/>
    <d v="2023-11-10T00:00:00"/>
    <d v="2023-11-30T00:00:00"/>
    <n v="24"/>
    <n v="4"/>
    <n v="13"/>
    <n v="735.11"/>
    <n v="9556.43"/>
    <n v="0.13"/>
    <n v="1242.3399999999999"/>
    <n v="8314.09"/>
    <n v="5542.73"/>
    <n v="2771.36"/>
  </r>
  <r>
    <n v="100087"/>
    <n v="2249"/>
    <x v="3"/>
    <x v="0"/>
    <x v="1"/>
    <s v="Pasta"/>
    <x v="78"/>
    <d v="2023-11-14T00:00:00"/>
    <d v="2023-12-07T00:00:00"/>
    <n v="25"/>
    <n v="2"/>
    <n v="14"/>
    <n v="547.42999999999995"/>
    <n v="7664.02"/>
    <n v="0.09"/>
    <n v="689.76"/>
    <n v="6974.26"/>
    <n v="4981.6099999999997"/>
    <n v="1992.65"/>
  </r>
  <r>
    <n v="100088"/>
    <n v="4585"/>
    <x v="1"/>
    <x v="0"/>
    <x v="2"/>
    <s v="Phone"/>
    <x v="79"/>
    <d v="2023-02-06T00:00:00"/>
    <d v="2023-02-20T00:00:00"/>
    <n v="15"/>
    <n v="1"/>
    <n v="13"/>
    <n v="339.82"/>
    <n v="4417.66"/>
    <n v="0.13"/>
    <n v="574.29999999999995"/>
    <n v="3843.36"/>
    <n v="3004.01"/>
    <n v="839.35"/>
  </r>
  <r>
    <n v="100089"/>
    <n v="3709"/>
    <x v="0"/>
    <x v="0"/>
    <x v="2"/>
    <s v="Headphones"/>
    <x v="80"/>
    <d v="2023-11-02T00:00:00"/>
    <d v="2023-11-23T00:00:00"/>
    <n v="22"/>
    <n v="1"/>
    <n v="13"/>
    <n v="690.08"/>
    <n v="8971.0400000000009"/>
    <n v="0.11"/>
    <n v="986.81"/>
    <n v="7984.23"/>
    <n v="6369.44"/>
    <n v="1614.79"/>
  </r>
  <r>
    <n v="100090"/>
    <n v="1396"/>
    <x v="2"/>
    <x v="0"/>
    <x v="0"/>
    <s v="Cookware"/>
    <x v="33"/>
    <d v="2023-09-22T00:00:00"/>
    <d v="2023-09-25T00:00:00"/>
    <n v="7"/>
    <n v="4"/>
    <n v="12"/>
    <n v="215.26"/>
    <n v="2583.12"/>
    <n v="0.11"/>
    <n v="284.14"/>
    <n v="2298.98"/>
    <n v="1549.87"/>
    <n v="749.11"/>
  </r>
  <r>
    <n v="100091"/>
    <n v="4561"/>
    <x v="2"/>
    <x v="0"/>
    <x v="3"/>
    <s v="Shirt"/>
    <x v="81"/>
    <d v="2023-11-01T00:00:00"/>
    <d v="2023-11-04T00:00:00"/>
    <n v="8"/>
    <n v="5"/>
    <n v="3"/>
    <n v="55.16"/>
    <n v="165.48"/>
    <n v="0.04"/>
    <n v="6.62"/>
    <n v="158.86000000000001"/>
    <n v="105.91"/>
    <n v="52.95"/>
  </r>
  <r>
    <n v="100092"/>
    <n v="2072"/>
    <x v="2"/>
    <x v="2"/>
    <x v="0"/>
    <s v="Lamp"/>
    <x v="18"/>
    <d v="2023-09-11T00:00:00"/>
    <d v="2023-09-25T00:00:00"/>
    <n v="17"/>
    <n v="3"/>
    <n v="11"/>
    <n v="435.85"/>
    <n v="4794.3500000000004"/>
    <n v="0.13"/>
    <n v="623.27"/>
    <n v="4171.08"/>
    <n v="2541.0100000000002"/>
    <n v="1630.07"/>
  </r>
  <r>
    <n v="100093"/>
    <n v="3657"/>
    <x v="0"/>
    <x v="1"/>
    <x v="2"/>
    <s v="Tablet"/>
    <x v="82"/>
    <d v="2023-03-01T00:00:00"/>
    <d v="2023-03-25T00:00:00"/>
    <n v="29"/>
    <n v="5"/>
    <n v="8"/>
    <n v="314.61"/>
    <n v="2516.88"/>
    <n v="0.01"/>
    <n v="25.17"/>
    <n v="2491.71"/>
    <n v="1459.79"/>
    <n v="1031.92"/>
  </r>
  <r>
    <n v="100094"/>
    <n v="4802"/>
    <x v="2"/>
    <x v="2"/>
    <x v="1"/>
    <s v="Pasta"/>
    <x v="83"/>
    <d v="2023-02-16T00:00:00"/>
    <d v="2023-03-06T00:00:00"/>
    <n v="21"/>
    <n v="3"/>
    <n v="11"/>
    <n v="570.72"/>
    <n v="6277.92"/>
    <n v="0.05"/>
    <n v="313.89999999999998"/>
    <n v="5964.02"/>
    <n v="3390.08"/>
    <n v="2573.94"/>
  </r>
  <r>
    <n v="100095"/>
    <n v="1728"/>
    <x v="3"/>
    <x v="0"/>
    <x v="2"/>
    <s v="Headphones"/>
    <x v="84"/>
    <d v="2023-08-05T00:00:00"/>
    <d v="2023-08-09T00:00:00"/>
    <n v="5"/>
    <n v="1"/>
    <n v="8"/>
    <n v="349.14"/>
    <n v="2793.12"/>
    <n v="0.02"/>
    <n v="55.86"/>
    <n v="2737.26"/>
    <n v="1759.67"/>
    <n v="977.59"/>
  </r>
  <r>
    <n v="100096"/>
    <n v="2530"/>
    <x v="0"/>
    <x v="1"/>
    <x v="0"/>
    <s v="Sofa"/>
    <x v="85"/>
    <d v="2023-02-12T00:00:00"/>
    <d v="2023-02-23T00:00:00"/>
    <n v="14"/>
    <n v="3"/>
    <n v="2"/>
    <n v="67.209999999999994"/>
    <n v="134.41999999999999"/>
    <n v="0"/>
    <n v="0"/>
    <n v="134.41999999999999"/>
    <n v="83.34"/>
    <n v="51.08"/>
  </r>
  <r>
    <n v="100097"/>
    <n v="2331"/>
    <x v="1"/>
    <x v="1"/>
    <x v="1"/>
    <s v="Beverage"/>
    <x v="86"/>
    <d v="2023-05-13T00:00:00"/>
    <d v="2023-05-29T00:00:00"/>
    <n v="17"/>
    <n v="1"/>
    <n v="13"/>
    <n v="246.85"/>
    <n v="3209.05"/>
    <n v="0.09"/>
    <n v="288.81"/>
    <n v="2920.24"/>
    <n v="2182.15"/>
    <n v="738.09"/>
  </r>
  <r>
    <n v="100098"/>
    <n v="1377"/>
    <x v="3"/>
    <x v="1"/>
    <x v="2"/>
    <s v="Laptop"/>
    <x v="87"/>
    <d v="2023-12-07T00:00:00"/>
    <d v="2023-12-16T00:00:00"/>
    <n v="14"/>
    <n v="5"/>
    <n v="1"/>
    <n v="584.69000000000005"/>
    <n v="584.69000000000005"/>
    <n v="0.06"/>
    <n v="35.08"/>
    <n v="549.61"/>
    <n v="344.97"/>
    <n v="204.64"/>
  </r>
  <r>
    <n v="100099"/>
    <n v="4544"/>
    <x v="1"/>
    <x v="2"/>
    <x v="0"/>
    <s v="Lamp"/>
    <x v="88"/>
    <d v="2023-10-18T00:00:00"/>
    <d v="2023-10-19T00:00:00"/>
    <n v="6"/>
    <n v="5"/>
    <n v="5"/>
    <n v="799.22"/>
    <n v="3996.1"/>
    <n v="7.0000000000000007E-2"/>
    <n v="279.73"/>
    <n v="3716.37"/>
    <n v="2517.54"/>
    <n v="1198.83"/>
  </r>
  <r>
    <n v="100100"/>
    <n v="3530"/>
    <x v="0"/>
    <x v="0"/>
    <x v="2"/>
    <s v="Phone"/>
    <x v="89"/>
    <d v="2023-05-18T00:00:00"/>
    <d v="2023-05-30T00:00:00"/>
    <n v="13"/>
    <n v="1"/>
    <n v="13"/>
    <n v="424.94"/>
    <n v="5524.22"/>
    <n v="0.02"/>
    <n v="110.48"/>
    <n v="5413.74"/>
    <n v="3369.77"/>
    <n v="2043.97"/>
  </r>
  <r>
    <n v="100101"/>
    <n v="1678"/>
    <x v="3"/>
    <x v="2"/>
    <x v="1"/>
    <s v="Snacks"/>
    <x v="82"/>
    <d v="2023-02-27T00:00:00"/>
    <d v="2023-03-14T00:00:00"/>
    <n v="18"/>
    <n v="3"/>
    <n v="1"/>
    <n v="382.87"/>
    <n v="382.87"/>
    <n v="0.11"/>
    <n v="42.12"/>
    <n v="340.75"/>
    <n v="252.69"/>
    <n v="88.06"/>
  </r>
  <r>
    <n v="100102"/>
    <n v="4515"/>
    <x v="0"/>
    <x v="0"/>
    <x v="3"/>
    <s v="Shirt"/>
    <x v="90"/>
    <d v="2023-06-18T00:00:00"/>
    <d v="2023-06-29T00:00:00"/>
    <n v="13"/>
    <n v="2"/>
    <n v="11"/>
    <n v="653.83000000000004"/>
    <n v="7192.13"/>
    <n v="0"/>
    <n v="0"/>
    <n v="7192.13"/>
    <n v="4099.51"/>
    <n v="3092.62"/>
  </r>
  <r>
    <n v="100103"/>
    <n v="4272"/>
    <x v="0"/>
    <x v="1"/>
    <x v="3"/>
    <s v="Jacket"/>
    <x v="91"/>
    <d v="2023-07-21T00:00:00"/>
    <d v="2023-08-09T00:00:00"/>
    <n v="22"/>
    <n v="3"/>
    <n v="14"/>
    <n v="767.69"/>
    <n v="10747.66"/>
    <n v="7.0000000000000007E-2"/>
    <n v="752.34"/>
    <n v="9995.32"/>
    <n v="7093.46"/>
    <n v="2901.86"/>
  </r>
  <r>
    <n v="100104"/>
    <n v="2019"/>
    <x v="2"/>
    <x v="1"/>
    <x v="2"/>
    <s v="Laptop"/>
    <x v="52"/>
    <d v="2023-06-03T00:00:00"/>
    <d v="2023-06-18T00:00:00"/>
    <n v="19"/>
    <n v="4"/>
    <n v="1"/>
    <n v="554.77"/>
    <n v="554.77"/>
    <n v="0"/>
    <n v="0"/>
    <n v="554.77"/>
    <n v="382.79"/>
    <n v="171.98"/>
  </r>
  <r>
    <n v="100105"/>
    <n v="1027"/>
    <x v="2"/>
    <x v="2"/>
    <x v="2"/>
    <s v="Headphones"/>
    <x v="21"/>
    <d v="2023-02-15T00:00:00"/>
    <d v="2023-03-14T00:00:00"/>
    <n v="28"/>
    <n v="1"/>
    <n v="13"/>
    <n v="507.17"/>
    <n v="6593.21"/>
    <n v="0.08"/>
    <n v="527.46"/>
    <n v="6065.75"/>
    <n v="4087.79"/>
    <n v="1977.96"/>
  </r>
  <r>
    <n v="100106"/>
    <n v="3679"/>
    <x v="1"/>
    <x v="0"/>
    <x v="1"/>
    <s v="Pasta"/>
    <x v="92"/>
    <d v="2023-05-18T00:00:00"/>
    <d v="2023-05-25T00:00:00"/>
    <n v="9"/>
    <n v="2"/>
    <n v="11"/>
    <n v="609.54"/>
    <n v="6704.94"/>
    <n v="0.11"/>
    <n v="737.54"/>
    <n v="5967.4"/>
    <n v="3754.77"/>
    <n v="2212.63"/>
  </r>
  <r>
    <n v="100107"/>
    <n v="2196"/>
    <x v="0"/>
    <x v="0"/>
    <x v="3"/>
    <s v="Jeans"/>
    <x v="93"/>
    <d v="2023-07-30T00:00:00"/>
    <d v="2023-08-25T00:00:00"/>
    <n v="27"/>
    <n v="1"/>
    <n v="12"/>
    <n v="792.11"/>
    <n v="9505.32"/>
    <n v="0.06"/>
    <n v="570.32000000000005"/>
    <n v="8935"/>
    <n v="5322.98"/>
    <n v="3612.02"/>
  </r>
  <r>
    <n v="100108"/>
    <n v="3306"/>
    <x v="0"/>
    <x v="0"/>
    <x v="3"/>
    <s v="Shoes"/>
    <x v="94"/>
    <d v="2023-07-22T00:00:00"/>
    <d v="2023-08-05T00:00:00"/>
    <n v="19"/>
    <n v="5"/>
    <n v="6"/>
    <n v="319.89999999999998"/>
    <n v="1919.4"/>
    <n v="0.15"/>
    <n v="287.91000000000003"/>
    <n v="1631.49"/>
    <n v="1074.8599999999999"/>
    <n v="556.63"/>
  </r>
  <r>
    <n v="100109"/>
    <n v="2438"/>
    <x v="1"/>
    <x v="2"/>
    <x v="1"/>
    <s v="Beverage"/>
    <x v="95"/>
    <d v="2023-04-16T00:00:00"/>
    <d v="2023-04-24T00:00:00"/>
    <n v="13"/>
    <n v="5"/>
    <n v="14"/>
    <n v="613.16999999999996"/>
    <n v="8584.3799999999992"/>
    <n v="0.11"/>
    <n v="944.28"/>
    <n v="7640.1"/>
    <n v="5579.85"/>
    <n v="2060.25"/>
  </r>
  <r>
    <n v="100110"/>
    <n v="4811"/>
    <x v="0"/>
    <x v="0"/>
    <x v="2"/>
    <s v="Headphones"/>
    <x v="96"/>
    <d v="2023-07-01T00:00:00"/>
    <d v="2023-07-18T00:00:00"/>
    <n v="18"/>
    <n v="1"/>
    <n v="3"/>
    <n v="61.07"/>
    <n v="183.21"/>
    <n v="0.04"/>
    <n v="7.33"/>
    <n v="175.88"/>
    <n v="126.41"/>
    <n v="49.47"/>
  </r>
  <r>
    <n v="100111"/>
    <n v="3189"/>
    <x v="0"/>
    <x v="0"/>
    <x v="1"/>
    <s v="Pasta"/>
    <x v="97"/>
    <d v="2023-06-24T00:00:00"/>
    <d v="2023-07-08T00:00:00"/>
    <n v="19"/>
    <n v="5"/>
    <n v="8"/>
    <n v="449.61"/>
    <n v="3596.88"/>
    <n v="0.14000000000000001"/>
    <n v="503.56"/>
    <n v="3093.32"/>
    <n v="2589.75"/>
    <n v="503.57"/>
  </r>
  <r>
    <n v="100112"/>
    <n v="4456"/>
    <x v="1"/>
    <x v="1"/>
    <x v="3"/>
    <s v="Jeans"/>
    <x v="98"/>
    <d v="2023-01-31T00:00:00"/>
    <d v="2023-02-19T00:00:00"/>
    <n v="20"/>
    <n v="1"/>
    <n v="2"/>
    <n v="592.84"/>
    <n v="1185.68"/>
    <n v="0.09"/>
    <n v="106.71"/>
    <n v="1078.97"/>
    <n v="711.41"/>
    <n v="367.56"/>
  </r>
  <r>
    <n v="100113"/>
    <n v="2795"/>
    <x v="0"/>
    <x v="0"/>
    <x v="2"/>
    <s v="Phone"/>
    <x v="99"/>
    <d v="2023-10-13T00:00:00"/>
    <d v="2023-10-21T00:00:00"/>
    <n v="11"/>
    <n v="3"/>
    <n v="4"/>
    <n v="401.99"/>
    <n v="1607.96"/>
    <n v="0"/>
    <n v="0"/>
    <n v="1607.96"/>
    <n v="1045.17"/>
    <n v="562.79"/>
  </r>
  <r>
    <n v="100114"/>
    <n v="2254"/>
    <x v="0"/>
    <x v="0"/>
    <x v="3"/>
    <s v="Shoes"/>
    <x v="100"/>
    <d v="2023-11-21T00:00:00"/>
    <d v="2023-11-29T00:00:00"/>
    <n v="12"/>
    <n v="4"/>
    <n v="14"/>
    <n v="591.13"/>
    <n v="8275.82"/>
    <n v="0.06"/>
    <n v="496.55"/>
    <n v="7779.27"/>
    <n v="5048.25"/>
    <n v="2731.02"/>
  </r>
  <r>
    <n v="100115"/>
    <n v="2570"/>
    <x v="3"/>
    <x v="2"/>
    <x v="0"/>
    <s v="Cookware"/>
    <x v="42"/>
    <d v="2023-09-12T00:00:00"/>
    <d v="2023-10-08T00:00:00"/>
    <n v="28"/>
    <n v="2"/>
    <n v="10"/>
    <n v="739.38"/>
    <n v="7393.8"/>
    <n v="0.06"/>
    <n v="443.63"/>
    <n v="6950.17"/>
    <n v="4140.53"/>
    <n v="2809.64"/>
  </r>
  <r>
    <n v="100116"/>
    <n v="1288"/>
    <x v="0"/>
    <x v="2"/>
    <x v="0"/>
    <s v="Sofa"/>
    <x v="101"/>
    <d v="2023-07-13T00:00:00"/>
    <d v="2023-07-22T00:00:00"/>
    <n v="12"/>
    <n v="3"/>
    <n v="3"/>
    <n v="628.05999999999995"/>
    <n v="1884.18"/>
    <n v="0.09"/>
    <n v="169.58"/>
    <n v="1714.6"/>
    <n v="1073.98"/>
    <n v="640.62"/>
  </r>
  <r>
    <n v="100117"/>
    <n v="4103"/>
    <x v="1"/>
    <x v="2"/>
    <x v="3"/>
    <s v="Shoes"/>
    <x v="102"/>
    <d v="2023-08-08T00:00:00"/>
    <d v="2023-08-27T00:00:00"/>
    <n v="24"/>
    <n v="5"/>
    <n v="2"/>
    <n v="229.87"/>
    <n v="459.74"/>
    <n v="0.1"/>
    <n v="45.97"/>
    <n v="413.77"/>
    <n v="289.64"/>
    <n v="124.13"/>
  </r>
  <r>
    <n v="100118"/>
    <n v="2161"/>
    <x v="0"/>
    <x v="1"/>
    <x v="2"/>
    <s v="Headphones"/>
    <x v="103"/>
    <d v="2023-08-19T00:00:00"/>
    <d v="2023-08-29T00:00:00"/>
    <n v="14"/>
    <n v="4"/>
    <n v="7"/>
    <n v="710.94"/>
    <n v="4976.58"/>
    <n v="7.0000000000000007E-2"/>
    <n v="348.36"/>
    <n v="4628.22"/>
    <n v="2687.35"/>
    <n v="1940.87"/>
  </r>
  <r>
    <n v="100119"/>
    <n v="3234"/>
    <x v="0"/>
    <x v="1"/>
    <x v="1"/>
    <s v="Beverage"/>
    <x v="69"/>
    <d v="2023-01-16T00:00:00"/>
    <d v="2023-02-03T00:00:00"/>
    <n v="21"/>
    <n v="3"/>
    <n v="6"/>
    <n v="348.85"/>
    <n v="2093.1"/>
    <n v="0.06"/>
    <n v="125.59"/>
    <n v="1967.51"/>
    <n v="1214"/>
    <n v="753.51"/>
  </r>
  <r>
    <n v="100120"/>
    <n v="3889"/>
    <x v="1"/>
    <x v="2"/>
    <x v="3"/>
    <s v="Jacket"/>
    <x v="104"/>
    <d v="2023-05-16T00:00:00"/>
    <d v="2023-05-21T00:00:00"/>
    <n v="6"/>
    <n v="1"/>
    <n v="14"/>
    <n v="724.21"/>
    <n v="10138.94"/>
    <n v="0.04"/>
    <n v="405.56"/>
    <n v="9733.3799999999992"/>
    <n v="5576.42"/>
    <n v="4156.96"/>
  </r>
  <r>
    <n v="100121"/>
    <n v="1508"/>
    <x v="1"/>
    <x v="1"/>
    <x v="3"/>
    <s v="Shirt"/>
    <x v="105"/>
    <d v="2023-04-19T00:00:00"/>
    <d v="2023-05-06T00:00:00"/>
    <n v="19"/>
    <n v="2"/>
    <n v="2"/>
    <n v="166.74"/>
    <n v="333.48"/>
    <n v="0.08"/>
    <n v="26.68"/>
    <n v="306.8"/>
    <n v="183.41"/>
    <n v="123.39"/>
  </r>
  <r>
    <n v="100122"/>
    <n v="1382"/>
    <x v="3"/>
    <x v="2"/>
    <x v="0"/>
    <s v="Lamp"/>
    <x v="73"/>
    <d v="2023-04-22T00:00:00"/>
    <d v="2023-05-10T00:00:00"/>
    <n v="19"/>
    <n v="1"/>
    <n v="3"/>
    <n v="690.16"/>
    <n v="2070.48"/>
    <n v="0.1"/>
    <n v="207.05"/>
    <n v="1863.43"/>
    <n v="1200.8800000000001"/>
    <n v="662.55"/>
  </r>
  <r>
    <n v="100123"/>
    <n v="4952"/>
    <x v="1"/>
    <x v="0"/>
    <x v="0"/>
    <s v="Cookware"/>
    <x v="40"/>
    <d v="2023-12-17T00:00:00"/>
    <d v="2023-12-19T00:00:00"/>
    <n v="3"/>
    <n v="1"/>
    <n v="7"/>
    <n v="515.23"/>
    <n v="3606.61"/>
    <n v="7.0000000000000007E-2"/>
    <n v="252.46"/>
    <n v="3354.15"/>
    <n v="1983.64"/>
    <n v="1370.51"/>
  </r>
  <r>
    <n v="100124"/>
    <n v="1425"/>
    <x v="1"/>
    <x v="0"/>
    <x v="3"/>
    <s v="Shirt"/>
    <x v="106"/>
    <d v="2023-08-26T00:00:00"/>
    <d v="2023-09-01T00:00:00"/>
    <n v="9"/>
    <n v="3"/>
    <n v="2"/>
    <n v="716.5"/>
    <n v="1433"/>
    <n v="0.13"/>
    <n v="186.29"/>
    <n v="1246.71"/>
    <n v="931.45"/>
    <n v="315.26"/>
  </r>
  <r>
    <n v="100125"/>
    <n v="2645"/>
    <x v="3"/>
    <x v="2"/>
    <x v="2"/>
    <s v="Tablet"/>
    <x v="107"/>
    <d v="2023-01-22T00:00:00"/>
    <d v="2023-02-10T00:00:00"/>
    <n v="23"/>
    <n v="4"/>
    <n v="14"/>
    <n v="791.8"/>
    <n v="11085.2"/>
    <n v="0"/>
    <n v="0"/>
    <n v="11085.2"/>
    <n v="7427.08"/>
    <n v="3658.12"/>
  </r>
  <r>
    <n v="100126"/>
    <n v="3209"/>
    <x v="2"/>
    <x v="1"/>
    <x v="3"/>
    <s v="Jeans"/>
    <x v="108"/>
    <d v="2023-01-08T00:00:00"/>
    <d v="2023-02-03T00:00:00"/>
    <n v="28"/>
    <n v="2"/>
    <n v="5"/>
    <n v="629.17999999999995"/>
    <n v="3145.9"/>
    <n v="0.06"/>
    <n v="188.75"/>
    <n v="2957.15"/>
    <n v="2233.59"/>
    <n v="723.56"/>
  </r>
  <r>
    <n v="100127"/>
    <n v="2621"/>
    <x v="0"/>
    <x v="2"/>
    <x v="2"/>
    <s v="Headphones"/>
    <x v="87"/>
    <d v="2023-12-05T00:00:00"/>
    <d v="2023-12-06T00:00:00"/>
    <n v="4"/>
    <n v="3"/>
    <n v="2"/>
    <n v="765.89"/>
    <n v="1531.78"/>
    <n v="0.01"/>
    <n v="15.32"/>
    <n v="1516.46"/>
    <n v="1102.8800000000001"/>
    <n v="413.58"/>
  </r>
  <r>
    <n v="100128"/>
    <n v="1723"/>
    <x v="1"/>
    <x v="2"/>
    <x v="1"/>
    <s v="Beverage"/>
    <x v="109"/>
    <d v="2023-02-20T00:00:00"/>
    <d v="2023-02-21T00:00:00"/>
    <n v="2"/>
    <n v="1"/>
    <n v="12"/>
    <n v="319.27"/>
    <n v="3831.24"/>
    <n v="0.05"/>
    <n v="191.56"/>
    <n v="3639.68"/>
    <n v="2796.81"/>
    <n v="842.87"/>
  </r>
  <r>
    <n v="100129"/>
    <n v="2618"/>
    <x v="1"/>
    <x v="1"/>
    <x v="1"/>
    <s v="Beverage"/>
    <x v="71"/>
    <d v="2023-12-01T00:00:00"/>
    <d v="2023-12-20T00:00:00"/>
    <n v="21"/>
    <n v="2"/>
    <n v="8"/>
    <n v="501.79"/>
    <n v="4014.32"/>
    <n v="0.05"/>
    <n v="200.72"/>
    <n v="3813.6"/>
    <n v="2649.45"/>
    <n v="1164.1500000000001"/>
  </r>
  <r>
    <n v="100130"/>
    <n v="1407"/>
    <x v="3"/>
    <x v="0"/>
    <x v="3"/>
    <s v="Jeans"/>
    <x v="110"/>
    <d v="2023-04-21T00:00:00"/>
    <d v="2023-04-28T00:00:00"/>
    <n v="12"/>
    <n v="5"/>
    <n v="8"/>
    <n v="455.37"/>
    <n v="3642.96"/>
    <n v="7.0000000000000007E-2"/>
    <n v="255.01"/>
    <n v="3387.95"/>
    <n v="1967.2"/>
    <n v="1420.75"/>
  </r>
  <r>
    <n v="100131"/>
    <n v="1266"/>
    <x v="3"/>
    <x v="1"/>
    <x v="1"/>
    <s v="Pasta"/>
    <x v="111"/>
    <d v="2023-07-04T00:00:00"/>
    <d v="2023-07-22T00:00:00"/>
    <n v="20"/>
    <n v="2"/>
    <n v="2"/>
    <n v="140.16999999999999"/>
    <n v="280.33999999999997"/>
    <n v="7.0000000000000007E-2"/>
    <n v="19.62"/>
    <n v="260.72000000000003"/>
    <n v="168.2"/>
    <n v="92.52"/>
  </r>
  <r>
    <n v="100132"/>
    <n v="3266"/>
    <x v="3"/>
    <x v="0"/>
    <x v="1"/>
    <s v="Pasta"/>
    <x v="0"/>
    <d v="2023-06-29T00:00:00"/>
    <d v="2023-07-14T00:00:00"/>
    <n v="19"/>
    <n v="4"/>
    <n v="2"/>
    <n v="438.48"/>
    <n v="876.96"/>
    <n v="0.02"/>
    <n v="17.54"/>
    <n v="859.42"/>
    <n v="578.79"/>
    <n v="280.63"/>
  </r>
  <r>
    <n v="100133"/>
    <n v="1641"/>
    <x v="3"/>
    <x v="0"/>
    <x v="1"/>
    <s v="Rice"/>
    <x v="112"/>
    <d v="2023-03-30T00:00:00"/>
    <d v="2023-04-26T00:00:00"/>
    <n v="28"/>
    <n v="1"/>
    <n v="4"/>
    <n v="35.69"/>
    <n v="142.76"/>
    <n v="0.1"/>
    <n v="14.28"/>
    <n v="128.47999999999999"/>
    <n v="87.08"/>
    <n v="41.4"/>
  </r>
  <r>
    <n v="100134"/>
    <n v="2487"/>
    <x v="0"/>
    <x v="2"/>
    <x v="2"/>
    <s v="Laptop"/>
    <x v="52"/>
    <d v="2023-06-02T00:00:00"/>
    <d v="2023-06-27T00:00:00"/>
    <n v="28"/>
    <n v="3"/>
    <n v="10"/>
    <n v="540.37"/>
    <n v="5403.7"/>
    <n v="0.06"/>
    <n v="324.22000000000003"/>
    <n v="5079.4799999999996"/>
    <n v="3134.15"/>
    <n v="1945.33"/>
  </r>
  <r>
    <n v="100135"/>
    <n v="2370"/>
    <x v="1"/>
    <x v="2"/>
    <x v="3"/>
    <s v="Jacket"/>
    <x v="33"/>
    <d v="2023-09-21T00:00:00"/>
    <d v="2023-09-28T00:00:00"/>
    <n v="10"/>
    <n v="3"/>
    <n v="13"/>
    <n v="31.92"/>
    <n v="414.96"/>
    <n v="0.06"/>
    <n v="24.9"/>
    <n v="390.06"/>
    <n v="253.13"/>
    <n v="136.93"/>
  </r>
  <r>
    <n v="100136"/>
    <n v="4184"/>
    <x v="1"/>
    <x v="0"/>
    <x v="1"/>
    <s v="Pasta"/>
    <x v="113"/>
    <d v="2023-03-22T00:00:00"/>
    <d v="2023-04-10T00:00:00"/>
    <n v="23"/>
    <n v="4"/>
    <n v="12"/>
    <n v="643.29"/>
    <n v="7719.48"/>
    <n v="0.16"/>
    <n v="1235.1199999999999"/>
    <n v="6484.36"/>
    <n v="4940.47"/>
    <n v="1543.89"/>
  </r>
  <r>
    <n v="100137"/>
    <n v="1390"/>
    <x v="0"/>
    <x v="0"/>
    <x v="0"/>
    <s v="Cookware"/>
    <x v="46"/>
    <d v="2023-08-24T00:00:00"/>
    <d v="2023-08-24T00:00:00"/>
    <n v="2"/>
    <n v="2"/>
    <n v="9"/>
    <n v="578.17999999999995"/>
    <n v="5203.62"/>
    <n v="0.09"/>
    <n v="468.33"/>
    <n v="4735.29"/>
    <n v="3278.28"/>
    <n v="1457.01"/>
  </r>
  <r>
    <n v="100138"/>
    <n v="2584"/>
    <x v="3"/>
    <x v="0"/>
    <x v="2"/>
    <s v="Laptop"/>
    <x v="114"/>
    <d v="2023-12-03T00:00:00"/>
    <d v="2023-12-23T00:00:00"/>
    <n v="25"/>
    <n v="5"/>
    <n v="10"/>
    <n v="407.23"/>
    <n v="4072.3"/>
    <n v="0"/>
    <n v="0"/>
    <n v="4072.3"/>
    <n v="2565.5500000000002"/>
    <n v="1506.75"/>
  </r>
  <r>
    <n v="100139"/>
    <n v="4777"/>
    <x v="0"/>
    <x v="0"/>
    <x v="2"/>
    <s v="Tablet"/>
    <x v="115"/>
    <d v="2023-09-24T00:00:00"/>
    <d v="2023-09-22T00:00:00"/>
    <n v="2"/>
    <n v="4"/>
    <n v="6"/>
    <n v="207.24"/>
    <n v="1243.44"/>
    <n v="0"/>
    <n v="0"/>
    <n v="1243.44"/>
    <n v="708.76"/>
    <n v="534.67999999999995"/>
  </r>
  <r>
    <n v="100140"/>
    <n v="1097"/>
    <x v="0"/>
    <x v="0"/>
    <x v="1"/>
    <s v="Snacks"/>
    <x v="116"/>
    <d v="2023-08-15T00:00:00"/>
    <d v="2023-09-07T00:00:00"/>
    <n v="24"/>
    <n v="1"/>
    <n v="12"/>
    <n v="769.29"/>
    <n v="9231.48"/>
    <n v="0.06"/>
    <n v="553.89"/>
    <n v="8677.59"/>
    <n v="4708.05"/>
    <n v="3969.54"/>
  </r>
  <r>
    <n v="100141"/>
    <n v="2826"/>
    <x v="0"/>
    <x v="1"/>
    <x v="1"/>
    <s v="Beverage"/>
    <x v="117"/>
    <d v="2023-04-01T00:00:00"/>
    <d v="2023-04-23T00:00:00"/>
    <n v="27"/>
    <n v="5"/>
    <n v="1"/>
    <n v="111.91"/>
    <n v="111.91"/>
    <n v="0.12"/>
    <n v="13.43"/>
    <n v="98.48"/>
    <n v="68.27"/>
    <n v="30.21"/>
  </r>
  <r>
    <n v="100142"/>
    <n v="4192"/>
    <x v="2"/>
    <x v="2"/>
    <x v="2"/>
    <s v="Headphones"/>
    <x v="118"/>
    <d v="2023-06-09T00:00:00"/>
    <d v="2023-06-28T00:00:00"/>
    <n v="20"/>
    <n v="1"/>
    <n v="13"/>
    <n v="642.91"/>
    <n v="8357.83"/>
    <n v="0.13"/>
    <n v="1086.52"/>
    <n v="7271.31"/>
    <n v="4680.38"/>
    <n v="2590.9299999999998"/>
  </r>
  <r>
    <n v="100143"/>
    <n v="3886"/>
    <x v="2"/>
    <x v="1"/>
    <x v="0"/>
    <s v="Cookware"/>
    <x v="119"/>
    <d v="2024-01-04T00:00:00"/>
    <d v="2024-01-12T00:00:00"/>
    <n v="13"/>
    <n v="5"/>
    <n v="12"/>
    <n v="709.48"/>
    <n v="8513.76"/>
    <n v="0.01"/>
    <n v="85.14"/>
    <n v="8428.6200000000008"/>
    <n v="4767.71"/>
    <n v="3660.91"/>
  </r>
  <r>
    <n v="100144"/>
    <n v="4337"/>
    <x v="2"/>
    <x v="0"/>
    <x v="2"/>
    <s v="Headphones"/>
    <x v="24"/>
    <d v="2023-11-13T00:00:00"/>
    <d v="2023-11-30T00:00:00"/>
    <n v="21"/>
    <n v="4"/>
    <n v="4"/>
    <n v="644.13"/>
    <n v="2576.52"/>
    <n v="0.04"/>
    <n v="103.06"/>
    <n v="2473.46"/>
    <n v="1520.15"/>
    <n v="953.31"/>
  </r>
  <r>
    <n v="100145"/>
    <n v="1693"/>
    <x v="0"/>
    <x v="0"/>
    <x v="1"/>
    <s v="Pasta"/>
    <x v="120"/>
    <d v="2023-11-09T00:00:00"/>
    <d v="2023-12-01T00:00:00"/>
    <n v="27"/>
    <n v="5"/>
    <n v="3"/>
    <n v="402.48"/>
    <n v="1207.44"/>
    <n v="0.12"/>
    <n v="144.88999999999999"/>
    <n v="1062.55"/>
    <n v="712.39"/>
    <n v="350.16"/>
  </r>
  <r>
    <n v="100146"/>
    <n v="4257"/>
    <x v="3"/>
    <x v="1"/>
    <x v="2"/>
    <s v="Laptop"/>
    <x v="50"/>
    <d v="2023-09-09T00:00:00"/>
    <d v="2023-09-07T00:00:00"/>
    <n v="2"/>
    <n v="4"/>
    <n v="3"/>
    <n v="142.31"/>
    <n v="426.93"/>
    <n v="0.04"/>
    <n v="17.079999999999998"/>
    <n v="409.85"/>
    <n v="256.16000000000003"/>
    <n v="153.69"/>
  </r>
  <r>
    <n v="100147"/>
    <n v="2987"/>
    <x v="1"/>
    <x v="1"/>
    <x v="0"/>
    <s v="Cookware"/>
    <x v="26"/>
    <d v="2023-07-04T00:00:00"/>
    <d v="2023-07-15T00:00:00"/>
    <n v="12"/>
    <n v="1"/>
    <n v="2"/>
    <n v="84.05"/>
    <n v="168.1"/>
    <n v="0.06"/>
    <n v="10.09"/>
    <n v="158.01"/>
    <n v="95.82"/>
    <n v="62.19"/>
  </r>
  <r>
    <n v="100148"/>
    <n v="1263"/>
    <x v="0"/>
    <x v="1"/>
    <x v="0"/>
    <s v="Cookware"/>
    <x v="121"/>
    <d v="2023-05-03T00:00:00"/>
    <d v="2023-06-01T00:00:00"/>
    <n v="30"/>
    <n v="1"/>
    <n v="6"/>
    <n v="733.74"/>
    <n v="4402.4399999999996"/>
    <n v="0.11"/>
    <n v="484.27"/>
    <n v="3918.17"/>
    <n v="2817.56"/>
    <n v="1100.6099999999999"/>
  </r>
  <r>
    <n v="100149"/>
    <n v="3121"/>
    <x v="0"/>
    <x v="0"/>
    <x v="0"/>
    <s v="Table"/>
    <x v="113"/>
    <d v="2023-03-21T00:00:00"/>
    <d v="2023-04-04T00:00:00"/>
    <n v="17"/>
    <n v="3"/>
    <n v="5"/>
    <n v="257.55"/>
    <n v="1287.75"/>
    <n v="0.19"/>
    <n v="244.67"/>
    <n v="1043.08"/>
    <n v="837.04"/>
    <n v="206.04"/>
  </r>
  <r>
    <n v="100150"/>
    <n v="1954"/>
    <x v="0"/>
    <x v="1"/>
    <x v="3"/>
    <s v="Jacket"/>
    <x v="122"/>
    <d v="2023-07-23T00:00:00"/>
    <d v="2023-07-21T00:00:00"/>
    <n v="2"/>
    <n v="4"/>
    <n v="4"/>
    <n v="790.14"/>
    <n v="3160.56"/>
    <n v="7.0000000000000007E-2"/>
    <n v="221.24"/>
    <n v="2939.32"/>
    <n v="2180.79"/>
    <n v="758.53"/>
  </r>
  <r>
    <n v="100151"/>
    <n v="3057"/>
    <x v="3"/>
    <x v="1"/>
    <x v="3"/>
    <s v="Jacket"/>
    <x v="117"/>
    <d v="2023-03-30T00:00:00"/>
    <d v="2023-04-04T00:00:00"/>
    <n v="8"/>
    <n v="3"/>
    <n v="13"/>
    <n v="708.82"/>
    <n v="9214.66"/>
    <n v="0"/>
    <n v="0"/>
    <n v="9214.66"/>
    <n v="5989.53"/>
    <n v="3225.13"/>
  </r>
  <r>
    <n v="100152"/>
    <n v="3102"/>
    <x v="2"/>
    <x v="1"/>
    <x v="3"/>
    <s v="Shirt"/>
    <x v="123"/>
    <d v="2023-07-09T00:00:00"/>
    <d v="2023-07-29T00:00:00"/>
    <n v="23"/>
    <n v="3"/>
    <n v="10"/>
    <n v="745.43"/>
    <n v="7454.3"/>
    <n v="0.17"/>
    <n v="1267.23"/>
    <n v="6187.07"/>
    <n v="4248.95"/>
    <n v="1938.12"/>
  </r>
  <r>
    <n v="100153"/>
    <n v="2834"/>
    <x v="3"/>
    <x v="0"/>
    <x v="2"/>
    <s v="Laptop"/>
    <x v="124"/>
    <d v="2023-10-30T00:00:00"/>
    <d v="2023-11-17T00:00:00"/>
    <n v="23"/>
    <n v="5"/>
    <n v="8"/>
    <n v="308.64999999999998"/>
    <n v="2469.1999999999998"/>
    <n v="0.02"/>
    <n v="49.38"/>
    <n v="2419.8200000000002"/>
    <n v="1456.83"/>
    <n v="962.99"/>
  </r>
  <r>
    <n v="100154"/>
    <n v="1958"/>
    <x v="3"/>
    <x v="1"/>
    <x v="3"/>
    <s v="Shirt"/>
    <x v="125"/>
    <d v="2023-08-21T00:00:00"/>
    <d v="2023-09-16T00:00:00"/>
    <n v="28"/>
    <n v="2"/>
    <n v="12"/>
    <n v="285.37"/>
    <n v="3424.44"/>
    <n v="0.17"/>
    <n v="582.15"/>
    <n v="2842.29"/>
    <n v="2088.91"/>
    <n v="753.38"/>
  </r>
  <r>
    <n v="100155"/>
    <n v="3904"/>
    <x v="2"/>
    <x v="2"/>
    <x v="0"/>
    <s v="Lamp"/>
    <x v="81"/>
    <d v="2023-11-01T00:00:00"/>
    <d v="2023-11-20T00:00:00"/>
    <n v="24"/>
    <n v="5"/>
    <n v="6"/>
    <n v="396.68"/>
    <n v="2380.08"/>
    <n v="0"/>
    <n v="0"/>
    <n v="2380.08"/>
    <n v="1428.05"/>
    <n v="952.03"/>
  </r>
  <r>
    <n v="100156"/>
    <n v="4853"/>
    <x v="1"/>
    <x v="0"/>
    <x v="3"/>
    <s v="Shoes"/>
    <x v="78"/>
    <d v="2023-11-14T00:00:00"/>
    <d v="2023-12-08T00:00:00"/>
    <n v="26"/>
    <n v="2"/>
    <n v="5"/>
    <n v="740.94"/>
    <n v="3704.7"/>
    <n v="0.08"/>
    <n v="296.38"/>
    <n v="3408.32"/>
    <n v="2148.73"/>
    <n v="1259.5899999999999"/>
  </r>
  <r>
    <n v="100157"/>
    <n v="1688"/>
    <x v="1"/>
    <x v="1"/>
    <x v="2"/>
    <s v="Phone"/>
    <x v="126"/>
    <d v="2023-12-06T00:00:00"/>
    <d v="2023-12-29T00:00:00"/>
    <n v="24"/>
    <n v="1"/>
    <n v="11"/>
    <n v="782.51"/>
    <n v="8607.61"/>
    <n v="0.1"/>
    <n v="860.76"/>
    <n v="7746.85"/>
    <n v="3959.5"/>
    <n v="3787.35"/>
  </r>
  <r>
    <n v="100158"/>
    <n v="1684"/>
    <x v="3"/>
    <x v="2"/>
    <x v="0"/>
    <s v="Table"/>
    <x v="127"/>
    <d v="2023-03-08T00:00:00"/>
    <d v="2023-03-23T00:00:00"/>
    <n v="18"/>
    <n v="3"/>
    <n v="4"/>
    <n v="288.99"/>
    <n v="1155.96"/>
    <n v="0.2"/>
    <n v="231.19"/>
    <n v="924.77"/>
    <n v="716.7"/>
    <n v="208.07"/>
  </r>
  <r>
    <n v="100159"/>
    <n v="2175"/>
    <x v="3"/>
    <x v="1"/>
    <x v="1"/>
    <s v="Beverage"/>
    <x v="79"/>
    <d v="2023-02-06T00:00:00"/>
    <d v="2023-03-02T00:00:00"/>
    <n v="25"/>
    <n v="1"/>
    <n v="7"/>
    <n v="86.52"/>
    <n v="605.64"/>
    <n v="7.0000000000000007E-2"/>
    <n v="42.39"/>
    <n v="563.25"/>
    <n v="357.33"/>
    <n v="205.92"/>
  </r>
  <r>
    <n v="100160"/>
    <n v="4096"/>
    <x v="0"/>
    <x v="2"/>
    <x v="3"/>
    <s v="Jeans"/>
    <x v="128"/>
    <d v="2023-03-20T00:00:00"/>
    <d v="2023-04-10T00:00:00"/>
    <n v="22"/>
    <n v="1"/>
    <n v="2"/>
    <n v="141.37"/>
    <n v="282.74"/>
    <n v="0.1"/>
    <n v="28.27"/>
    <n v="254.47"/>
    <n v="172.47"/>
    <n v="82"/>
  </r>
  <r>
    <n v="100161"/>
    <n v="2811"/>
    <x v="0"/>
    <x v="0"/>
    <x v="3"/>
    <s v="Shoes"/>
    <x v="129"/>
    <d v="2023-10-19T00:00:00"/>
    <d v="2023-10-28T00:00:00"/>
    <n v="12"/>
    <n v="3"/>
    <n v="13"/>
    <n v="284.83"/>
    <n v="3702.79"/>
    <n v="0"/>
    <n v="0"/>
    <n v="3702.79"/>
    <n v="2295.73"/>
    <n v="1407.06"/>
  </r>
  <r>
    <n v="100162"/>
    <n v="4733"/>
    <x v="0"/>
    <x v="1"/>
    <x v="3"/>
    <s v="Shirt"/>
    <x v="130"/>
    <d v="2023-04-29T00:00:00"/>
    <d v="2023-05-23T00:00:00"/>
    <n v="25"/>
    <n v="1"/>
    <n v="5"/>
    <n v="497.62"/>
    <n v="2488.1"/>
    <n v="0.13"/>
    <n v="323.45"/>
    <n v="2164.65"/>
    <n v="1492.86"/>
    <n v="671.79"/>
  </r>
  <r>
    <n v="100163"/>
    <n v="1820"/>
    <x v="3"/>
    <x v="1"/>
    <x v="0"/>
    <s v="Sofa"/>
    <x v="84"/>
    <d v="2023-08-09T00:00:00"/>
    <d v="2023-08-10T00:00:00"/>
    <n v="6"/>
    <n v="5"/>
    <n v="11"/>
    <n v="148.22"/>
    <n v="1630.42"/>
    <n v="7.0000000000000007E-2"/>
    <n v="114.13"/>
    <n v="1516.29"/>
    <n v="978.25"/>
    <n v="538.04"/>
  </r>
  <r>
    <n v="100164"/>
    <n v="2055"/>
    <x v="2"/>
    <x v="2"/>
    <x v="0"/>
    <s v="Sofa"/>
    <x v="131"/>
    <d v="2023-06-15T00:00:00"/>
    <d v="2023-06-27T00:00:00"/>
    <n v="16"/>
    <n v="4"/>
    <n v="8"/>
    <n v="637.91"/>
    <n v="5103.28"/>
    <n v="0.05"/>
    <n v="255.16"/>
    <n v="4848.12"/>
    <n v="3419.2"/>
    <n v="1428.92"/>
  </r>
  <r>
    <n v="100165"/>
    <n v="1346"/>
    <x v="3"/>
    <x v="2"/>
    <x v="1"/>
    <s v="Rice"/>
    <x v="132"/>
    <d v="2023-02-18T00:00:00"/>
    <d v="2023-02-20T00:00:00"/>
    <n v="5"/>
    <n v="3"/>
    <n v="12"/>
    <n v="659.5"/>
    <n v="7914"/>
    <n v="0.12"/>
    <n v="949.68"/>
    <n v="6964.32"/>
    <n v="5144.1000000000004"/>
    <n v="1820.22"/>
  </r>
  <r>
    <n v="100166"/>
    <n v="3607"/>
    <x v="2"/>
    <x v="1"/>
    <x v="2"/>
    <s v="Headphones"/>
    <x v="133"/>
    <d v="2023-04-30T00:00:00"/>
    <d v="2023-05-17T00:00:00"/>
    <n v="20"/>
    <n v="3"/>
    <n v="8"/>
    <n v="466.35"/>
    <n v="3730.8"/>
    <n v="0.05"/>
    <n v="186.54"/>
    <n v="3544.26"/>
    <n v="2238.48"/>
    <n v="1305.78"/>
  </r>
  <r>
    <n v="100167"/>
    <n v="2459"/>
    <x v="3"/>
    <x v="1"/>
    <x v="3"/>
    <s v="Shirt"/>
    <x v="132"/>
    <d v="2023-02-20T00:00:00"/>
    <d v="2023-03-10T00:00:00"/>
    <n v="23"/>
    <n v="5"/>
    <n v="5"/>
    <n v="744.09"/>
    <n v="3720.45"/>
    <n v="0.06"/>
    <n v="223.23"/>
    <n v="3497.22"/>
    <n v="2381.09"/>
    <n v="1116.1300000000001"/>
  </r>
  <r>
    <n v="100168"/>
    <n v="1430"/>
    <x v="3"/>
    <x v="1"/>
    <x v="0"/>
    <s v="Table"/>
    <x v="134"/>
    <d v="2024-01-02T00:00:00"/>
    <d v="2024-01-04T00:00:00"/>
    <n v="7"/>
    <n v="5"/>
    <n v="4"/>
    <n v="660.26"/>
    <n v="2641.04"/>
    <n v="7.0000000000000007E-2"/>
    <n v="184.87"/>
    <n v="2456.17"/>
    <n v="1584.62"/>
    <n v="871.55"/>
  </r>
  <r>
    <n v="100169"/>
    <n v="1525"/>
    <x v="0"/>
    <x v="0"/>
    <x v="1"/>
    <s v="Pasta"/>
    <x v="11"/>
    <d v="2023-02-14T00:00:00"/>
    <d v="2023-02-22T00:00:00"/>
    <n v="10"/>
    <n v="2"/>
    <n v="11"/>
    <n v="477.77"/>
    <n v="5255.47"/>
    <n v="0.09"/>
    <n v="472.99"/>
    <n v="4782.4799999999996"/>
    <n v="3416.06"/>
    <n v="1366.42"/>
  </r>
  <r>
    <n v="100170"/>
    <n v="3364"/>
    <x v="1"/>
    <x v="2"/>
    <x v="0"/>
    <s v="Table"/>
    <x v="135"/>
    <d v="2023-12-23T00:00:00"/>
    <d v="2024-01-18T00:00:00"/>
    <n v="30"/>
    <n v="4"/>
    <n v="12"/>
    <n v="324.77"/>
    <n v="3897.24"/>
    <n v="0.14000000000000001"/>
    <n v="545.61"/>
    <n v="3351.63"/>
    <n v="2182.4499999999998"/>
    <n v="1169.18"/>
  </r>
  <r>
    <n v="100171"/>
    <n v="3807"/>
    <x v="1"/>
    <x v="1"/>
    <x v="2"/>
    <s v="Tablet"/>
    <x v="30"/>
    <d v="2023-10-19T00:00:00"/>
    <d v="2023-10-23T00:00:00"/>
    <n v="5"/>
    <n v="1"/>
    <n v="1"/>
    <n v="631.52"/>
    <n v="631.52"/>
    <n v="7.0000000000000007E-2"/>
    <n v="44.21"/>
    <n v="587.30999999999995"/>
    <n v="429.43"/>
    <n v="157.88"/>
  </r>
  <r>
    <n v="100172"/>
    <n v="3233"/>
    <x v="3"/>
    <x v="0"/>
    <x v="0"/>
    <s v="Table"/>
    <x v="136"/>
    <d v="2023-04-08T00:00:00"/>
    <d v="2023-04-15T00:00:00"/>
    <n v="9"/>
    <n v="2"/>
    <n v="9"/>
    <n v="515.62"/>
    <n v="4640.58"/>
    <n v="0.03"/>
    <n v="139.22"/>
    <n v="4501.3599999999997"/>
    <n v="3016.38"/>
    <n v="1484.98"/>
  </r>
  <r>
    <n v="100173"/>
    <n v="3625"/>
    <x v="0"/>
    <x v="0"/>
    <x v="1"/>
    <s v="Rice"/>
    <x v="26"/>
    <d v="2023-07-05T00:00:00"/>
    <d v="2023-07-05T00:00:00"/>
    <n v="2"/>
    <n v="2"/>
    <n v="1"/>
    <n v="558.51"/>
    <n v="558.51"/>
    <n v="0.09"/>
    <n v="50.27"/>
    <n v="508.24"/>
    <n v="363.03"/>
    <n v="145.21"/>
  </r>
  <r>
    <n v="100174"/>
    <n v="3952"/>
    <x v="0"/>
    <x v="2"/>
    <x v="1"/>
    <s v="Pasta"/>
    <x v="125"/>
    <d v="2023-08-24T00:00:00"/>
    <d v="2023-09-12T00:00:00"/>
    <n v="24"/>
    <n v="5"/>
    <n v="3"/>
    <n v="655.4"/>
    <n v="1966.2"/>
    <n v="0.05"/>
    <n v="98.31"/>
    <n v="1867.89"/>
    <n v="1258.3699999999999"/>
    <n v="609.52"/>
  </r>
  <r>
    <n v="100175"/>
    <n v="4948"/>
    <x v="0"/>
    <x v="1"/>
    <x v="0"/>
    <s v="Lamp"/>
    <x v="137"/>
    <d v="2023-09-28T00:00:00"/>
    <d v="2023-10-20T00:00:00"/>
    <n v="27"/>
    <n v="5"/>
    <n v="9"/>
    <n v="463.58"/>
    <n v="4172.22"/>
    <n v="0.09"/>
    <n v="375.5"/>
    <n v="3796.72"/>
    <n v="2711.94"/>
    <n v="1084.78"/>
  </r>
  <r>
    <n v="100176"/>
    <n v="3596"/>
    <x v="1"/>
    <x v="0"/>
    <x v="3"/>
    <s v="Shoes"/>
    <x v="138"/>
    <d v="2023-10-02T00:00:00"/>
    <d v="2023-10-21T00:00:00"/>
    <n v="24"/>
    <n v="5"/>
    <n v="8"/>
    <n v="252"/>
    <n v="2016"/>
    <n v="7.0000000000000007E-2"/>
    <n v="141.12"/>
    <n v="1874.88"/>
    <n v="1431.36"/>
    <n v="443.52"/>
  </r>
  <r>
    <n v="100177"/>
    <n v="3885"/>
    <x v="2"/>
    <x v="0"/>
    <x v="1"/>
    <s v="Pasta"/>
    <x v="139"/>
    <d v="2023-12-12T00:00:00"/>
    <d v="2023-12-25T00:00:00"/>
    <n v="17"/>
    <n v="4"/>
    <n v="4"/>
    <n v="661.28"/>
    <n v="2645.12"/>
    <n v="0.12"/>
    <n v="317.41000000000003"/>
    <n v="2327.71"/>
    <n v="1639.97"/>
    <n v="687.74"/>
  </r>
  <r>
    <n v="100178"/>
    <n v="2842"/>
    <x v="2"/>
    <x v="2"/>
    <x v="3"/>
    <s v="Shoes"/>
    <x v="140"/>
    <d v="2023-01-03T00:00:00"/>
    <d v="2023-01-19T00:00:00"/>
    <n v="17"/>
    <n v="1"/>
    <n v="4"/>
    <n v="662.64"/>
    <n v="2650.56"/>
    <n v="0.05"/>
    <n v="132.53"/>
    <n v="2518.0300000000002"/>
    <n v="1934.91"/>
    <n v="583.12"/>
  </r>
  <r>
    <n v="100179"/>
    <n v="1045"/>
    <x v="2"/>
    <x v="1"/>
    <x v="3"/>
    <s v="Shirt"/>
    <x v="141"/>
    <d v="2023-10-16T00:00:00"/>
    <d v="2023-10-27T00:00:00"/>
    <n v="12"/>
    <n v="1"/>
    <n v="12"/>
    <n v="408.72"/>
    <n v="4904.6400000000003"/>
    <n v="0.12"/>
    <n v="588.55999999999995"/>
    <n v="4316.08"/>
    <n v="2795.64"/>
    <n v="1520.44"/>
  </r>
  <r>
    <n v="100180"/>
    <n v="4429"/>
    <x v="2"/>
    <x v="0"/>
    <x v="1"/>
    <s v="Rice"/>
    <x v="142"/>
    <d v="2023-08-01T00:00:00"/>
    <d v="2023-08-20T00:00:00"/>
    <n v="23"/>
    <n v="4"/>
    <n v="9"/>
    <n v="248.48"/>
    <n v="2236.3200000000002"/>
    <n v="0.04"/>
    <n v="89.45"/>
    <n v="2146.87"/>
    <n v="1475.97"/>
    <n v="670.9"/>
  </r>
  <r>
    <n v="100181"/>
    <n v="4203"/>
    <x v="2"/>
    <x v="2"/>
    <x v="1"/>
    <s v="Rice"/>
    <x v="143"/>
    <d v="2023-02-23T00:00:00"/>
    <d v="2023-03-17T00:00:00"/>
    <n v="27"/>
    <n v="5"/>
    <n v="13"/>
    <n v="33.18"/>
    <n v="431.34"/>
    <n v="0.13"/>
    <n v="56.07"/>
    <n v="375.27"/>
    <n v="215.67"/>
    <n v="159.6"/>
  </r>
  <r>
    <n v="100182"/>
    <n v="4659"/>
    <x v="1"/>
    <x v="2"/>
    <x v="2"/>
    <s v="Laptop"/>
    <x v="144"/>
    <d v="2023-06-05T00:00:00"/>
    <d v="2023-06-11T00:00:00"/>
    <n v="8"/>
    <n v="2"/>
    <n v="12"/>
    <n v="194.57"/>
    <n v="2334.84"/>
    <n v="0.14000000000000001"/>
    <n v="326.88"/>
    <n v="2007.96"/>
    <n v="1564.34"/>
    <n v="443.62"/>
  </r>
  <r>
    <n v="100183"/>
    <n v="1094"/>
    <x v="0"/>
    <x v="1"/>
    <x v="3"/>
    <s v="Shoes"/>
    <x v="131"/>
    <d v="2023-06-13T00:00:00"/>
    <d v="2023-06-27T00:00:00"/>
    <n v="16"/>
    <n v="2"/>
    <n v="9"/>
    <n v="788.99"/>
    <n v="7100.91"/>
    <n v="0.03"/>
    <n v="213.03"/>
    <n v="6887.88"/>
    <n v="4686.6000000000004"/>
    <n v="2201.2800000000002"/>
  </r>
  <r>
    <n v="100184"/>
    <n v="1826"/>
    <x v="3"/>
    <x v="0"/>
    <x v="0"/>
    <s v="Sofa"/>
    <x v="145"/>
    <d v="2023-09-16T00:00:00"/>
    <d v="2023-09-26T00:00:00"/>
    <n v="13"/>
    <n v="3"/>
    <n v="4"/>
    <n v="744.86"/>
    <n v="2979.44"/>
    <n v="0.08"/>
    <n v="238.36"/>
    <n v="2741.08"/>
    <n v="2026.02"/>
    <n v="715.06"/>
  </r>
  <r>
    <n v="100185"/>
    <n v="4347"/>
    <x v="3"/>
    <x v="0"/>
    <x v="1"/>
    <s v="Rice"/>
    <x v="126"/>
    <d v="2023-12-07T00:00:00"/>
    <d v="2023-12-30T00:00:00"/>
    <n v="25"/>
    <n v="2"/>
    <n v="7"/>
    <n v="762.56"/>
    <n v="5337.92"/>
    <n v="0.08"/>
    <n v="427.03"/>
    <n v="4910.8900000000003"/>
    <n v="3523.03"/>
    <n v="1387.86"/>
  </r>
  <r>
    <n v="100186"/>
    <n v="1896"/>
    <x v="3"/>
    <x v="1"/>
    <x v="3"/>
    <s v="Shirt"/>
    <x v="146"/>
    <d v="2023-03-09T00:00:00"/>
    <d v="2023-03-19T00:00:00"/>
    <n v="13"/>
    <n v="3"/>
    <n v="2"/>
    <n v="325.73"/>
    <n v="651.46"/>
    <n v="0.08"/>
    <n v="52.12"/>
    <n v="599.34"/>
    <n v="390.88"/>
    <n v="208.46"/>
  </r>
  <r>
    <n v="100187"/>
    <n v="3323"/>
    <x v="3"/>
    <x v="2"/>
    <x v="0"/>
    <s v="Sofa"/>
    <x v="147"/>
    <d v="2023-11-14T00:00:00"/>
    <d v="2023-12-04T00:00:00"/>
    <n v="23"/>
    <n v="3"/>
    <n v="14"/>
    <n v="597.87"/>
    <n v="8370.18"/>
    <n v="0.19"/>
    <n v="1590.33"/>
    <n v="6779.85"/>
    <n v="5608.02"/>
    <n v="1171.83"/>
  </r>
  <r>
    <n v="100188"/>
    <n v="3953"/>
    <x v="0"/>
    <x v="0"/>
    <x v="1"/>
    <s v="Pasta"/>
    <x v="148"/>
    <d v="2023-09-27T00:00:00"/>
    <d v="2023-10-04T00:00:00"/>
    <n v="10"/>
    <n v="3"/>
    <n v="5"/>
    <n v="501.82"/>
    <n v="2509.1"/>
    <n v="0.05"/>
    <n v="125.46"/>
    <n v="2383.64"/>
    <n v="1656.01"/>
    <n v="727.63"/>
  </r>
  <r>
    <n v="100189"/>
    <n v="4443"/>
    <x v="1"/>
    <x v="0"/>
    <x v="1"/>
    <s v="Beverage"/>
    <x v="149"/>
    <d v="2023-02-02T00:00:00"/>
    <d v="2023-02-02T00:00:00"/>
    <n v="5"/>
    <n v="5"/>
    <n v="7"/>
    <n v="706.64"/>
    <n v="4946.4799999999996"/>
    <n v="0.12"/>
    <n v="593.58000000000004"/>
    <n v="4352.8999999999996"/>
    <n v="3413.07"/>
    <n v="939.83"/>
  </r>
  <r>
    <n v="100190"/>
    <n v="3955"/>
    <x v="3"/>
    <x v="1"/>
    <x v="1"/>
    <s v="Snacks"/>
    <x v="150"/>
    <d v="2023-06-10T00:00:00"/>
    <d v="2023-06-14T00:00:00"/>
    <n v="8"/>
    <n v="4"/>
    <n v="4"/>
    <n v="121.97"/>
    <n v="487.88"/>
    <n v="0.11"/>
    <n v="53.67"/>
    <n v="434.21"/>
    <n v="297.61"/>
    <n v="136.6"/>
  </r>
  <r>
    <n v="100191"/>
    <n v="2326"/>
    <x v="2"/>
    <x v="0"/>
    <x v="2"/>
    <s v="Laptop"/>
    <x v="151"/>
    <d v="2023-01-14T00:00:00"/>
    <d v="2023-01-20T00:00:00"/>
    <n v="11"/>
    <n v="5"/>
    <n v="3"/>
    <n v="773.75"/>
    <n v="2321.25"/>
    <n v="0.01"/>
    <n v="23.21"/>
    <n v="2298.04"/>
    <n v="1601.66"/>
    <n v="696.38"/>
  </r>
  <r>
    <n v="100192"/>
    <n v="1763"/>
    <x v="0"/>
    <x v="0"/>
    <x v="1"/>
    <s v="Snacks"/>
    <x v="50"/>
    <d v="2023-09-10T00:00:00"/>
    <d v="2023-09-20T00:00:00"/>
    <n v="15"/>
    <n v="5"/>
    <n v="13"/>
    <n v="357.38"/>
    <n v="4645.9399999999996"/>
    <n v="0.1"/>
    <n v="464.59"/>
    <n v="4181.3500000000004"/>
    <n v="3159.24"/>
    <n v="1022.11"/>
  </r>
  <r>
    <n v="100193"/>
    <n v="1699"/>
    <x v="3"/>
    <x v="1"/>
    <x v="3"/>
    <s v="Shirt"/>
    <x v="95"/>
    <d v="2023-04-13T00:00:00"/>
    <d v="2023-04-26T00:00:00"/>
    <n v="15"/>
    <n v="2"/>
    <n v="3"/>
    <n v="370.9"/>
    <n v="1112.7"/>
    <n v="0.11"/>
    <n v="122.4"/>
    <n v="990.3"/>
    <n v="645.37"/>
    <n v="344.93"/>
  </r>
  <r>
    <n v="100194"/>
    <n v="1488"/>
    <x v="0"/>
    <x v="2"/>
    <x v="2"/>
    <s v="Tablet"/>
    <x v="152"/>
    <d v="2023-09-17T00:00:00"/>
    <d v="2023-10-06T00:00:00"/>
    <n v="24"/>
    <n v="5"/>
    <n v="3"/>
    <n v="184.91"/>
    <n v="554.73"/>
    <n v="0.09"/>
    <n v="49.93"/>
    <n v="504.8"/>
    <n v="321.74"/>
    <n v="183.06"/>
  </r>
  <r>
    <n v="100195"/>
    <n v="2435"/>
    <x v="3"/>
    <x v="0"/>
    <x v="1"/>
    <s v="Snacks"/>
    <x v="153"/>
    <d v="2023-11-08T00:00:00"/>
    <d v="2023-11-23T00:00:00"/>
    <n v="16"/>
    <n v="1"/>
    <n v="14"/>
    <n v="140.13"/>
    <n v="1961.82"/>
    <n v="0.2"/>
    <n v="392.36"/>
    <n v="1569.46"/>
    <n v="1294.8"/>
    <n v="274.66000000000003"/>
  </r>
  <r>
    <n v="100196"/>
    <n v="1900"/>
    <x v="0"/>
    <x v="0"/>
    <x v="2"/>
    <s v="Headphones"/>
    <x v="154"/>
    <d v="2023-10-28T00:00:00"/>
    <d v="2023-11-05T00:00:00"/>
    <n v="10"/>
    <n v="2"/>
    <n v="11"/>
    <n v="474.63"/>
    <n v="5220.93"/>
    <n v="0.03"/>
    <n v="156.63"/>
    <n v="5064.3"/>
    <n v="3445.81"/>
    <n v="1618.49"/>
  </r>
  <r>
    <n v="100197"/>
    <n v="1821"/>
    <x v="1"/>
    <x v="2"/>
    <x v="3"/>
    <s v="Shirt"/>
    <x v="6"/>
    <d v="2023-12-17T00:00:00"/>
    <d v="2023-12-24T00:00:00"/>
    <n v="9"/>
    <n v="2"/>
    <n v="14"/>
    <n v="405.2"/>
    <n v="5672.8"/>
    <n v="0.04"/>
    <n v="226.91"/>
    <n v="5445.89"/>
    <n v="3914.23"/>
    <n v="1531.66"/>
  </r>
  <r>
    <n v="100198"/>
    <n v="2853"/>
    <x v="1"/>
    <x v="0"/>
    <x v="1"/>
    <s v="Pasta"/>
    <x v="155"/>
    <d v="2023-01-11T00:00:00"/>
    <d v="2023-01-26T00:00:00"/>
    <n v="18"/>
    <n v="3"/>
    <n v="2"/>
    <n v="259.79000000000002"/>
    <n v="519.58000000000004"/>
    <n v="0"/>
    <n v="0"/>
    <n v="519.58000000000004"/>
    <n v="327.33999999999997"/>
    <n v="192.24"/>
  </r>
  <r>
    <n v="100199"/>
    <n v="1600"/>
    <x v="0"/>
    <x v="2"/>
    <x v="2"/>
    <s v="Headphones"/>
    <x v="156"/>
    <d v="2023-09-03T00:00:00"/>
    <d v="2023-09-29T00:00:00"/>
    <n v="30"/>
    <n v="4"/>
    <n v="4"/>
    <n v="499.87"/>
    <n v="1999.48"/>
    <n v="0.06"/>
    <n v="119.97"/>
    <n v="1879.51"/>
    <n v="1319.66"/>
    <n v="559.85"/>
  </r>
  <r>
    <n v="100200"/>
    <n v="3802"/>
    <x v="1"/>
    <x v="2"/>
    <x v="0"/>
    <s v="Cookware"/>
    <x v="157"/>
    <d v="2023-05-26T00:00:00"/>
    <d v="2023-06-17T00:00:00"/>
    <n v="24"/>
    <n v="2"/>
    <n v="10"/>
    <n v="274.45"/>
    <n v="2744.5"/>
    <n v="0.16"/>
    <n v="439.12"/>
    <n v="2305.38"/>
    <n v="2058.38"/>
    <n v="247"/>
  </r>
  <r>
    <n v="100201"/>
    <n v="2812"/>
    <x v="3"/>
    <x v="2"/>
    <x v="3"/>
    <s v="Jeans"/>
    <x v="158"/>
    <d v="2023-05-10T00:00:00"/>
    <d v="2023-05-19T00:00:00"/>
    <n v="10"/>
    <n v="1"/>
    <n v="3"/>
    <n v="625.34"/>
    <n v="1876.02"/>
    <n v="0.09"/>
    <n v="168.84"/>
    <n v="1707.18"/>
    <n v="1163.1300000000001"/>
    <n v="544.04999999999995"/>
  </r>
  <r>
    <n v="100202"/>
    <n v="2503"/>
    <x v="3"/>
    <x v="1"/>
    <x v="2"/>
    <s v="Tablet"/>
    <x v="159"/>
    <d v="2023-08-01T00:00:00"/>
    <d v="2023-08-29T00:00:00"/>
    <n v="30"/>
    <n v="2"/>
    <n v="13"/>
    <n v="696.49"/>
    <n v="9054.3700000000008"/>
    <n v="0.13"/>
    <n v="1177.07"/>
    <n v="7877.3"/>
    <n v="5885.34"/>
    <n v="1991.96"/>
  </r>
  <r>
    <n v="100203"/>
    <n v="1696"/>
    <x v="2"/>
    <x v="1"/>
    <x v="0"/>
    <s v="Table"/>
    <x v="160"/>
    <d v="2023-08-23T00:00:00"/>
    <d v="2023-09-12T00:00:00"/>
    <n v="23"/>
    <n v="3"/>
    <n v="9"/>
    <n v="789.14"/>
    <n v="7102.26"/>
    <n v="0"/>
    <n v="0"/>
    <n v="7102.26"/>
    <n v="4261.3599999999997"/>
    <n v="2840.9"/>
  </r>
  <r>
    <n v="100204"/>
    <n v="1598"/>
    <x v="2"/>
    <x v="1"/>
    <x v="0"/>
    <s v="Cookware"/>
    <x v="161"/>
    <d v="2023-06-30T00:00:00"/>
    <d v="2023-07-12T00:00:00"/>
    <n v="16"/>
    <n v="4"/>
    <n v="1"/>
    <n v="737.41"/>
    <n v="737.41"/>
    <n v="0.13"/>
    <n v="95.86"/>
    <n v="641.54999999999995"/>
    <n v="508.81"/>
    <n v="132.74"/>
  </r>
  <r>
    <n v="100205"/>
    <n v="3382"/>
    <x v="0"/>
    <x v="2"/>
    <x v="2"/>
    <s v="Tablet"/>
    <x v="21"/>
    <d v="2023-02-15T00:00:00"/>
    <d v="2023-02-23T00:00:00"/>
    <n v="9"/>
    <n v="1"/>
    <n v="13"/>
    <n v="151.97999999999999"/>
    <n v="1975.74"/>
    <n v="0.05"/>
    <n v="98.79"/>
    <n v="1876.95"/>
    <n v="1284.23"/>
    <n v="592.72"/>
  </r>
  <r>
    <n v="100206"/>
    <n v="1988"/>
    <x v="3"/>
    <x v="1"/>
    <x v="2"/>
    <s v="Headphones"/>
    <x v="162"/>
    <d v="2023-01-11T00:00:00"/>
    <d v="2023-01-24T00:00:00"/>
    <n v="14"/>
    <n v="1"/>
    <n v="6"/>
    <n v="253.62"/>
    <n v="1521.72"/>
    <n v="7.0000000000000007E-2"/>
    <n v="106.52"/>
    <n v="1415.2"/>
    <n v="928.25"/>
    <n v="486.95"/>
  </r>
  <r>
    <n v="100207"/>
    <n v="3011"/>
    <x v="3"/>
    <x v="2"/>
    <x v="1"/>
    <s v="Pasta"/>
    <x v="163"/>
    <d v="2023-11-03T00:00:00"/>
    <d v="2023-11-17T00:00:00"/>
    <n v="18"/>
    <n v="4"/>
    <n v="1"/>
    <n v="494.47"/>
    <n v="494.47"/>
    <n v="0.09"/>
    <n v="44.5"/>
    <n v="449.97"/>
    <n v="306.57"/>
    <n v="143.4"/>
  </r>
  <r>
    <n v="100208"/>
    <n v="1342"/>
    <x v="1"/>
    <x v="2"/>
    <x v="0"/>
    <s v="Sofa"/>
    <x v="161"/>
    <d v="2023-06-28T00:00:00"/>
    <d v="2023-07-11T00:00:00"/>
    <n v="15"/>
    <n v="2"/>
    <n v="13"/>
    <n v="110.91"/>
    <n v="1441.83"/>
    <n v="0.1"/>
    <n v="144.18"/>
    <n v="1297.6500000000001"/>
    <n v="879.52"/>
    <n v="418.13"/>
  </r>
  <r>
    <n v="100209"/>
    <n v="2365"/>
    <x v="3"/>
    <x v="2"/>
    <x v="0"/>
    <s v="Table"/>
    <x v="164"/>
    <d v="2023-05-09T00:00:00"/>
    <d v="2023-05-19T00:00:00"/>
    <n v="11"/>
    <n v="1"/>
    <n v="4"/>
    <n v="524.65"/>
    <n v="2098.6"/>
    <n v="0.18"/>
    <n v="377.75"/>
    <n v="1720.85"/>
    <n v="1280.1500000000001"/>
    <n v="440.7"/>
  </r>
  <r>
    <n v="100210"/>
    <n v="1573"/>
    <x v="2"/>
    <x v="0"/>
    <x v="1"/>
    <s v="Beverage"/>
    <x v="108"/>
    <d v="2023-01-08T00:00:00"/>
    <d v="2023-01-18T00:00:00"/>
    <n v="12"/>
    <n v="2"/>
    <n v="8"/>
    <n v="509.73"/>
    <n v="4077.84"/>
    <n v="0"/>
    <n v="0"/>
    <n v="4077.84"/>
    <n v="2446.6999999999998"/>
    <n v="1631.14"/>
  </r>
  <r>
    <n v="100211"/>
    <n v="4923"/>
    <x v="3"/>
    <x v="2"/>
    <x v="2"/>
    <s v="Laptop"/>
    <x v="165"/>
    <d v="2023-05-26T00:00:00"/>
    <d v="2023-06-11T00:00:00"/>
    <n v="17"/>
    <n v="1"/>
    <n v="12"/>
    <n v="785.9"/>
    <n v="9430.7999999999993"/>
    <n v="0.06"/>
    <n v="565.85"/>
    <n v="8864.9500000000007"/>
    <n v="6130.02"/>
    <n v="2734.93"/>
  </r>
  <r>
    <n v="100212"/>
    <n v="3151"/>
    <x v="3"/>
    <x v="0"/>
    <x v="1"/>
    <s v="Rice"/>
    <x v="166"/>
    <d v="2023-01-13T00:00:00"/>
    <d v="2023-02-09T00:00:00"/>
    <n v="28"/>
    <n v="1"/>
    <n v="7"/>
    <n v="666.05"/>
    <n v="4662.3500000000004"/>
    <n v="0.13"/>
    <n v="606.11"/>
    <n v="4056.24"/>
    <n v="2704.16"/>
    <n v="1352.08"/>
  </r>
  <r>
    <n v="100213"/>
    <n v="3092"/>
    <x v="3"/>
    <x v="0"/>
    <x v="1"/>
    <s v="Beverage"/>
    <x v="167"/>
    <d v="2024-01-01T00:00:00"/>
    <d v="2024-01-25T00:00:00"/>
    <n v="27"/>
    <n v="3"/>
    <n v="10"/>
    <n v="386.74"/>
    <n v="3867.4"/>
    <n v="0.2"/>
    <n v="773.48"/>
    <n v="3093.92"/>
    <n v="2629.83"/>
    <n v="464.09"/>
  </r>
  <r>
    <n v="100214"/>
    <n v="3523"/>
    <x v="2"/>
    <x v="2"/>
    <x v="0"/>
    <s v="Sofa"/>
    <x v="168"/>
    <d v="2023-06-13T00:00:00"/>
    <d v="2023-06-17T00:00:00"/>
    <n v="7"/>
    <n v="3"/>
    <n v="4"/>
    <n v="120.09"/>
    <n v="480.36"/>
    <n v="0.12"/>
    <n v="57.64"/>
    <n v="422.72"/>
    <n v="302.63"/>
    <n v="120.09"/>
  </r>
  <r>
    <n v="100215"/>
    <n v="1075"/>
    <x v="0"/>
    <x v="0"/>
    <x v="2"/>
    <s v="Phone"/>
    <x v="169"/>
    <d v="2023-10-27T00:00:00"/>
    <d v="2023-10-28T00:00:00"/>
    <n v="4"/>
    <n v="3"/>
    <n v="13"/>
    <n v="634.65"/>
    <n v="8250.4500000000007"/>
    <n v="7.0000000000000007E-2"/>
    <n v="577.53"/>
    <n v="7672.92"/>
    <n v="5197.78"/>
    <n v="2475.14"/>
  </r>
  <r>
    <n v="100216"/>
    <n v="1264"/>
    <x v="3"/>
    <x v="2"/>
    <x v="0"/>
    <s v="Table"/>
    <x v="170"/>
    <d v="2023-02-11T00:00:00"/>
    <d v="2023-02-21T00:00:00"/>
    <n v="15"/>
    <n v="5"/>
    <n v="6"/>
    <n v="169.32"/>
    <n v="1015.92"/>
    <n v="0.15"/>
    <n v="152.38999999999999"/>
    <n v="863.53"/>
    <n v="640.03"/>
    <n v="223.5"/>
  </r>
  <r>
    <n v="100217"/>
    <n v="3838"/>
    <x v="2"/>
    <x v="1"/>
    <x v="0"/>
    <s v="Sofa"/>
    <x v="171"/>
    <d v="2023-03-16T00:00:00"/>
    <d v="2023-03-18T00:00:00"/>
    <n v="7"/>
    <n v="5"/>
    <n v="2"/>
    <n v="154.61000000000001"/>
    <n v="309.22000000000003"/>
    <n v="0.01"/>
    <n v="3.09"/>
    <n v="306.13"/>
    <n v="197.9"/>
    <n v="108.23"/>
  </r>
  <r>
    <n v="100218"/>
    <n v="2968"/>
    <x v="3"/>
    <x v="1"/>
    <x v="0"/>
    <s v="Sofa"/>
    <x v="119"/>
    <d v="2024-01-03T00:00:00"/>
    <d v="2024-01-12T00:00:00"/>
    <n v="13"/>
    <n v="4"/>
    <n v="2"/>
    <n v="541.57000000000005"/>
    <n v="1083.1400000000001"/>
    <n v="0.08"/>
    <n v="86.65"/>
    <n v="996.49"/>
    <n v="606.55999999999995"/>
    <n v="389.93"/>
  </r>
  <r>
    <n v="100219"/>
    <n v="2622"/>
    <x v="0"/>
    <x v="0"/>
    <x v="3"/>
    <s v="Shirt"/>
    <x v="172"/>
    <d v="2023-04-09T00:00:00"/>
    <d v="2023-04-20T00:00:00"/>
    <n v="16"/>
    <n v="5"/>
    <n v="1"/>
    <n v="601.08000000000004"/>
    <n v="601.08000000000004"/>
    <n v="7.0000000000000007E-2"/>
    <n v="42.08"/>
    <n v="559"/>
    <n v="378.68"/>
    <n v="180.32"/>
  </r>
  <r>
    <n v="100220"/>
    <n v="3321"/>
    <x v="2"/>
    <x v="2"/>
    <x v="3"/>
    <s v="Shirt"/>
    <x v="109"/>
    <d v="2023-02-22T00:00:00"/>
    <d v="2023-03-19T00:00:00"/>
    <n v="28"/>
    <n v="3"/>
    <n v="14"/>
    <n v="211.45"/>
    <n v="2960.3"/>
    <n v="0.17"/>
    <n v="503.25"/>
    <n v="2457.0500000000002"/>
    <n v="1776.18"/>
    <n v="680.87"/>
  </r>
  <r>
    <n v="100221"/>
    <n v="1245"/>
    <x v="3"/>
    <x v="1"/>
    <x v="2"/>
    <s v="Headphones"/>
    <x v="48"/>
    <d v="2023-11-15T00:00:00"/>
    <d v="2023-11-27T00:00:00"/>
    <n v="13"/>
    <n v="1"/>
    <n v="6"/>
    <n v="81.3"/>
    <n v="487.8"/>
    <n v="0.13"/>
    <n v="63.41"/>
    <n v="424.39"/>
    <n v="360.97"/>
    <n v="63.42"/>
  </r>
  <r>
    <n v="100222"/>
    <n v="2620"/>
    <x v="1"/>
    <x v="2"/>
    <x v="0"/>
    <s v="Cookware"/>
    <x v="173"/>
    <d v="2023-08-16T00:00:00"/>
    <d v="2023-09-10T00:00:00"/>
    <n v="29"/>
    <n v="4"/>
    <n v="14"/>
    <n v="512.02"/>
    <n v="7168.28"/>
    <n v="0.11"/>
    <n v="788.51"/>
    <n v="6379.77"/>
    <n v="4731.0600000000004"/>
    <n v="1648.71"/>
  </r>
  <r>
    <n v="100223"/>
    <n v="4388"/>
    <x v="0"/>
    <x v="1"/>
    <x v="2"/>
    <s v="Tablet"/>
    <x v="92"/>
    <d v="2023-05-18T00:00:00"/>
    <d v="2023-06-06T00:00:00"/>
    <n v="21"/>
    <n v="2"/>
    <n v="10"/>
    <n v="261.66000000000003"/>
    <n v="2616.6"/>
    <n v="0.02"/>
    <n v="52.33"/>
    <n v="2564.27"/>
    <n v="1648.46"/>
    <n v="915.81"/>
  </r>
  <r>
    <n v="100224"/>
    <n v="4384"/>
    <x v="1"/>
    <x v="1"/>
    <x v="1"/>
    <s v="Snacks"/>
    <x v="41"/>
    <d v="2023-04-04T00:00:00"/>
    <d v="2023-04-29T00:00:00"/>
    <n v="26"/>
    <n v="1"/>
    <n v="2"/>
    <n v="236.21"/>
    <n v="472.42"/>
    <n v="0.14000000000000001"/>
    <n v="66.14"/>
    <n v="406.28"/>
    <n v="297.62"/>
    <n v="108.66"/>
  </r>
  <r>
    <n v="100225"/>
    <n v="4838"/>
    <x v="2"/>
    <x v="2"/>
    <x v="0"/>
    <s v="Cookware"/>
    <x v="147"/>
    <d v="2023-11-13T00:00:00"/>
    <d v="2023-12-01T00:00:00"/>
    <n v="20"/>
    <n v="2"/>
    <n v="11"/>
    <n v="547.35"/>
    <n v="6020.85"/>
    <n v="7.0000000000000007E-2"/>
    <n v="421.46"/>
    <n v="5599.39"/>
    <n v="4455.43"/>
    <n v="1143.96"/>
  </r>
  <r>
    <n v="100226"/>
    <n v="1752"/>
    <x v="1"/>
    <x v="0"/>
    <x v="0"/>
    <s v="Sofa"/>
    <x v="174"/>
    <d v="2023-06-30T00:00:00"/>
    <d v="2023-07-11T00:00:00"/>
    <n v="13"/>
    <n v="2"/>
    <n v="10"/>
    <n v="429.13"/>
    <n v="4291.3"/>
    <n v="0.08"/>
    <n v="343.3"/>
    <n v="3948"/>
    <n v="2231.48"/>
    <n v="1716.52"/>
  </r>
  <r>
    <n v="100227"/>
    <n v="1036"/>
    <x v="2"/>
    <x v="1"/>
    <x v="1"/>
    <s v="Pasta"/>
    <x v="161"/>
    <d v="2023-06-28T00:00:00"/>
    <d v="2023-07-04T00:00:00"/>
    <n v="8"/>
    <n v="2"/>
    <n v="4"/>
    <n v="349.65"/>
    <n v="1398.6"/>
    <n v="0.06"/>
    <n v="83.92"/>
    <n v="1314.68"/>
    <n v="895.1"/>
    <n v="419.58"/>
  </r>
  <r>
    <n v="100228"/>
    <n v="4561"/>
    <x v="0"/>
    <x v="2"/>
    <x v="1"/>
    <s v="Pasta"/>
    <x v="175"/>
    <d v="2023-12-06T00:00:00"/>
    <d v="2023-12-23T00:00:00"/>
    <n v="22"/>
    <n v="5"/>
    <n v="2"/>
    <n v="365.66"/>
    <n v="731.32"/>
    <n v="0"/>
    <n v="0"/>
    <n v="731.32"/>
    <n v="460.73"/>
    <n v="270.58999999999997"/>
  </r>
  <r>
    <n v="100229"/>
    <n v="3139"/>
    <x v="1"/>
    <x v="1"/>
    <x v="1"/>
    <s v="Snacks"/>
    <x v="67"/>
    <d v="2023-02-18T00:00:00"/>
    <d v="2023-02-21T00:00:00"/>
    <n v="4"/>
    <n v="1"/>
    <n v="8"/>
    <n v="224.83"/>
    <n v="1798.64"/>
    <n v="7.0000000000000007E-2"/>
    <n v="125.9"/>
    <n v="1672.74"/>
    <n v="989.25"/>
    <n v="683.49"/>
  </r>
  <r>
    <n v="100230"/>
    <n v="1297"/>
    <x v="0"/>
    <x v="0"/>
    <x v="2"/>
    <s v="Phone"/>
    <x v="176"/>
    <d v="2023-05-12T00:00:00"/>
    <d v="2023-06-05T00:00:00"/>
    <n v="29"/>
    <n v="5"/>
    <n v="12"/>
    <n v="69.52"/>
    <n v="834.24"/>
    <n v="0.18"/>
    <n v="150.16"/>
    <n v="684.08"/>
    <n v="567.28"/>
    <n v="116.8"/>
  </r>
  <r>
    <n v="100231"/>
    <n v="1293"/>
    <x v="1"/>
    <x v="2"/>
    <x v="0"/>
    <s v="Sofa"/>
    <x v="4"/>
    <d v="2023-08-04T00:00:00"/>
    <d v="2023-08-19T00:00:00"/>
    <n v="19"/>
    <n v="4"/>
    <n v="6"/>
    <n v="265.47000000000003"/>
    <n v="1592.82"/>
    <n v="0.12"/>
    <n v="191.14"/>
    <n v="1401.68"/>
    <n v="1003.48"/>
    <n v="398.2"/>
  </r>
  <r>
    <n v="100232"/>
    <n v="2038"/>
    <x v="2"/>
    <x v="0"/>
    <x v="1"/>
    <s v="Pasta"/>
    <x v="110"/>
    <d v="2023-04-20T00:00:00"/>
    <d v="2023-05-15T00:00:00"/>
    <n v="29"/>
    <n v="4"/>
    <n v="5"/>
    <n v="98.15"/>
    <n v="490.75"/>
    <n v="0.1"/>
    <n v="49.08"/>
    <n v="441.68"/>
    <n v="387.69"/>
    <n v="53.99"/>
  </r>
  <r>
    <n v="100233"/>
    <n v="1927"/>
    <x v="1"/>
    <x v="2"/>
    <x v="0"/>
    <s v="Sofa"/>
    <x v="128"/>
    <d v="2023-03-21T00:00:00"/>
    <d v="2023-04-13T00:00:00"/>
    <n v="25"/>
    <n v="2"/>
    <n v="4"/>
    <n v="309.57"/>
    <n v="1238.28"/>
    <n v="0.12"/>
    <n v="148.59"/>
    <n v="1089.69"/>
    <n v="755.35"/>
    <n v="334.34"/>
  </r>
  <r>
    <n v="100234"/>
    <n v="4431"/>
    <x v="0"/>
    <x v="1"/>
    <x v="1"/>
    <s v="Snacks"/>
    <x v="177"/>
    <d v="2023-01-28T00:00:00"/>
    <d v="2023-02-13T00:00:00"/>
    <n v="19"/>
    <n v="3"/>
    <n v="3"/>
    <n v="309.58999999999997"/>
    <n v="928.77"/>
    <n v="0.08"/>
    <n v="74.3"/>
    <n v="854.47"/>
    <n v="650.14"/>
    <n v="204.33"/>
  </r>
  <r>
    <n v="100235"/>
    <n v="4023"/>
    <x v="2"/>
    <x v="1"/>
    <x v="3"/>
    <s v="Jeans"/>
    <x v="3"/>
    <d v="2023-03-13T00:00:00"/>
    <d v="2023-04-04T00:00:00"/>
    <n v="26"/>
    <n v="4"/>
    <n v="14"/>
    <n v="750.09"/>
    <n v="10501.26"/>
    <n v="7.0000000000000007E-2"/>
    <n v="735.09"/>
    <n v="9766.17"/>
    <n v="6090.73"/>
    <n v="3675.44"/>
  </r>
  <r>
    <n v="100236"/>
    <n v="4007"/>
    <x v="1"/>
    <x v="1"/>
    <x v="1"/>
    <s v="Pasta"/>
    <x v="109"/>
    <d v="2023-02-21T00:00:00"/>
    <d v="2023-03-18T00:00:00"/>
    <n v="27"/>
    <n v="2"/>
    <n v="1"/>
    <n v="478.26"/>
    <n v="478.26"/>
    <n v="0"/>
    <n v="0"/>
    <n v="478.26"/>
    <n v="320.43"/>
    <n v="157.83000000000001"/>
  </r>
  <r>
    <n v="100237"/>
    <n v="2050"/>
    <x v="3"/>
    <x v="2"/>
    <x v="3"/>
    <s v="Jeans"/>
    <x v="57"/>
    <d v="2023-02-07T00:00:00"/>
    <d v="2023-02-15T00:00:00"/>
    <n v="12"/>
    <n v="4"/>
    <n v="6"/>
    <n v="585.12"/>
    <n v="3510.72"/>
    <n v="0.09"/>
    <n v="315.95999999999998"/>
    <n v="3194.76"/>
    <n v="2492.61"/>
    <n v="702.15"/>
  </r>
  <r>
    <n v="100238"/>
    <n v="2324"/>
    <x v="1"/>
    <x v="1"/>
    <x v="3"/>
    <s v="Shirt"/>
    <x v="114"/>
    <d v="2023-11-29T00:00:00"/>
    <d v="2023-12-14T00:00:00"/>
    <n v="16"/>
    <n v="1"/>
    <n v="6"/>
    <n v="239.66"/>
    <n v="1437.96"/>
    <n v="0.1"/>
    <n v="143.80000000000001"/>
    <n v="1294.1600000000001"/>
    <n v="934.67"/>
    <n v="359.49"/>
  </r>
  <r>
    <n v="100239"/>
    <n v="3324"/>
    <x v="2"/>
    <x v="0"/>
    <x v="3"/>
    <s v="Shirt"/>
    <x v="178"/>
    <d v="2023-12-17T00:00:00"/>
    <d v="2023-12-24T00:00:00"/>
    <n v="10"/>
    <n v="3"/>
    <n v="13"/>
    <n v="615.41"/>
    <n v="8000.33"/>
    <n v="0.1"/>
    <n v="800.03"/>
    <n v="7200.3"/>
    <n v="4720.1899999999996"/>
    <n v="2480.11"/>
  </r>
  <r>
    <n v="100240"/>
    <n v="4261"/>
    <x v="2"/>
    <x v="2"/>
    <x v="1"/>
    <s v="Rice"/>
    <x v="14"/>
    <d v="2023-03-14T00:00:00"/>
    <d v="2023-03-20T00:00:00"/>
    <n v="10"/>
    <n v="4"/>
    <n v="9"/>
    <n v="517.63"/>
    <n v="4658.67"/>
    <n v="0"/>
    <n v="0"/>
    <n v="4658.67"/>
    <n v="3167.9"/>
    <n v="1490.77"/>
  </r>
  <r>
    <n v="100241"/>
    <n v="4897"/>
    <x v="1"/>
    <x v="1"/>
    <x v="0"/>
    <s v="Sofa"/>
    <x v="125"/>
    <d v="2023-08-22T00:00:00"/>
    <d v="2023-08-27T00:00:00"/>
    <n v="8"/>
    <n v="3"/>
    <n v="7"/>
    <n v="589.89"/>
    <n v="4129.2299999999996"/>
    <n v="0.04"/>
    <n v="165.17"/>
    <n v="3964.06"/>
    <n v="2601.41"/>
    <n v="1362.65"/>
  </r>
  <r>
    <n v="100242"/>
    <n v="1418"/>
    <x v="1"/>
    <x v="1"/>
    <x v="2"/>
    <s v="Tablet"/>
    <x v="136"/>
    <d v="2023-04-10T00:00:00"/>
    <d v="2023-04-21T00:00:00"/>
    <n v="15"/>
    <n v="4"/>
    <n v="14"/>
    <n v="31.7"/>
    <n v="443.8"/>
    <n v="0.11"/>
    <n v="48.82"/>
    <n v="394.98"/>
    <n v="301.77999999999997"/>
    <n v="93.2"/>
  </r>
  <r>
    <n v="100243"/>
    <n v="2017"/>
    <x v="3"/>
    <x v="0"/>
    <x v="0"/>
    <s v="Table"/>
    <x v="179"/>
    <d v="2023-05-09T00:00:00"/>
    <d v="2023-05-10T00:00:00"/>
    <n v="4"/>
    <n v="3"/>
    <n v="9"/>
    <n v="523.84"/>
    <n v="4714.5600000000004"/>
    <n v="0.02"/>
    <n v="94.29"/>
    <n v="4620.2700000000004"/>
    <n v="3583.07"/>
    <n v="1037.2"/>
  </r>
  <r>
    <n v="100244"/>
    <n v="4091"/>
    <x v="2"/>
    <x v="1"/>
    <x v="0"/>
    <s v="Sofa"/>
    <x v="28"/>
    <d v="2023-09-10T00:00:00"/>
    <d v="2023-09-18T00:00:00"/>
    <n v="9"/>
    <n v="1"/>
    <n v="8"/>
    <n v="661.25"/>
    <n v="5290"/>
    <n v="0.02"/>
    <n v="105.8"/>
    <n v="5184.2"/>
    <n v="3015.3"/>
    <n v="2168.9"/>
  </r>
  <r>
    <n v="100245"/>
    <n v="2568"/>
    <x v="2"/>
    <x v="1"/>
    <x v="1"/>
    <s v="Rice"/>
    <x v="180"/>
    <d v="2023-03-08T00:00:00"/>
    <d v="2023-03-23T00:00:00"/>
    <n v="20"/>
    <n v="5"/>
    <n v="3"/>
    <n v="26.37"/>
    <n v="79.11"/>
    <n v="0.03"/>
    <n v="2.37"/>
    <n v="76.739999999999995"/>
    <n v="53"/>
    <n v="23.74"/>
  </r>
  <r>
    <n v="100246"/>
    <n v="3843"/>
    <x v="3"/>
    <x v="0"/>
    <x v="1"/>
    <s v="Snacks"/>
    <x v="181"/>
    <d v="2023-12-21T00:00:00"/>
    <d v="2024-01-07T00:00:00"/>
    <n v="21"/>
    <n v="4"/>
    <n v="1"/>
    <n v="163.27000000000001"/>
    <n v="163.27000000000001"/>
    <n v="0.04"/>
    <n v="6.53"/>
    <n v="156.74"/>
    <n v="107.76"/>
    <n v="48.98"/>
  </r>
  <r>
    <n v="100247"/>
    <n v="2227"/>
    <x v="0"/>
    <x v="0"/>
    <x v="2"/>
    <s v="Laptop"/>
    <x v="182"/>
    <d v="2023-03-25T00:00:00"/>
    <d v="2023-03-25T00:00:00"/>
    <n v="5"/>
    <n v="5"/>
    <n v="2"/>
    <n v="780.42"/>
    <n v="1560.84"/>
    <n v="0"/>
    <n v="0"/>
    <n v="1560.84"/>
    <n v="998.94"/>
    <n v="561.9"/>
  </r>
  <r>
    <n v="100248"/>
    <n v="1705"/>
    <x v="3"/>
    <x v="1"/>
    <x v="0"/>
    <s v="Sofa"/>
    <x v="183"/>
    <d v="2024-01-01T00:00:00"/>
    <d v="2024-01-14T00:00:00"/>
    <n v="14"/>
    <n v="1"/>
    <n v="4"/>
    <n v="790.25"/>
    <n v="3161"/>
    <n v="0.05"/>
    <n v="158.05000000000001"/>
    <n v="3002.95"/>
    <n v="2086.2600000000002"/>
    <n v="916.69"/>
  </r>
  <r>
    <n v="100249"/>
    <n v="2358"/>
    <x v="0"/>
    <x v="1"/>
    <x v="2"/>
    <s v="Tablet"/>
    <x v="113"/>
    <d v="2023-03-21T00:00:00"/>
    <d v="2023-03-21T00:00:00"/>
    <n v="3"/>
    <n v="3"/>
    <n v="2"/>
    <n v="453.25"/>
    <n v="906.5"/>
    <n v="0.03"/>
    <n v="27.2"/>
    <n v="879.3"/>
    <n v="480.45"/>
    <n v="398.85"/>
  </r>
  <r>
    <n v="100250"/>
    <n v="1338"/>
    <x v="2"/>
    <x v="0"/>
    <x v="1"/>
    <s v="Snacks"/>
    <x v="184"/>
    <d v="2023-05-04T00:00:00"/>
    <d v="2023-05-25T00:00:00"/>
    <n v="22"/>
    <n v="1"/>
    <n v="12"/>
    <n v="488.7"/>
    <n v="5864.4"/>
    <n v="0.15"/>
    <n v="879.66"/>
    <n v="4984.74"/>
    <n v="3401.35"/>
    <n v="1583.39"/>
  </r>
  <r>
    <n v="100251"/>
    <n v="4972"/>
    <x v="3"/>
    <x v="2"/>
    <x v="2"/>
    <s v="Phone"/>
    <x v="185"/>
    <d v="2023-12-23T00:00:00"/>
    <d v="2024-01-08T00:00:00"/>
    <n v="19"/>
    <n v="3"/>
    <n v="10"/>
    <n v="611.09"/>
    <n v="6110.9"/>
    <n v="0.05"/>
    <n v="305.54000000000002"/>
    <n v="5805.36"/>
    <n v="3788.76"/>
    <n v="2016.6"/>
  </r>
  <r>
    <n v="100252"/>
    <n v="3385"/>
    <x v="1"/>
    <x v="1"/>
    <x v="0"/>
    <s v="Table"/>
    <x v="151"/>
    <d v="2023-01-13T00:00:00"/>
    <d v="2023-01-18T00:00:00"/>
    <n v="9"/>
    <n v="4"/>
    <n v="5"/>
    <n v="218.42"/>
    <n v="1092.0999999999999"/>
    <n v="0.15"/>
    <n v="163.81"/>
    <n v="928.28"/>
    <n v="786.31"/>
    <n v="141.97"/>
  </r>
  <r>
    <n v="100253"/>
    <n v="1823"/>
    <x v="0"/>
    <x v="2"/>
    <x v="1"/>
    <s v="Beverage"/>
    <x v="96"/>
    <d v="2023-07-01T00:00:00"/>
    <d v="2023-07-25T00:00:00"/>
    <n v="25"/>
    <n v="1"/>
    <n v="14"/>
    <n v="722.84"/>
    <n v="10119.76"/>
    <n v="0.06"/>
    <n v="607.19000000000005"/>
    <n v="9512.57"/>
    <n v="6071.86"/>
    <n v="3440.71"/>
  </r>
  <r>
    <n v="100254"/>
    <n v="2690"/>
    <x v="3"/>
    <x v="2"/>
    <x v="0"/>
    <s v="Cookware"/>
    <x v="186"/>
    <d v="2023-04-09T00:00:00"/>
    <d v="2023-04-13T00:00:00"/>
    <n v="8"/>
    <n v="4"/>
    <n v="13"/>
    <n v="624.1"/>
    <n v="8113.3"/>
    <n v="0.08"/>
    <n v="649.05999999999995"/>
    <n v="7464.24"/>
    <n v="4949.1099999999997"/>
    <n v="2515.13"/>
  </r>
  <r>
    <n v="100255"/>
    <n v="4689"/>
    <x v="3"/>
    <x v="2"/>
    <x v="3"/>
    <s v="Shoes"/>
    <x v="185"/>
    <d v="2023-12-21T00:00:00"/>
    <d v="2024-01-15T00:00:00"/>
    <n v="26"/>
    <n v="1"/>
    <n v="14"/>
    <n v="291.45"/>
    <n v="4080.3"/>
    <n v="7.0000000000000007E-2"/>
    <n v="285.62"/>
    <n v="3794.68"/>
    <n v="2570.59"/>
    <n v="1224.0899999999999"/>
  </r>
  <r>
    <n v="100256"/>
    <n v="1433"/>
    <x v="0"/>
    <x v="0"/>
    <x v="2"/>
    <s v="Tablet"/>
    <x v="187"/>
    <d v="2023-07-29T00:00:00"/>
    <d v="2023-08-06T00:00:00"/>
    <n v="10"/>
    <n v="2"/>
    <n v="7"/>
    <n v="262.52"/>
    <n v="1837.64"/>
    <n v="0.08"/>
    <n v="147.01"/>
    <n v="1690.63"/>
    <n v="1029.08"/>
    <n v="661.55"/>
  </r>
  <r>
    <n v="100257"/>
    <n v="2700"/>
    <x v="1"/>
    <x v="1"/>
    <x v="2"/>
    <s v="Laptop"/>
    <x v="188"/>
    <d v="2023-07-08T00:00:00"/>
    <d v="2023-07-11T00:00:00"/>
    <n v="7"/>
    <n v="4"/>
    <n v="14"/>
    <n v="340.16"/>
    <n v="4762.24"/>
    <n v="0"/>
    <n v="0"/>
    <n v="4762.24"/>
    <n v="2904.97"/>
    <n v="1857.27"/>
  </r>
  <r>
    <n v="100258"/>
    <n v="4791"/>
    <x v="1"/>
    <x v="0"/>
    <x v="3"/>
    <s v="Jacket"/>
    <x v="189"/>
    <d v="2023-07-04T00:00:00"/>
    <d v="2023-07-22T00:00:00"/>
    <n v="21"/>
    <n v="3"/>
    <n v="11"/>
    <n v="183.67"/>
    <n v="2020.37"/>
    <n v="0.01"/>
    <n v="20.2"/>
    <n v="2000.17"/>
    <n v="1192.02"/>
    <n v="808.15"/>
  </r>
  <r>
    <n v="100259"/>
    <n v="2277"/>
    <x v="2"/>
    <x v="1"/>
    <x v="0"/>
    <s v="Cookware"/>
    <x v="190"/>
    <d v="2023-02-06T00:00:00"/>
    <d v="2023-02-09T00:00:00"/>
    <n v="5"/>
    <n v="2"/>
    <n v="1"/>
    <n v="167.44"/>
    <n v="167.44"/>
    <n v="0.04"/>
    <n v="6.7"/>
    <n v="160.74"/>
    <n v="87.07"/>
    <n v="73.67"/>
  </r>
  <r>
    <n v="100260"/>
    <n v="1321"/>
    <x v="1"/>
    <x v="0"/>
    <x v="3"/>
    <s v="Jacket"/>
    <x v="191"/>
    <d v="2023-09-27T00:00:00"/>
    <d v="2023-10-15T00:00:00"/>
    <n v="19"/>
    <n v="1"/>
    <n v="11"/>
    <n v="572.59"/>
    <n v="6298.49"/>
    <n v="0.15"/>
    <n v="944.77"/>
    <n v="5353.72"/>
    <n v="3149.25"/>
    <n v="2204.4699999999998"/>
  </r>
  <r>
    <n v="100261"/>
    <n v="1827"/>
    <x v="0"/>
    <x v="0"/>
    <x v="0"/>
    <s v="Cookware"/>
    <x v="33"/>
    <d v="2023-09-21T00:00:00"/>
    <d v="2023-10-04T00:00:00"/>
    <n v="16"/>
    <n v="3"/>
    <n v="5"/>
    <n v="602.4"/>
    <n v="3012"/>
    <n v="0.16"/>
    <n v="481.92"/>
    <n v="2530.08"/>
    <n v="1837.32"/>
    <n v="692.76"/>
  </r>
  <r>
    <n v="100262"/>
    <n v="4303"/>
    <x v="2"/>
    <x v="2"/>
    <x v="2"/>
    <s v="Tablet"/>
    <x v="21"/>
    <d v="2023-02-16T00:00:00"/>
    <d v="2023-03-06T00:00:00"/>
    <n v="20"/>
    <n v="2"/>
    <n v="12"/>
    <n v="142.22"/>
    <n v="1706.64"/>
    <n v="0.06"/>
    <n v="102.4"/>
    <n v="1604.24"/>
    <n v="1075.18"/>
    <n v="529.05999999999995"/>
  </r>
  <r>
    <n v="100263"/>
    <n v="4954"/>
    <x v="0"/>
    <x v="2"/>
    <x v="2"/>
    <s v="Headphones"/>
    <x v="17"/>
    <d v="2023-11-12T00:00:00"/>
    <d v="2023-11-22T00:00:00"/>
    <n v="14"/>
    <n v="4"/>
    <n v="2"/>
    <n v="258.63"/>
    <n v="517.26"/>
    <n v="0.09"/>
    <n v="46.55"/>
    <n v="470.71"/>
    <n v="315.52999999999997"/>
    <n v="155.18"/>
  </r>
  <r>
    <n v="100264"/>
    <n v="2949"/>
    <x v="0"/>
    <x v="2"/>
    <x v="2"/>
    <s v="Headphones"/>
    <x v="76"/>
    <d v="2023-10-09T00:00:00"/>
    <d v="2023-10-25T00:00:00"/>
    <n v="21"/>
    <n v="5"/>
    <n v="7"/>
    <n v="303.60000000000002"/>
    <n v="2125.1999999999998"/>
    <n v="0.11"/>
    <n v="233.77"/>
    <n v="1891.43"/>
    <n v="1211.3599999999999"/>
    <n v="680.07"/>
  </r>
  <r>
    <n v="100265"/>
    <n v="3496"/>
    <x v="3"/>
    <x v="1"/>
    <x v="2"/>
    <s v="Laptop"/>
    <x v="81"/>
    <d v="2023-10-31T00:00:00"/>
    <d v="2023-11-05T00:00:00"/>
    <n v="9"/>
    <n v="4"/>
    <n v="12"/>
    <n v="595.51"/>
    <n v="7146.12"/>
    <n v="0.04"/>
    <n v="285.83999999999997"/>
    <n v="6860.28"/>
    <n v="4716.4399999999996"/>
    <n v="2143.84"/>
  </r>
  <r>
    <n v="100266"/>
    <n v="1156"/>
    <x v="0"/>
    <x v="1"/>
    <x v="3"/>
    <s v="Shirt"/>
    <x v="192"/>
    <d v="2023-10-05T00:00:00"/>
    <d v="2023-10-08T00:00:00"/>
    <n v="6"/>
    <n v="3"/>
    <n v="9"/>
    <n v="507.6"/>
    <n v="4568.3999999999996"/>
    <n v="0"/>
    <n v="0"/>
    <n v="4568.3999999999996"/>
    <n v="2466.94"/>
    <n v="2101.46"/>
  </r>
  <r>
    <n v="100267"/>
    <n v="4462"/>
    <x v="2"/>
    <x v="1"/>
    <x v="0"/>
    <s v="Lamp"/>
    <x v="188"/>
    <d v="2023-07-05T00:00:00"/>
    <d v="2023-07-10T00:00:00"/>
    <n v="6"/>
    <n v="1"/>
    <n v="12"/>
    <n v="196.71"/>
    <n v="2360.52"/>
    <n v="0.11"/>
    <n v="259.66000000000003"/>
    <n v="2100.86"/>
    <n v="1463.52"/>
    <n v="637.34"/>
  </r>
  <r>
    <n v="100268"/>
    <n v="1635"/>
    <x v="3"/>
    <x v="1"/>
    <x v="0"/>
    <s v="Cookware"/>
    <x v="52"/>
    <d v="2023-06-02T00:00:00"/>
    <d v="2023-06-20T00:00:00"/>
    <n v="21"/>
    <n v="3"/>
    <n v="3"/>
    <n v="583.1"/>
    <n v="1749.3"/>
    <n v="0"/>
    <n v="0"/>
    <n v="1749.3"/>
    <n v="1049.58"/>
    <n v="699.72"/>
  </r>
  <r>
    <n v="100269"/>
    <n v="4670"/>
    <x v="2"/>
    <x v="0"/>
    <x v="1"/>
    <s v="Beverage"/>
    <x v="121"/>
    <d v="2023-05-04T00:00:00"/>
    <d v="2023-06-01T00:00:00"/>
    <n v="30"/>
    <n v="2"/>
    <n v="4"/>
    <n v="142.71"/>
    <n v="570.84"/>
    <n v="0"/>
    <n v="0"/>
    <n v="570.84"/>
    <n v="336.8"/>
    <n v="234.04"/>
  </r>
  <r>
    <n v="100270"/>
    <n v="2168"/>
    <x v="0"/>
    <x v="2"/>
    <x v="3"/>
    <s v="Shirt"/>
    <x v="193"/>
    <d v="2023-01-24T00:00:00"/>
    <d v="2023-02-13T00:00:00"/>
    <n v="25"/>
    <n v="5"/>
    <n v="7"/>
    <n v="521.59"/>
    <n v="3651.13"/>
    <n v="0.11"/>
    <n v="401.62"/>
    <n v="3249.51"/>
    <n v="2409.75"/>
    <n v="839.76"/>
  </r>
  <r>
    <n v="100271"/>
    <n v="2457"/>
    <x v="2"/>
    <x v="0"/>
    <x v="3"/>
    <s v="Shoes"/>
    <x v="194"/>
    <d v="2023-12-30T00:00:00"/>
    <d v="2024-01-20T00:00:00"/>
    <n v="25"/>
    <n v="4"/>
    <n v="12"/>
    <n v="608.94000000000005"/>
    <n v="7307.28"/>
    <n v="0.06"/>
    <n v="438.44"/>
    <n v="6868.84"/>
    <n v="5188.17"/>
    <n v="1680.67"/>
  </r>
  <r>
    <n v="100272"/>
    <n v="4714"/>
    <x v="0"/>
    <x v="2"/>
    <x v="0"/>
    <s v="Lamp"/>
    <x v="50"/>
    <d v="2023-09-06T00:00:00"/>
    <d v="2023-09-25T00:00:00"/>
    <n v="20"/>
    <n v="1"/>
    <n v="9"/>
    <n v="679.64"/>
    <n v="6116.76"/>
    <n v="0.11"/>
    <n v="672.84"/>
    <n v="5443.92"/>
    <n v="3486.55"/>
    <n v="1957.37"/>
  </r>
  <r>
    <n v="100273"/>
    <n v="4511"/>
    <x v="3"/>
    <x v="2"/>
    <x v="0"/>
    <s v="Sofa"/>
    <x v="108"/>
    <d v="2023-01-08T00:00:00"/>
    <d v="2023-01-24T00:00:00"/>
    <n v="18"/>
    <n v="2"/>
    <n v="10"/>
    <n v="195.03"/>
    <n v="1950.3"/>
    <n v="0.11"/>
    <n v="214.53"/>
    <n v="1735.77"/>
    <n v="1092.17"/>
    <n v="643.6"/>
  </r>
  <r>
    <n v="100274"/>
    <n v="1247"/>
    <x v="1"/>
    <x v="2"/>
    <x v="3"/>
    <s v="Shoes"/>
    <x v="195"/>
    <d v="2023-05-17T00:00:00"/>
    <d v="2023-05-16T00:00:00"/>
    <n v="2"/>
    <n v="3"/>
    <n v="6"/>
    <n v="734.97"/>
    <n v="4409.82"/>
    <n v="0.06"/>
    <n v="264.58999999999997"/>
    <n v="4145.2299999999996"/>
    <n v="2689.99"/>
    <n v="1455.24"/>
  </r>
  <r>
    <n v="100275"/>
    <n v="4293"/>
    <x v="3"/>
    <x v="0"/>
    <x v="1"/>
    <s v="Snacks"/>
    <x v="196"/>
    <d v="2023-11-25T00:00:00"/>
    <d v="2023-11-25T00:00:00"/>
    <n v="2"/>
    <n v="2"/>
    <n v="1"/>
    <n v="625.5"/>
    <n v="625.5"/>
    <n v="0.1"/>
    <n v="62.55"/>
    <n v="562.95000000000005"/>
    <n v="437.85"/>
    <n v="125.1"/>
  </r>
  <r>
    <n v="100276"/>
    <n v="1308"/>
    <x v="1"/>
    <x v="1"/>
    <x v="2"/>
    <s v="Headphones"/>
    <x v="197"/>
    <d v="2023-06-08T00:00:00"/>
    <d v="2023-06-30T00:00:00"/>
    <n v="23"/>
    <n v="1"/>
    <n v="7"/>
    <n v="306.3"/>
    <n v="2144.1"/>
    <n v="7.0000000000000007E-2"/>
    <n v="150.09"/>
    <n v="1994.01"/>
    <n v="1286.46"/>
    <n v="707.55"/>
  </r>
  <r>
    <n v="100277"/>
    <n v="2856"/>
    <x v="1"/>
    <x v="2"/>
    <x v="3"/>
    <s v="Jacket"/>
    <x v="198"/>
    <d v="2023-09-08T00:00:00"/>
    <d v="2023-09-30T00:00:00"/>
    <n v="26"/>
    <n v="4"/>
    <n v="3"/>
    <n v="75.37"/>
    <n v="226.11"/>
    <n v="0.13"/>
    <n v="29.39"/>
    <n v="196.72"/>
    <n v="158.28"/>
    <n v="38.44"/>
  </r>
  <r>
    <n v="100278"/>
    <n v="4451"/>
    <x v="0"/>
    <x v="1"/>
    <x v="2"/>
    <s v="Tablet"/>
    <x v="14"/>
    <d v="2023-03-12T00:00:00"/>
    <d v="2023-03-30T00:00:00"/>
    <n v="20"/>
    <n v="2"/>
    <n v="13"/>
    <n v="331.74"/>
    <n v="4312.62"/>
    <n v="0.04"/>
    <n v="172.5"/>
    <n v="4140.12"/>
    <n v="2587.5700000000002"/>
    <n v="1552.55"/>
  </r>
  <r>
    <n v="100279"/>
    <n v="2641"/>
    <x v="0"/>
    <x v="1"/>
    <x v="1"/>
    <s v="Beverage"/>
    <x v="199"/>
    <d v="2023-09-01T00:00:00"/>
    <d v="2023-09-25T00:00:00"/>
    <n v="29"/>
    <n v="5"/>
    <n v="2"/>
    <n v="780.41"/>
    <n v="1560.82"/>
    <n v="0.05"/>
    <n v="78.040000000000006"/>
    <n v="1482.78"/>
    <n v="983.32"/>
    <n v="499.46"/>
  </r>
  <r>
    <n v="100280"/>
    <n v="4039"/>
    <x v="1"/>
    <x v="2"/>
    <x v="1"/>
    <s v="Rice"/>
    <x v="200"/>
    <d v="2023-04-16T00:00:00"/>
    <d v="2023-05-05T00:00:00"/>
    <n v="22"/>
    <n v="3"/>
    <n v="10"/>
    <n v="478.92"/>
    <n v="4789.2"/>
    <n v="0.1"/>
    <n v="478.92"/>
    <n v="4310.28"/>
    <n v="2969.3"/>
    <n v="1340.98"/>
  </r>
  <r>
    <n v="100281"/>
    <n v="1621"/>
    <x v="0"/>
    <x v="2"/>
    <x v="0"/>
    <s v="Lamp"/>
    <x v="201"/>
    <d v="2023-07-28T00:00:00"/>
    <d v="2023-08-22T00:00:00"/>
    <n v="28"/>
    <n v="3"/>
    <n v="3"/>
    <n v="754.92"/>
    <n v="2264.7600000000002"/>
    <n v="0"/>
    <n v="0"/>
    <n v="2264.7600000000002"/>
    <n v="1540.04"/>
    <n v="724.72"/>
  </r>
  <r>
    <n v="100282"/>
    <n v="4551"/>
    <x v="3"/>
    <x v="1"/>
    <x v="0"/>
    <s v="Table"/>
    <x v="153"/>
    <d v="2023-11-11T00:00:00"/>
    <d v="2023-11-27T00:00:00"/>
    <n v="20"/>
    <n v="4"/>
    <n v="3"/>
    <n v="12.59"/>
    <n v="37.770000000000003"/>
    <n v="0.15"/>
    <n v="5.67"/>
    <n v="32.1"/>
    <n v="24.17"/>
    <n v="7.93"/>
  </r>
  <r>
    <n v="100283"/>
    <n v="2196"/>
    <x v="2"/>
    <x v="0"/>
    <x v="1"/>
    <s v="Rice"/>
    <x v="202"/>
    <d v="2023-04-02T00:00:00"/>
    <d v="2023-04-07T00:00:00"/>
    <n v="8"/>
    <n v="3"/>
    <n v="7"/>
    <n v="680.01"/>
    <n v="4760.07"/>
    <n v="0.03"/>
    <n v="142.80000000000001"/>
    <n v="4617.2700000000004"/>
    <n v="2998.84"/>
    <n v="1618.43"/>
  </r>
  <r>
    <n v="100284"/>
    <n v="1166"/>
    <x v="2"/>
    <x v="0"/>
    <x v="1"/>
    <s v="Rice"/>
    <x v="203"/>
    <d v="2023-04-06T00:00:00"/>
    <d v="2023-04-07T00:00:00"/>
    <n v="5"/>
    <n v="4"/>
    <n v="11"/>
    <n v="677.9"/>
    <n v="7456.9"/>
    <n v="0.08"/>
    <n v="596.54999999999995"/>
    <n v="6860.35"/>
    <n v="4325"/>
    <n v="2535.35"/>
  </r>
  <r>
    <n v="100285"/>
    <n v="4395"/>
    <x v="0"/>
    <x v="0"/>
    <x v="2"/>
    <s v="Laptop"/>
    <x v="204"/>
    <d v="2023-01-20T00:00:00"/>
    <d v="2023-02-11T00:00:00"/>
    <n v="25"/>
    <n v="3"/>
    <n v="12"/>
    <n v="757.53"/>
    <n v="9090.36"/>
    <n v="7.0000000000000007E-2"/>
    <n v="636.33000000000004"/>
    <n v="8454.0300000000007"/>
    <n v="5090.6000000000004"/>
    <n v="3363.43"/>
  </r>
  <r>
    <n v="100286"/>
    <n v="1980"/>
    <x v="1"/>
    <x v="2"/>
    <x v="1"/>
    <s v="Beverage"/>
    <x v="195"/>
    <d v="2023-05-16T00:00:00"/>
    <d v="2023-05-19T00:00:00"/>
    <n v="5"/>
    <n v="2"/>
    <n v="7"/>
    <n v="70.03"/>
    <n v="490.21"/>
    <n v="0.02"/>
    <n v="9.8000000000000007"/>
    <n v="480.41"/>
    <n v="303.93"/>
    <n v="176.48"/>
  </r>
  <r>
    <n v="100287"/>
    <n v="1464"/>
    <x v="3"/>
    <x v="0"/>
    <x v="0"/>
    <s v="Cookware"/>
    <x v="205"/>
    <d v="2023-04-18T00:00:00"/>
    <d v="2023-04-24T00:00:00"/>
    <n v="9"/>
    <n v="3"/>
    <n v="8"/>
    <n v="346.18"/>
    <n v="2769.44"/>
    <n v="0.06"/>
    <n v="166.17"/>
    <n v="2603.27"/>
    <n v="1910.91"/>
    <n v="692.36"/>
  </r>
  <r>
    <n v="100288"/>
    <n v="4285"/>
    <x v="1"/>
    <x v="1"/>
    <x v="0"/>
    <s v="Lamp"/>
    <x v="172"/>
    <d v="2023-04-07T00:00:00"/>
    <d v="2023-04-27T00:00:00"/>
    <n v="23"/>
    <n v="3"/>
    <n v="11"/>
    <n v="72.09"/>
    <n v="792.99"/>
    <n v="0.06"/>
    <n v="47.58"/>
    <n v="745.41"/>
    <n v="459.93"/>
    <n v="285.48"/>
  </r>
  <r>
    <n v="100289"/>
    <n v="1324"/>
    <x v="3"/>
    <x v="0"/>
    <x v="2"/>
    <s v="Tablet"/>
    <x v="206"/>
    <d v="2023-03-16T00:00:00"/>
    <d v="2023-03-25T00:00:00"/>
    <n v="10"/>
    <n v="1"/>
    <n v="2"/>
    <n v="472.67"/>
    <n v="945.34"/>
    <n v="0.12"/>
    <n v="113.44"/>
    <n v="831.9"/>
    <n v="633.38"/>
    <n v="198.52"/>
  </r>
  <r>
    <n v="100290"/>
    <n v="3138"/>
    <x v="0"/>
    <x v="0"/>
    <x v="1"/>
    <s v="Beverage"/>
    <x v="26"/>
    <d v="2023-07-08T00:00:00"/>
    <d v="2023-07-26T00:00:00"/>
    <n v="23"/>
    <n v="5"/>
    <n v="9"/>
    <n v="250.02"/>
    <n v="2250.1799999999998"/>
    <n v="0.08"/>
    <n v="180.01"/>
    <n v="2070.17"/>
    <n v="1395.11"/>
    <n v="675.06"/>
  </r>
  <r>
    <n v="100291"/>
    <n v="2770"/>
    <x v="3"/>
    <x v="2"/>
    <x v="1"/>
    <s v="Snacks"/>
    <x v="207"/>
    <d v="2023-10-25T00:00:00"/>
    <d v="2023-11-12T00:00:00"/>
    <n v="20"/>
    <n v="2"/>
    <n v="5"/>
    <n v="784.88"/>
    <n v="3924.4"/>
    <n v="0"/>
    <n v="0"/>
    <n v="3924.4"/>
    <n v="2315.4"/>
    <n v="1609"/>
  </r>
  <r>
    <n v="100292"/>
    <n v="3796"/>
    <x v="0"/>
    <x v="0"/>
    <x v="3"/>
    <s v="Shirt"/>
    <x v="208"/>
    <d v="2023-07-29T00:00:00"/>
    <d v="2023-08-02T00:00:00"/>
    <n v="7"/>
    <n v="3"/>
    <n v="10"/>
    <n v="451.75"/>
    <n v="4517.5"/>
    <n v="0.11"/>
    <n v="496.92"/>
    <n v="4020.58"/>
    <n v="2755.68"/>
    <n v="1264.9000000000001"/>
  </r>
  <r>
    <n v="100293"/>
    <n v="3305"/>
    <x v="2"/>
    <x v="0"/>
    <x v="3"/>
    <s v="Shoes"/>
    <x v="101"/>
    <d v="2023-07-15T00:00:00"/>
    <d v="2023-07-25T00:00:00"/>
    <n v="15"/>
    <n v="5"/>
    <n v="1"/>
    <n v="33.22"/>
    <n v="33.22"/>
    <n v="0.02"/>
    <n v="0.66"/>
    <n v="32.56"/>
    <n v="23.59"/>
    <n v="8.9700000000000006"/>
  </r>
  <r>
    <n v="100294"/>
    <n v="1498"/>
    <x v="3"/>
    <x v="0"/>
    <x v="2"/>
    <s v="Headphones"/>
    <x v="209"/>
    <d v="2023-02-09T00:00:00"/>
    <d v="2023-02-28T00:00:00"/>
    <n v="21"/>
    <n v="2"/>
    <n v="9"/>
    <n v="25.9"/>
    <n v="233.1"/>
    <n v="0.06"/>
    <n v="13.99"/>
    <n v="219.11"/>
    <n v="163.16999999999999"/>
    <n v="55.94"/>
  </r>
  <r>
    <n v="100295"/>
    <n v="4837"/>
    <x v="0"/>
    <x v="0"/>
    <x v="3"/>
    <s v="Jeans"/>
    <x v="210"/>
    <d v="2023-12-11T00:00:00"/>
    <d v="2024-01-01T00:00:00"/>
    <n v="23"/>
    <n v="2"/>
    <n v="3"/>
    <n v="452.19"/>
    <n v="1356.57"/>
    <n v="0.05"/>
    <n v="67.83"/>
    <n v="1288.74"/>
    <n v="813.94"/>
    <n v="474.8"/>
  </r>
  <r>
    <n v="100296"/>
    <n v="1327"/>
    <x v="2"/>
    <x v="2"/>
    <x v="1"/>
    <s v="Beverage"/>
    <x v="156"/>
    <d v="2023-08-31T00:00:00"/>
    <d v="2023-09-25T00:00:00"/>
    <n v="26"/>
    <n v="1"/>
    <n v="5"/>
    <n v="44.85"/>
    <n v="224.25"/>
    <n v="0.04"/>
    <n v="8.9700000000000006"/>
    <n v="215.28"/>
    <n v="134.55000000000001"/>
    <n v="80.73"/>
  </r>
  <r>
    <n v="100297"/>
    <n v="4098"/>
    <x v="1"/>
    <x v="2"/>
    <x v="0"/>
    <s v="Cookware"/>
    <x v="163"/>
    <d v="2023-11-03T00:00:00"/>
    <d v="2023-11-18T00:00:00"/>
    <n v="19"/>
    <n v="4"/>
    <n v="9"/>
    <n v="103.87"/>
    <n v="934.83"/>
    <n v="0.08"/>
    <n v="74.790000000000006"/>
    <n v="860.04"/>
    <n v="598.29"/>
    <n v="261.75"/>
  </r>
  <r>
    <n v="100298"/>
    <n v="3194"/>
    <x v="2"/>
    <x v="1"/>
    <x v="1"/>
    <s v="Pasta"/>
    <x v="137"/>
    <d v="2023-09-25T00:00:00"/>
    <d v="2023-10-03T00:00:00"/>
    <n v="10"/>
    <n v="2"/>
    <n v="8"/>
    <n v="331.59"/>
    <n v="2652.72"/>
    <n v="0.14000000000000001"/>
    <n v="371.38"/>
    <n v="2281.34"/>
    <n v="1803.85"/>
    <n v="477.49"/>
  </r>
  <r>
    <n v="100299"/>
    <n v="3666"/>
    <x v="3"/>
    <x v="0"/>
    <x v="1"/>
    <s v="Snacks"/>
    <x v="211"/>
    <d v="2023-06-18T00:00:00"/>
    <d v="2023-06-27T00:00:00"/>
    <n v="14"/>
    <n v="5"/>
    <n v="11"/>
    <n v="73.55"/>
    <n v="809.05"/>
    <n v="0.16"/>
    <n v="129.44999999999999"/>
    <n v="679.6"/>
    <n v="485.43"/>
    <n v="194.17"/>
  </r>
  <r>
    <n v="100300"/>
    <n v="4313"/>
    <x v="1"/>
    <x v="0"/>
    <x v="3"/>
    <s v="Jacket"/>
    <x v="212"/>
    <d v="2023-01-17T00:00:00"/>
    <d v="2023-02-03T00:00:00"/>
    <n v="18"/>
    <n v="1"/>
    <n v="3"/>
    <n v="409.73"/>
    <n v="1229.19"/>
    <n v="0.08"/>
    <n v="98.34"/>
    <n v="1130.8499999999999"/>
    <n v="700.64"/>
    <n v="430.21"/>
  </r>
  <r>
    <n v="100301"/>
    <n v="4519"/>
    <x v="1"/>
    <x v="1"/>
    <x v="0"/>
    <s v="Lamp"/>
    <x v="168"/>
    <d v="2023-06-11T00:00:00"/>
    <d v="2023-06-27T00:00:00"/>
    <n v="17"/>
    <n v="1"/>
    <n v="11"/>
    <n v="254.89"/>
    <n v="2803.79"/>
    <n v="0.02"/>
    <n v="56.08"/>
    <n v="2747.71"/>
    <n v="1822.46"/>
    <n v="925.25"/>
  </r>
  <r>
    <n v="100302"/>
    <n v="2490"/>
    <x v="1"/>
    <x v="2"/>
    <x v="3"/>
    <s v="Jacket"/>
    <x v="213"/>
    <d v="2023-12-24T00:00:00"/>
    <d v="2024-01-05T00:00:00"/>
    <n v="14"/>
    <n v="2"/>
    <n v="7"/>
    <n v="678.61"/>
    <n v="4750.2700000000004"/>
    <n v="0.11"/>
    <n v="522.53"/>
    <n v="4227.74"/>
    <n v="2660.15"/>
    <n v="1567.59"/>
  </r>
  <r>
    <n v="100303"/>
    <n v="1333"/>
    <x v="3"/>
    <x v="1"/>
    <x v="2"/>
    <s v="Phone"/>
    <x v="91"/>
    <d v="2023-07-23T00:00:00"/>
    <d v="2023-08-17T00:00:00"/>
    <n v="30"/>
    <n v="5"/>
    <n v="4"/>
    <n v="471.37"/>
    <n v="1885.48"/>
    <n v="0.01"/>
    <n v="18.850000000000001"/>
    <n v="1866.63"/>
    <n v="1282.1300000000001"/>
    <n v="584.5"/>
  </r>
  <r>
    <n v="100304"/>
    <n v="1138"/>
    <x v="1"/>
    <x v="1"/>
    <x v="0"/>
    <s v="Sofa"/>
    <x v="214"/>
    <d v="2023-08-06T00:00:00"/>
    <d v="2023-08-05T00:00:00"/>
    <n v="4"/>
    <n v="5"/>
    <n v="12"/>
    <n v="135.87"/>
    <n v="1630.44"/>
    <n v="7.0000000000000007E-2"/>
    <n v="114.13"/>
    <n v="1516.31"/>
    <n v="945.66"/>
    <n v="570.65"/>
  </r>
  <r>
    <n v="100305"/>
    <n v="1529"/>
    <x v="2"/>
    <x v="1"/>
    <x v="1"/>
    <s v="Snacks"/>
    <x v="57"/>
    <d v="2023-02-05T00:00:00"/>
    <d v="2023-02-12T00:00:00"/>
    <n v="9"/>
    <n v="2"/>
    <n v="6"/>
    <n v="360.76"/>
    <n v="2164.56"/>
    <n v="0.14000000000000001"/>
    <n v="303.04000000000002"/>
    <n v="1861.52"/>
    <n v="1277.0899999999999"/>
    <n v="584.42999999999995"/>
  </r>
  <r>
    <n v="100306"/>
    <n v="4827"/>
    <x v="2"/>
    <x v="0"/>
    <x v="0"/>
    <s v="Table"/>
    <x v="64"/>
    <d v="2023-01-25T00:00:00"/>
    <d v="2023-02-13T00:00:00"/>
    <n v="22"/>
    <n v="3"/>
    <n v="5"/>
    <n v="651.08000000000004"/>
    <n v="3255.4"/>
    <n v="7.0000000000000007E-2"/>
    <n v="227.88"/>
    <n v="3027.52"/>
    <n v="1595.15"/>
    <n v="1432.37"/>
  </r>
  <r>
    <n v="100307"/>
    <n v="2345"/>
    <x v="0"/>
    <x v="0"/>
    <x v="0"/>
    <s v="Sofa"/>
    <x v="215"/>
    <d v="2023-11-24T00:00:00"/>
    <d v="2023-11-30T00:00:00"/>
    <n v="11"/>
    <n v="5"/>
    <n v="3"/>
    <n v="10.74"/>
    <n v="32.22"/>
    <n v="0.05"/>
    <n v="1.61"/>
    <n v="30.61"/>
    <n v="20.94"/>
    <n v="9.67"/>
  </r>
  <r>
    <n v="100308"/>
    <n v="1532"/>
    <x v="0"/>
    <x v="2"/>
    <x v="2"/>
    <s v="Laptop"/>
    <x v="216"/>
    <d v="2023-09-26T00:00:00"/>
    <d v="2023-10-11T00:00:00"/>
    <n v="16"/>
    <n v="1"/>
    <n v="7"/>
    <n v="600.86"/>
    <n v="4206.0200000000004"/>
    <n v="0.15"/>
    <n v="630.9"/>
    <n v="3575.12"/>
    <n v="2860.09"/>
    <n v="715.03"/>
  </r>
  <r>
    <n v="100309"/>
    <n v="4302"/>
    <x v="0"/>
    <x v="1"/>
    <x v="1"/>
    <s v="Beverage"/>
    <x v="217"/>
    <d v="2023-11-04T00:00:00"/>
    <d v="2023-11-13T00:00:00"/>
    <n v="13"/>
    <n v="4"/>
    <n v="11"/>
    <n v="609.37"/>
    <n v="6703.07"/>
    <n v="0.01"/>
    <n v="67.03"/>
    <n v="6636.04"/>
    <n v="4021.84"/>
    <n v="2614.1999999999998"/>
  </r>
  <r>
    <n v="100310"/>
    <n v="2218"/>
    <x v="3"/>
    <x v="2"/>
    <x v="1"/>
    <s v="Snacks"/>
    <x v="218"/>
    <d v="2023-05-22T00:00:00"/>
    <d v="2023-05-27T00:00:00"/>
    <n v="7"/>
    <n v="2"/>
    <n v="10"/>
    <n v="208.2"/>
    <n v="2082"/>
    <n v="0.02"/>
    <n v="41.64"/>
    <n v="2040.36"/>
    <n v="1186.74"/>
    <n v="853.62"/>
  </r>
  <r>
    <n v="100311"/>
    <n v="2393"/>
    <x v="2"/>
    <x v="0"/>
    <x v="2"/>
    <s v="Phone"/>
    <x v="170"/>
    <d v="2023-02-08T00:00:00"/>
    <d v="2023-02-14T00:00:00"/>
    <n v="8"/>
    <n v="2"/>
    <n v="1"/>
    <n v="676.82"/>
    <n v="676.82"/>
    <n v="7.0000000000000007E-2"/>
    <n v="47.38"/>
    <n v="629.44000000000005"/>
    <n v="419.63"/>
    <n v="209.81"/>
  </r>
  <r>
    <n v="100312"/>
    <n v="2236"/>
    <x v="1"/>
    <x v="2"/>
    <x v="3"/>
    <s v="Jacket"/>
    <x v="219"/>
    <d v="2023-08-27T00:00:00"/>
    <d v="2023-09-24T00:00:00"/>
    <n v="29"/>
    <n v="1"/>
    <n v="7"/>
    <n v="473.59"/>
    <n v="3315.13"/>
    <n v="0.12"/>
    <n v="397.82"/>
    <n v="2917.31"/>
    <n v="2022.23"/>
    <n v="895.08"/>
  </r>
  <r>
    <n v="100313"/>
    <n v="4292"/>
    <x v="0"/>
    <x v="1"/>
    <x v="0"/>
    <s v="Cookware"/>
    <x v="220"/>
    <d v="2023-06-23T00:00:00"/>
    <d v="2023-07-10T00:00:00"/>
    <n v="19"/>
    <n v="2"/>
    <n v="7"/>
    <n v="643.48"/>
    <n v="4504.3599999999997"/>
    <n v="0.1"/>
    <n v="450.44"/>
    <n v="4053.92"/>
    <n v="2702.62"/>
    <n v="1351.3"/>
  </r>
  <r>
    <n v="100314"/>
    <n v="4605"/>
    <x v="2"/>
    <x v="0"/>
    <x v="3"/>
    <s v="Jacket"/>
    <x v="221"/>
    <d v="2023-09-14T00:00:00"/>
    <d v="2023-10-05T00:00:00"/>
    <n v="24"/>
    <n v="3"/>
    <n v="1"/>
    <n v="286.55"/>
    <n v="286.55"/>
    <n v="0.14000000000000001"/>
    <n v="40.119999999999997"/>
    <n v="246.43"/>
    <n v="171.93"/>
    <n v="74.5"/>
  </r>
  <r>
    <n v="100315"/>
    <n v="3484"/>
    <x v="2"/>
    <x v="2"/>
    <x v="0"/>
    <s v="Lamp"/>
    <x v="122"/>
    <d v="2023-07-23T00:00:00"/>
    <d v="2023-07-30T00:00:00"/>
    <n v="11"/>
    <n v="4"/>
    <n v="14"/>
    <n v="797.72"/>
    <n v="11168.08"/>
    <n v="0.03"/>
    <n v="335.04"/>
    <n v="10833.04"/>
    <n v="6700.85"/>
    <n v="4132.1899999999996"/>
  </r>
  <r>
    <n v="100316"/>
    <n v="1899"/>
    <x v="1"/>
    <x v="0"/>
    <x v="3"/>
    <s v="Shoes"/>
    <x v="77"/>
    <d v="2023-11-08T00:00:00"/>
    <d v="2023-11-21T00:00:00"/>
    <n v="15"/>
    <n v="2"/>
    <n v="12"/>
    <n v="298.63"/>
    <n v="3583.56"/>
    <n v="0.14000000000000001"/>
    <n v="501.7"/>
    <n v="3081.86"/>
    <n v="1899.29"/>
    <n v="1182.57"/>
  </r>
  <r>
    <n v="100317"/>
    <n v="3932"/>
    <x v="3"/>
    <x v="2"/>
    <x v="1"/>
    <s v="Snacks"/>
    <x v="222"/>
    <d v="2023-09-24T00:00:00"/>
    <d v="2023-10-08T00:00:00"/>
    <n v="17"/>
    <n v="3"/>
    <n v="9"/>
    <n v="657.19"/>
    <n v="5914.71"/>
    <n v="0.09"/>
    <n v="532.32000000000005"/>
    <n v="5382.39"/>
    <n v="3548.83"/>
    <n v="1833.56"/>
  </r>
  <r>
    <n v="100318"/>
    <n v="1763"/>
    <x v="0"/>
    <x v="0"/>
    <x v="3"/>
    <s v="Jeans"/>
    <x v="176"/>
    <d v="2023-05-08T00:00:00"/>
    <d v="2023-05-17T00:00:00"/>
    <n v="10"/>
    <n v="1"/>
    <n v="4"/>
    <n v="334.2"/>
    <n v="1336.8"/>
    <n v="7.0000000000000007E-2"/>
    <n v="93.58"/>
    <n v="1243.22"/>
    <n v="975.86"/>
    <n v="267.36"/>
  </r>
  <r>
    <n v="100319"/>
    <n v="4475"/>
    <x v="1"/>
    <x v="0"/>
    <x v="1"/>
    <s v="Rice"/>
    <x v="20"/>
    <d v="2023-10-04T00:00:00"/>
    <d v="2023-10-20T00:00:00"/>
    <n v="17"/>
    <n v="1"/>
    <n v="1"/>
    <n v="442.43"/>
    <n v="442.43"/>
    <n v="0.13"/>
    <n v="57.52"/>
    <n v="384.91"/>
    <n v="221.22"/>
    <n v="163.69"/>
  </r>
  <r>
    <n v="100320"/>
    <n v="2521"/>
    <x v="3"/>
    <x v="2"/>
    <x v="1"/>
    <s v="Beverage"/>
    <x v="210"/>
    <d v="2023-12-12T00:00:00"/>
    <d v="2024-01-05T00:00:00"/>
    <n v="27"/>
    <n v="3"/>
    <n v="3"/>
    <n v="776.2"/>
    <n v="2328.6"/>
    <n v="0"/>
    <n v="0"/>
    <n v="2328.6"/>
    <n v="1373.87"/>
    <n v="954.73"/>
  </r>
  <r>
    <n v="100321"/>
    <n v="1548"/>
    <x v="2"/>
    <x v="0"/>
    <x v="2"/>
    <s v="Phone"/>
    <x v="223"/>
    <d v="2023-11-03T00:00:00"/>
    <d v="2023-11-05T00:00:00"/>
    <n v="7"/>
    <n v="5"/>
    <n v="9"/>
    <n v="793.61"/>
    <n v="7142.49"/>
    <n v="0.23"/>
    <n v="1642.77"/>
    <n v="5499.72"/>
    <n v="4785.47"/>
    <n v="714.25"/>
  </r>
  <r>
    <n v="100322"/>
    <n v="2590"/>
    <x v="0"/>
    <x v="2"/>
    <x v="0"/>
    <s v="Sofa"/>
    <x v="224"/>
    <d v="2023-08-17T00:00:00"/>
    <d v="2023-08-22T00:00:00"/>
    <n v="6"/>
    <n v="1"/>
    <n v="3"/>
    <n v="697.39"/>
    <n v="2092.17"/>
    <n v="0"/>
    <n v="0"/>
    <n v="2092.17"/>
    <n v="1234.3800000000001"/>
    <n v="857.79"/>
  </r>
  <r>
    <n v="100323"/>
    <n v="4016"/>
    <x v="3"/>
    <x v="2"/>
    <x v="2"/>
    <s v="Headphones"/>
    <x v="225"/>
    <d v="2023-12-07T00:00:00"/>
    <d v="2023-12-28T00:00:00"/>
    <n v="24"/>
    <n v="3"/>
    <n v="6"/>
    <n v="105.85"/>
    <n v="635.1"/>
    <n v="0.11"/>
    <n v="69.86"/>
    <n v="565.24"/>
    <n v="400.11"/>
    <n v="165.13"/>
  </r>
  <r>
    <n v="100324"/>
    <n v="1084"/>
    <x v="3"/>
    <x v="0"/>
    <x v="2"/>
    <s v="Tablet"/>
    <x v="57"/>
    <d v="2023-02-06T00:00:00"/>
    <d v="2023-02-28T00:00:00"/>
    <n v="25"/>
    <n v="3"/>
    <n v="9"/>
    <n v="490.4"/>
    <n v="4413.6000000000004"/>
    <n v="0.15"/>
    <n v="662.04"/>
    <n v="3751.56"/>
    <n v="2648.16"/>
    <n v="1103.4000000000001"/>
  </r>
  <r>
    <n v="100325"/>
    <n v="1739"/>
    <x v="0"/>
    <x v="1"/>
    <x v="0"/>
    <s v="Sofa"/>
    <x v="226"/>
    <d v="2023-09-23T00:00:00"/>
    <d v="2023-10-19T00:00:00"/>
    <n v="27"/>
    <n v="1"/>
    <n v="8"/>
    <n v="479.52"/>
    <n v="3836.16"/>
    <n v="0.04"/>
    <n v="153.44999999999999"/>
    <n v="3682.71"/>
    <n v="2608.59"/>
    <n v="1074.1199999999999"/>
  </r>
  <r>
    <n v="100326"/>
    <n v="2598"/>
    <x v="1"/>
    <x v="2"/>
    <x v="2"/>
    <s v="Tablet"/>
    <x v="187"/>
    <d v="2023-07-29T00:00:00"/>
    <d v="2023-08-21T00:00:00"/>
    <n v="25"/>
    <n v="2"/>
    <n v="13"/>
    <n v="353.92"/>
    <n v="4600.96"/>
    <n v="0.1"/>
    <n v="460.1"/>
    <n v="4140.8599999999997"/>
    <n v="2760.58"/>
    <n v="1380.28"/>
  </r>
  <r>
    <n v="100327"/>
    <n v="4642"/>
    <x v="3"/>
    <x v="2"/>
    <x v="0"/>
    <s v="Cookware"/>
    <x v="192"/>
    <d v="2023-10-06T00:00:00"/>
    <d v="2023-10-18T00:00:00"/>
    <n v="16"/>
    <n v="4"/>
    <n v="11"/>
    <n v="685.62"/>
    <n v="7541.82"/>
    <n v="0.12"/>
    <n v="905.02"/>
    <n v="6636.8"/>
    <n v="4826.76"/>
    <n v="1810.04"/>
  </r>
  <r>
    <n v="100328"/>
    <n v="3969"/>
    <x v="0"/>
    <x v="0"/>
    <x v="3"/>
    <s v="Shoes"/>
    <x v="227"/>
    <d v="2023-03-25T00:00:00"/>
    <d v="2023-03-30T00:00:00"/>
    <n v="7"/>
    <n v="2"/>
    <n v="8"/>
    <n v="435.89"/>
    <n v="3487.12"/>
    <n v="0.13"/>
    <n v="453.33"/>
    <n v="3033.79"/>
    <n v="2092.27"/>
    <n v="941.52"/>
  </r>
  <r>
    <n v="100329"/>
    <n v="3756"/>
    <x v="3"/>
    <x v="1"/>
    <x v="1"/>
    <s v="Beverage"/>
    <x v="5"/>
    <d v="2023-04-15T00:00:00"/>
    <d v="2023-04-26T00:00:00"/>
    <n v="12"/>
    <n v="1"/>
    <n v="1"/>
    <n v="78.16"/>
    <n v="78.16"/>
    <n v="0.14000000000000001"/>
    <n v="10.94"/>
    <n v="67.22"/>
    <n v="43.77"/>
    <n v="23.45"/>
  </r>
  <r>
    <n v="100330"/>
    <n v="4362"/>
    <x v="2"/>
    <x v="2"/>
    <x v="0"/>
    <s v="Lamp"/>
    <x v="9"/>
    <d v="2023-03-15T00:00:00"/>
    <d v="2023-03-29T00:00:00"/>
    <n v="15"/>
    <n v="1"/>
    <n v="14"/>
    <n v="616.77"/>
    <n v="8634.7800000000007"/>
    <n v="0.03"/>
    <n v="259.04000000000002"/>
    <n v="8375.74"/>
    <n v="4749.13"/>
    <n v="3626.61"/>
  </r>
  <r>
    <n v="100331"/>
    <n v="3828"/>
    <x v="1"/>
    <x v="0"/>
    <x v="2"/>
    <s v="Laptop"/>
    <x v="25"/>
    <d v="2023-06-04T00:00:00"/>
    <d v="2023-06-27T00:00:00"/>
    <n v="25"/>
    <n v="2"/>
    <n v="11"/>
    <n v="554.35"/>
    <n v="6097.85"/>
    <n v="0.09"/>
    <n v="548.80999999999995"/>
    <n v="5549.04"/>
    <n v="3414.8"/>
    <n v="2134.2399999999998"/>
  </r>
  <r>
    <n v="100332"/>
    <n v="2981"/>
    <x v="2"/>
    <x v="2"/>
    <x v="2"/>
    <s v="Laptop"/>
    <x v="191"/>
    <d v="2023-09-28T00:00:00"/>
    <d v="2023-09-29T00:00:00"/>
    <n v="3"/>
    <n v="2"/>
    <n v="6"/>
    <n v="511.81"/>
    <n v="3070.86"/>
    <n v="0.01"/>
    <n v="30.71"/>
    <n v="3040.15"/>
    <n v="2057.48"/>
    <n v="982.67"/>
  </r>
  <r>
    <n v="100333"/>
    <n v="3419"/>
    <x v="0"/>
    <x v="0"/>
    <x v="3"/>
    <s v="Shirt"/>
    <x v="228"/>
    <d v="2023-06-28T00:00:00"/>
    <d v="2023-07-10T00:00:00"/>
    <n v="13"/>
    <n v="1"/>
    <n v="8"/>
    <n v="467.66"/>
    <n v="3741.28"/>
    <n v="0"/>
    <n v="0"/>
    <n v="3741.28"/>
    <n v="2244.77"/>
    <n v="1496.51"/>
  </r>
  <r>
    <n v="100334"/>
    <n v="1342"/>
    <x v="0"/>
    <x v="2"/>
    <x v="0"/>
    <s v="Lamp"/>
    <x v="103"/>
    <d v="2023-08-18T00:00:00"/>
    <d v="2023-08-18T00:00:00"/>
    <n v="3"/>
    <n v="3"/>
    <n v="5"/>
    <n v="102.61"/>
    <n v="513.04999999999995"/>
    <n v="0.12"/>
    <n v="61.57"/>
    <n v="451.48"/>
    <n v="348.87"/>
    <n v="102.61"/>
  </r>
  <r>
    <n v="100335"/>
    <n v="1566"/>
    <x v="0"/>
    <x v="2"/>
    <x v="1"/>
    <s v="Pasta"/>
    <x v="36"/>
    <d v="2023-07-20T00:00:00"/>
    <d v="2023-08-10T00:00:00"/>
    <n v="26"/>
    <n v="5"/>
    <n v="13"/>
    <n v="652.74"/>
    <n v="8485.6200000000008"/>
    <n v="0.09"/>
    <n v="763.71"/>
    <n v="7721.91"/>
    <n v="4412.5200000000004"/>
    <n v="3309.39"/>
  </r>
  <r>
    <n v="100336"/>
    <n v="1557"/>
    <x v="3"/>
    <x v="0"/>
    <x v="1"/>
    <s v="Beverage"/>
    <x v="75"/>
    <d v="2023-05-09T00:00:00"/>
    <d v="2023-05-14T00:00:00"/>
    <n v="9"/>
    <n v="4"/>
    <n v="8"/>
    <n v="146.66999999999999"/>
    <n v="1173.3599999999999"/>
    <n v="0.04"/>
    <n v="46.93"/>
    <n v="1126.43"/>
    <n v="774.42"/>
    <n v="352.01"/>
  </r>
  <r>
    <n v="100337"/>
    <n v="2882"/>
    <x v="0"/>
    <x v="2"/>
    <x v="1"/>
    <s v="Snacks"/>
    <x v="229"/>
    <d v="2023-04-10T00:00:00"/>
    <d v="2023-05-04T00:00:00"/>
    <n v="27"/>
    <n v="3"/>
    <n v="13"/>
    <n v="269.35000000000002"/>
    <n v="3501.55"/>
    <n v="0.06"/>
    <n v="210.09"/>
    <n v="3291.46"/>
    <n v="2416.0700000000002"/>
    <n v="875.39"/>
  </r>
  <r>
    <n v="100338"/>
    <n v="3514"/>
    <x v="2"/>
    <x v="2"/>
    <x v="3"/>
    <s v="Shoes"/>
    <x v="12"/>
    <d v="2023-08-09T00:00:00"/>
    <d v="2023-08-31T00:00:00"/>
    <n v="24"/>
    <n v="2"/>
    <n v="3"/>
    <n v="526.61"/>
    <n v="1579.83"/>
    <n v="0.17"/>
    <n v="268.57"/>
    <n v="1311.26"/>
    <n v="932.1"/>
    <n v="379.16"/>
  </r>
  <r>
    <n v="100339"/>
    <n v="3673"/>
    <x v="3"/>
    <x v="0"/>
    <x v="0"/>
    <s v="Lamp"/>
    <x v="225"/>
    <d v="2023-12-08T00:00:00"/>
    <d v="2023-12-10T00:00:00"/>
    <n v="6"/>
    <n v="4"/>
    <n v="4"/>
    <n v="696.42"/>
    <n v="2785.68"/>
    <n v="0.1"/>
    <n v="278.57"/>
    <n v="2507.11"/>
    <n v="1838.55"/>
    <n v="668.56"/>
  </r>
  <r>
    <n v="100340"/>
    <n v="4094"/>
    <x v="3"/>
    <x v="2"/>
    <x v="0"/>
    <s v="Sofa"/>
    <x v="66"/>
    <d v="2023-07-28T00:00:00"/>
    <d v="2023-07-29T00:00:00"/>
    <n v="6"/>
    <n v="5"/>
    <n v="10"/>
    <n v="326.73"/>
    <n v="3267.3"/>
    <n v="0.02"/>
    <n v="65.349999999999994"/>
    <n v="3201.95"/>
    <n v="2221.7600000000002"/>
    <n v="980.19"/>
  </r>
  <r>
    <n v="100341"/>
    <n v="2587"/>
    <x v="1"/>
    <x v="0"/>
    <x v="0"/>
    <s v="Sofa"/>
    <x v="230"/>
    <d v="2023-05-11T00:00:00"/>
    <d v="2023-06-01T00:00:00"/>
    <n v="22"/>
    <n v="1"/>
    <n v="14"/>
    <n v="383.42"/>
    <n v="5367.88"/>
    <n v="0.1"/>
    <n v="536.79"/>
    <n v="4831.09"/>
    <n v="3274.41"/>
    <n v="1556.68"/>
  </r>
  <r>
    <n v="100342"/>
    <n v="1700"/>
    <x v="0"/>
    <x v="0"/>
    <x v="3"/>
    <s v="Jeans"/>
    <x v="231"/>
    <d v="2023-10-25T00:00:00"/>
    <d v="2023-11-09T00:00:00"/>
    <n v="19"/>
    <n v="4"/>
    <n v="11"/>
    <n v="616.46"/>
    <n v="6781.06"/>
    <n v="0.12"/>
    <n v="813.73"/>
    <n v="5967.33"/>
    <n v="4068.64"/>
    <n v="1898.69"/>
  </r>
  <r>
    <n v="100343"/>
    <n v="3764"/>
    <x v="2"/>
    <x v="1"/>
    <x v="2"/>
    <s v="Tablet"/>
    <x v="231"/>
    <d v="2023-10-25T00:00:00"/>
    <d v="2023-10-24T00:00:00"/>
    <n v="3"/>
    <n v="4"/>
    <n v="7"/>
    <n v="128.31"/>
    <n v="898.17"/>
    <n v="0.08"/>
    <n v="71.849999999999994"/>
    <n v="826.32"/>
    <n v="601.77"/>
    <n v="224.55"/>
  </r>
  <r>
    <n v="100344"/>
    <n v="4270"/>
    <x v="3"/>
    <x v="1"/>
    <x v="2"/>
    <s v="Headphones"/>
    <x v="178"/>
    <d v="2023-12-18T00:00:00"/>
    <d v="2023-12-22T00:00:00"/>
    <n v="8"/>
    <n v="4"/>
    <n v="1"/>
    <n v="692.02"/>
    <n v="692.02"/>
    <n v="0"/>
    <n v="0"/>
    <n v="692.02"/>
    <n v="380.61"/>
    <n v="311.41000000000003"/>
  </r>
  <r>
    <n v="100345"/>
    <n v="4227"/>
    <x v="2"/>
    <x v="2"/>
    <x v="1"/>
    <s v="Pasta"/>
    <x v="4"/>
    <d v="2023-08-04T00:00:00"/>
    <d v="2023-08-20T00:00:00"/>
    <n v="20"/>
    <n v="4"/>
    <n v="7"/>
    <n v="568.39"/>
    <n v="3978.73"/>
    <n v="7.0000000000000007E-2"/>
    <n v="278.51"/>
    <n v="3700.22"/>
    <n v="2347.4499999999998"/>
    <n v="1352.77"/>
  </r>
  <r>
    <n v="100346"/>
    <n v="3240"/>
    <x v="0"/>
    <x v="1"/>
    <x v="1"/>
    <s v="Beverage"/>
    <x v="83"/>
    <d v="2023-02-17T00:00:00"/>
    <d v="2023-03-14T00:00:00"/>
    <n v="29"/>
    <n v="4"/>
    <n v="14"/>
    <n v="382.74"/>
    <n v="5358.36"/>
    <n v="0.03"/>
    <n v="160.75"/>
    <n v="5197.6099999999997"/>
    <n v="3322.18"/>
    <n v="1875.43"/>
  </r>
  <r>
    <n v="100347"/>
    <n v="2622"/>
    <x v="1"/>
    <x v="2"/>
    <x v="0"/>
    <s v="Cookware"/>
    <x v="174"/>
    <d v="2023-07-03T00:00:00"/>
    <d v="2023-06-30T00:00:00"/>
    <n v="2"/>
    <n v="5"/>
    <n v="13"/>
    <n v="558.45000000000005"/>
    <n v="7259.85"/>
    <n v="0.06"/>
    <n v="435.59"/>
    <n v="6824.26"/>
    <n v="4355.91"/>
    <n v="2468.35"/>
  </r>
  <r>
    <n v="100348"/>
    <n v="2186"/>
    <x v="2"/>
    <x v="0"/>
    <x v="3"/>
    <s v="Shirt"/>
    <x v="232"/>
    <d v="2023-12-09T00:00:00"/>
    <d v="2023-12-24T00:00:00"/>
    <n v="17"/>
    <n v="2"/>
    <n v="13"/>
    <n v="613.73"/>
    <n v="7978.49"/>
    <n v="0.13"/>
    <n v="1037.2"/>
    <n v="6941.29"/>
    <n v="4069.03"/>
    <n v="2872.26"/>
  </r>
  <r>
    <n v="100349"/>
    <n v="4328"/>
    <x v="3"/>
    <x v="2"/>
    <x v="3"/>
    <s v="Jacket"/>
    <x v="233"/>
    <d v="2023-07-17T00:00:00"/>
    <d v="2023-08-06T00:00:00"/>
    <n v="23"/>
    <n v="3"/>
    <n v="3"/>
    <n v="473.63"/>
    <n v="1420.89"/>
    <n v="0.04"/>
    <n v="56.84"/>
    <n v="1364.05"/>
    <n v="966.21"/>
    <n v="397.84"/>
  </r>
  <r>
    <n v="100350"/>
    <n v="4951"/>
    <x v="3"/>
    <x v="2"/>
    <x v="1"/>
    <s v="Snacks"/>
    <x v="234"/>
    <d v="2023-04-26T00:00:00"/>
    <d v="2023-05-18T00:00:00"/>
    <n v="26"/>
    <n v="4"/>
    <n v="11"/>
    <n v="665.41"/>
    <n v="7319.51"/>
    <n v="0.02"/>
    <n v="146.38999999999999"/>
    <n v="7173.12"/>
    <n v="4098.93"/>
    <n v="3074.19"/>
  </r>
  <r>
    <n v="100351"/>
    <n v="2408"/>
    <x v="0"/>
    <x v="0"/>
    <x v="2"/>
    <s v="Headphones"/>
    <x v="89"/>
    <d v="2023-05-19T00:00:00"/>
    <d v="2023-05-20T00:00:00"/>
    <n v="3"/>
    <n v="2"/>
    <n v="5"/>
    <n v="127.43"/>
    <n v="637.15"/>
    <n v="0.08"/>
    <n v="50.97"/>
    <n v="586.17999999999995"/>
    <n v="414.15"/>
    <n v="172.03"/>
  </r>
  <r>
    <n v="100352"/>
    <n v="4203"/>
    <x v="3"/>
    <x v="2"/>
    <x v="0"/>
    <s v="Cookware"/>
    <x v="18"/>
    <d v="2023-09-13T00:00:00"/>
    <d v="2023-09-12T00:00:00"/>
    <n v="4"/>
    <n v="5"/>
    <n v="14"/>
    <n v="364.3"/>
    <n v="5100.2"/>
    <n v="0.11"/>
    <n v="561.02"/>
    <n v="4539.18"/>
    <n v="3009.12"/>
    <n v="1530.06"/>
  </r>
  <r>
    <n v="100353"/>
    <n v="4616"/>
    <x v="3"/>
    <x v="2"/>
    <x v="2"/>
    <s v="Phone"/>
    <x v="235"/>
    <d v="2023-03-09T00:00:00"/>
    <d v="2023-04-01T00:00:00"/>
    <n v="28"/>
    <n v="5"/>
    <n v="13"/>
    <n v="391.65"/>
    <n v="5091.45"/>
    <n v="0.12"/>
    <n v="610.97"/>
    <n v="4480.4799999999996"/>
    <n v="3411.27"/>
    <n v="1069.21"/>
  </r>
  <r>
    <n v="100354"/>
    <n v="2577"/>
    <x v="3"/>
    <x v="1"/>
    <x v="2"/>
    <s v="Headphones"/>
    <x v="236"/>
    <d v="2023-03-31T00:00:00"/>
    <d v="2023-04-12T00:00:00"/>
    <n v="17"/>
    <n v="5"/>
    <n v="6"/>
    <n v="426.59"/>
    <n v="2559.54"/>
    <n v="0.05"/>
    <n v="127.98"/>
    <n v="2431.56"/>
    <n v="1740.49"/>
    <n v="691.07"/>
  </r>
  <r>
    <n v="100355"/>
    <n v="1906"/>
    <x v="3"/>
    <x v="2"/>
    <x v="1"/>
    <s v="Snacks"/>
    <x v="237"/>
    <d v="2023-11-13T00:00:00"/>
    <d v="2023-11-17T00:00:00"/>
    <n v="7"/>
    <n v="3"/>
    <n v="8"/>
    <n v="509.59"/>
    <n v="4076.72"/>
    <n v="0.06"/>
    <n v="244.6"/>
    <n v="3832.12"/>
    <n v="2201.4299999999998"/>
    <n v="1630.69"/>
  </r>
  <r>
    <n v="100356"/>
    <n v="3957"/>
    <x v="2"/>
    <x v="2"/>
    <x v="1"/>
    <s v="Rice"/>
    <x v="168"/>
    <d v="2023-06-15T00:00:00"/>
    <d v="2023-06-19T00:00:00"/>
    <n v="9"/>
    <n v="5"/>
    <n v="4"/>
    <n v="252.26"/>
    <n v="1009.04"/>
    <n v="0.08"/>
    <n v="80.72"/>
    <n v="928.32"/>
    <n v="605.41999999999996"/>
    <n v="322.89999999999998"/>
  </r>
  <r>
    <n v="100357"/>
    <n v="3855"/>
    <x v="3"/>
    <x v="2"/>
    <x v="2"/>
    <s v="Tablet"/>
    <x v="152"/>
    <d v="2023-09-13T00:00:00"/>
    <d v="2023-10-10T00:00:00"/>
    <n v="28"/>
    <n v="1"/>
    <n v="14"/>
    <n v="694.82"/>
    <n v="9727.48"/>
    <n v="0.01"/>
    <n v="97.27"/>
    <n v="9630.2099999999991"/>
    <n v="5933.76"/>
    <n v="3696.45"/>
  </r>
  <r>
    <n v="100358"/>
    <n v="2926"/>
    <x v="0"/>
    <x v="1"/>
    <x v="0"/>
    <s v="Sofa"/>
    <x v="219"/>
    <d v="2023-08-30T00:00:00"/>
    <d v="2023-09-14T00:00:00"/>
    <n v="19"/>
    <n v="4"/>
    <n v="12"/>
    <n v="228.95"/>
    <n v="2747.4"/>
    <n v="0.04"/>
    <n v="109.9"/>
    <n v="2637.5"/>
    <n v="1538.54"/>
    <n v="1098.96"/>
  </r>
  <r>
    <n v="100359"/>
    <n v="1914"/>
    <x v="3"/>
    <x v="2"/>
    <x v="3"/>
    <s v="Jacket"/>
    <x v="215"/>
    <d v="2023-11-24T00:00:00"/>
    <d v="2023-11-21T00:00:00"/>
    <n v="2"/>
    <n v="5"/>
    <n v="4"/>
    <n v="365.84"/>
    <n v="1463.36"/>
    <n v="0.08"/>
    <n v="117.07"/>
    <n v="1346.29"/>
    <n v="834.12"/>
    <n v="512.16999999999996"/>
  </r>
  <r>
    <n v="100360"/>
    <n v="4378"/>
    <x v="2"/>
    <x v="2"/>
    <x v="3"/>
    <s v="Jacket"/>
    <x v="36"/>
    <d v="2023-07-16T00:00:00"/>
    <d v="2023-08-12T00:00:00"/>
    <n v="28"/>
    <n v="1"/>
    <n v="14"/>
    <n v="215.46"/>
    <n v="3016.44"/>
    <n v="0.09"/>
    <n v="271.48"/>
    <n v="2744.96"/>
    <n v="1930.52"/>
    <n v="814.44"/>
  </r>
  <r>
    <n v="100361"/>
    <n v="4184"/>
    <x v="2"/>
    <x v="1"/>
    <x v="0"/>
    <s v="Sofa"/>
    <x v="238"/>
    <d v="2023-02-01T00:00:00"/>
    <d v="2023-02-05T00:00:00"/>
    <n v="7"/>
    <n v="3"/>
    <n v="2"/>
    <n v="678.92"/>
    <n v="1357.84"/>
    <n v="0.08"/>
    <n v="108.63"/>
    <n v="1249.21"/>
    <n v="801.13"/>
    <n v="448.08"/>
  </r>
  <r>
    <n v="100362"/>
    <n v="4599"/>
    <x v="0"/>
    <x v="1"/>
    <x v="3"/>
    <s v="Jeans"/>
    <x v="189"/>
    <d v="2023-07-04T00:00:00"/>
    <d v="2023-07-26T00:00:00"/>
    <n v="25"/>
    <n v="3"/>
    <n v="9"/>
    <n v="263.86"/>
    <n v="2374.7399999999998"/>
    <n v="0.06"/>
    <n v="142.47999999999999"/>
    <n v="2232.2600000000002"/>
    <n v="1519.83"/>
    <n v="712.43"/>
  </r>
  <r>
    <n v="100363"/>
    <n v="1704"/>
    <x v="3"/>
    <x v="0"/>
    <x v="2"/>
    <s v="Phone"/>
    <x v="239"/>
    <d v="2023-03-22T00:00:00"/>
    <d v="2023-04-02T00:00:00"/>
    <n v="12"/>
    <n v="1"/>
    <n v="3"/>
    <n v="601.71"/>
    <n v="1805.13"/>
    <n v="0"/>
    <n v="0"/>
    <n v="1805.13"/>
    <n v="1101.1300000000001"/>
    <n v="704"/>
  </r>
  <r>
    <n v="100364"/>
    <n v="3835"/>
    <x v="1"/>
    <x v="0"/>
    <x v="3"/>
    <s v="Jacket"/>
    <x v="200"/>
    <d v="2023-04-16T00:00:00"/>
    <d v="2023-05-10T00:00:00"/>
    <n v="27"/>
    <n v="3"/>
    <n v="7"/>
    <n v="595.39"/>
    <n v="4167.7299999999996"/>
    <n v="0.02"/>
    <n v="83.35"/>
    <n v="4084.38"/>
    <n v="2292.25"/>
    <n v="1792.13"/>
  </r>
  <r>
    <n v="100365"/>
    <n v="2270"/>
    <x v="2"/>
    <x v="1"/>
    <x v="0"/>
    <s v="Table"/>
    <x v="61"/>
    <d v="2023-11-29T00:00:00"/>
    <d v="2023-12-14T00:00:00"/>
    <n v="18"/>
    <n v="3"/>
    <n v="11"/>
    <n v="313.61"/>
    <n v="3449.71"/>
    <n v="0.1"/>
    <n v="344.97"/>
    <n v="3104.74"/>
    <n v="2242.31"/>
    <n v="862.43"/>
  </r>
  <r>
    <n v="100366"/>
    <n v="4455"/>
    <x v="0"/>
    <x v="2"/>
    <x v="1"/>
    <s v="Beverage"/>
    <x v="134"/>
    <d v="2023-12-29T00:00:00"/>
    <d v="2024-01-02T00:00:00"/>
    <n v="5"/>
    <n v="1"/>
    <n v="5"/>
    <n v="658.51"/>
    <n v="3292.55"/>
    <n v="0.15"/>
    <n v="493.88"/>
    <n v="2798.67"/>
    <n v="1909.68"/>
    <n v="888.99"/>
  </r>
  <r>
    <n v="100367"/>
    <n v="3615"/>
    <x v="0"/>
    <x v="2"/>
    <x v="0"/>
    <s v="Sofa"/>
    <x v="240"/>
    <d v="2023-02-15T00:00:00"/>
    <d v="2023-02-18T00:00:00"/>
    <n v="7"/>
    <n v="4"/>
    <n v="9"/>
    <n v="80.39"/>
    <n v="723.51"/>
    <n v="0.14000000000000001"/>
    <n v="101.29"/>
    <n v="622.22"/>
    <n v="405.17"/>
    <n v="217.05"/>
  </r>
  <r>
    <n v="100368"/>
    <n v="1342"/>
    <x v="3"/>
    <x v="1"/>
    <x v="3"/>
    <s v="Jeans"/>
    <x v="241"/>
    <d v="2023-10-23T00:00:00"/>
    <d v="2023-11-10T00:00:00"/>
    <n v="21"/>
    <n v="3"/>
    <n v="13"/>
    <n v="552.83000000000004"/>
    <n v="7186.79"/>
    <n v="0.03"/>
    <n v="215.6"/>
    <n v="6971.19"/>
    <n v="4096.47"/>
    <n v="2874.72"/>
  </r>
  <r>
    <n v="100369"/>
    <n v="1528"/>
    <x v="2"/>
    <x v="1"/>
    <x v="2"/>
    <s v="Phone"/>
    <x v="191"/>
    <d v="2023-09-28T00:00:00"/>
    <d v="2023-10-21T00:00:00"/>
    <n v="25"/>
    <n v="2"/>
    <n v="5"/>
    <n v="398.38"/>
    <n v="1991.9"/>
    <n v="0.08"/>
    <n v="159.35"/>
    <n v="1832.55"/>
    <n v="1195.1400000000001"/>
    <n v="637.41"/>
  </r>
  <r>
    <n v="100370"/>
    <n v="3756"/>
    <x v="3"/>
    <x v="0"/>
    <x v="3"/>
    <s v="Jeans"/>
    <x v="242"/>
    <d v="2023-12-26T00:00:00"/>
    <d v="2024-01-20T00:00:00"/>
    <n v="30"/>
    <n v="5"/>
    <n v="7"/>
    <n v="79.849999999999994"/>
    <n v="558.95000000000005"/>
    <n v="0.1"/>
    <n v="55.9"/>
    <n v="503.05"/>
    <n v="363.32"/>
    <n v="139.72999999999999"/>
  </r>
  <r>
    <n v="100371"/>
    <n v="4871"/>
    <x v="1"/>
    <x v="0"/>
    <x v="0"/>
    <s v="Lamp"/>
    <x v="243"/>
    <d v="2023-06-17T00:00:00"/>
    <d v="2023-06-16T00:00:00"/>
    <n v="2"/>
    <n v="3"/>
    <n v="1"/>
    <n v="372.79"/>
    <n v="372.79"/>
    <n v="0.06"/>
    <n v="22.37"/>
    <n v="350.42"/>
    <n v="238.59"/>
    <n v="111.83"/>
  </r>
  <r>
    <n v="100372"/>
    <n v="3980"/>
    <x v="1"/>
    <x v="2"/>
    <x v="2"/>
    <s v="Laptop"/>
    <x v="210"/>
    <d v="2023-12-11T00:00:00"/>
    <d v="2023-12-13T00:00:00"/>
    <n v="4"/>
    <n v="2"/>
    <n v="2"/>
    <n v="769.26"/>
    <n v="1538.52"/>
    <n v="0.1"/>
    <n v="153.85"/>
    <n v="1384.67"/>
    <n v="953.88"/>
    <n v="430.79"/>
  </r>
  <r>
    <n v="100373"/>
    <n v="3419"/>
    <x v="0"/>
    <x v="2"/>
    <x v="0"/>
    <s v="Sofa"/>
    <x v="94"/>
    <d v="2023-07-19T00:00:00"/>
    <d v="2023-08-09T00:00:00"/>
    <n v="23"/>
    <n v="2"/>
    <n v="9"/>
    <n v="348.75"/>
    <n v="3138.75"/>
    <n v="0"/>
    <n v="0"/>
    <n v="3138.75"/>
    <n v="1977.41"/>
    <n v="1161.3399999999999"/>
  </r>
  <r>
    <n v="100374"/>
    <n v="4170"/>
    <x v="3"/>
    <x v="2"/>
    <x v="1"/>
    <s v="Rice"/>
    <x v="244"/>
    <d v="2023-03-06T00:00:00"/>
    <d v="2023-03-20T00:00:00"/>
    <n v="19"/>
    <n v="5"/>
    <n v="3"/>
    <n v="221.83"/>
    <n v="665.49"/>
    <n v="0.12"/>
    <n v="79.86"/>
    <n v="585.63"/>
    <n v="399.29"/>
    <n v="186.34"/>
  </r>
  <r>
    <n v="100375"/>
    <n v="4476"/>
    <x v="0"/>
    <x v="2"/>
    <x v="0"/>
    <s v="Cookware"/>
    <x v="87"/>
    <d v="2023-12-04T00:00:00"/>
    <d v="2023-12-08T00:00:00"/>
    <n v="6"/>
    <n v="2"/>
    <n v="8"/>
    <n v="574.61"/>
    <n v="4596.88"/>
    <n v="0.09"/>
    <n v="413.72"/>
    <n v="4183.16"/>
    <n v="2850.07"/>
    <n v="1333.09"/>
  </r>
  <r>
    <n v="100376"/>
    <n v="3869"/>
    <x v="0"/>
    <x v="2"/>
    <x v="3"/>
    <s v="Shirt"/>
    <x v="86"/>
    <d v="2023-05-14T00:00:00"/>
    <d v="2023-06-10T00:00:00"/>
    <n v="29"/>
    <n v="2"/>
    <n v="1"/>
    <n v="360.02"/>
    <n v="360.02"/>
    <n v="7.0000000000000007E-2"/>
    <n v="25.2"/>
    <n v="334.82"/>
    <n v="212.41"/>
    <n v="122.41"/>
  </r>
  <r>
    <n v="100377"/>
    <n v="2419"/>
    <x v="3"/>
    <x v="0"/>
    <x v="1"/>
    <s v="Beverage"/>
    <x v="245"/>
    <d v="2023-06-19T00:00:00"/>
    <d v="2023-07-11T00:00:00"/>
    <n v="26"/>
    <n v="4"/>
    <n v="12"/>
    <n v="134.1"/>
    <n v="1609.2"/>
    <n v="0.1"/>
    <n v="160.91999999999999"/>
    <n v="1448.28"/>
    <n v="965.52"/>
    <n v="482.76"/>
  </r>
  <r>
    <n v="100378"/>
    <n v="1505"/>
    <x v="0"/>
    <x v="1"/>
    <x v="1"/>
    <s v="Snacks"/>
    <x v="246"/>
    <d v="2023-04-01T00:00:00"/>
    <d v="2023-03-31T00:00:00"/>
    <n v="3"/>
    <n v="4"/>
    <n v="1"/>
    <n v="691.97"/>
    <n v="691.97"/>
    <n v="0"/>
    <n v="0"/>
    <n v="691.97"/>
    <n v="387.5"/>
    <n v="304.47000000000003"/>
  </r>
  <r>
    <n v="100379"/>
    <n v="2971"/>
    <x v="3"/>
    <x v="0"/>
    <x v="0"/>
    <s v="Cookware"/>
    <x v="247"/>
    <d v="2023-06-25T00:00:00"/>
    <d v="2023-07-06T00:00:00"/>
    <n v="12"/>
    <n v="1"/>
    <n v="4"/>
    <n v="363.93"/>
    <n v="1455.72"/>
    <n v="0.08"/>
    <n v="116.46"/>
    <n v="1339.26"/>
    <n v="742.42"/>
    <n v="596.84"/>
  </r>
  <r>
    <n v="100380"/>
    <n v="2094"/>
    <x v="0"/>
    <x v="0"/>
    <x v="1"/>
    <s v="Pasta"/>
    <x v="248"/>
    <d v="2023-01-18T00:00:00"/>
    <d v="2023-02-03T00:00:00"/>
    <n v="19"/>
    <n v="3"/>
    <n v="8"/>
    <n v="656.15"/>
    <n v="5249.2"/>
    <n v="0.05"/>
    <n v="262.45999999999998"/>
    <n v="4986.74"/>
    <n v="3359.49"/>
    <n v="1627.25"/>
  </r>
  <r>
    <n v="100381"/>
    <n v="3017"/>
    <x v="1"/>
    <x v="1"/>
    <x v="3"/>
    <s v="Shirt"/>
    <x v="249"/>
    <d v="2023-05-31T00:00:00"/>
    <d v="2023-06-09T00:00:00"/>
    <n v="12"/>
    <n v="3"/>
    <n v="4"/>
    <n v="423.47"/>
    <n v="1693.88"/>
    <n v="0"/>
    <n v="0"/>
    <n v="1693.88"/>
    <n v="1101.02"/>
    <n v="592.86"/>
  </r>
  <r>
    <n v="100382"/>
    <n v="1454"/>
    <x v="3"/>
    <x v="2"/>
    <x v="1"/>
    <s v="Beverage"/>
    <x v="174"/>
    <d v="2023-07-01T00:00:00"/>
    <d v="2023-07-23T00:00:00"/>
    <n v="25"/>
    <n v="3"/>
    <n v="6"/>
    <n v="619.07000000000005"/>
    <n v="3714.42"/>
    <n v="0.1"/>
    <n v="371.44"/>
    <n v="3342.98"/>
    <n v="2265.8000000000002"/>
    <n v="1077.18"/>
  </r>
  <r>
    <n v="100383"/>
    <n v="3012"/>
    <x v="0"/>
    <x v="1"/>
    <x v="0"/>
    <s v="Cookware"/>
    <x v="183"/>
    <d v="2024-01-04T00:00:00"/>
    <d v="2024-01-09T00:00:00"/>
    <n v="9"/>
    <n v="4"/>
    <n v="3"/>
    <n v="466.8"/>
    <n v="1400.4"/>
    <n v="0.03"/>
    <n v="42.01"/>
    <n v="1358.39"/>
    <n v="952.27"/>
    <n v="406.12"/>
  </r>
  <r>
    <n v="100384"/>
    <n v="3125"/>
    <x v="0"/>
    <x v="2"/>
    <x v="1"/>
    <s v="Pasta"/>
    <x v="231"/>
    <d v="2023-10-26T00:00:00"/>
    <d v="2023-11-04T00:00:00"/>
    <n v="14"/>
    <n v="5"/>
    <n v="12"/>
    <n v="381.44"/>
    <n v="4577.28"/>
    <n v="0.13"/>
    <n v="595.04999999999995"/>
    <n v="3982.23"/>
    <n v="2883.69"/>
    <n v="1098.54"/>
  </r>
  <r>
    <n v="100385"/>
    <n v="4306"/>
    <x v="0"/>
    <x v="1"/>
    <x v="3"/>
    <s v="Shoes"/>
    <x v="237"/>
    <d v="2023-11-13T00:00:00"/>
    <d v="2023-12-01T00:00:00"/>
    <n v="21"/>
    <n v="3"/>
    <n v="8"/>
    <n v="445.82"/>
    <n v="3566.56"/>
    <n v="0.02"/>
    <n v="71.33"/>
    <n v="3495.23"/>
    <n v="2318.2600000000002"/>
    <n v="1176.97"/>
  </r>
  <r>
    <n v="100386"/>
    <n v="2819"/>
    <x v="0"/>
    <x v="2"/>
    <x v="2"/>
    <s v="Phone"/>
    <x v="35"/>
    <d v="2023-12-15T00:00:00"/>
    <d v="2023-12-22T00:00:00"/>
    <n v="12"/>
    <n v="5"/>
    <n v="11"/>
    <n v="680.95"/>
    <n v="7490.45"/>
    <n v="0.06"/>
    <n v="449.43"/>
    <n v="7041.02"/>
    <n v="5018.6000000000004"/>
    <n v="2022.42"/>
  </r>
  <r>
    <n v="100387"/>
    <n v="1819"/>
    <x v="1"/>
    <x v="0"/>
    <x v="2"/>
    <s v="Headphones"/>
    <x v="171"/>
    <d v="2023-03-13T00:00:00"/>
    <d v="2023-03-17T00:00:00"/>
    <n v="6"/>
    <n v="2"/>
    <n v="10"/>
    <n v="185.7"/>
    <n v="1857"/>
    <n v="0.1"/>
    <n v="185.7"/>
    <n v="1671.3"/>
    <n v="1169.9100000000001"/>
    <n v="501.39"/>
  </r>
  <r>
    <n v="100388"/>
    <n v="3562"/>
    <x v="0"/>
    <x v="1"/>
    <x v="3"/>
    <s v="Jeans"/>
    <x v="250"/>
    <d v="2023-08-06T00:00:00"/>
    <d v="2023-08-24T00:00:00"/>
    <n v="19"/>
    <n v="1"/>
    <n v="11"/>
    <n v="250.04"/>
    <n v="2750.44"/>
    <n v="0.08"/>
    <n v="220.04"/>
    <n v="2530.4"/>
    <n v="1787.79"/>
    <n v="742.61"/>
  </r>
  <r>
    <n v="100389"/>
    <n v="3985"/>
    <x v="0"/>
    <x v="2"/>
    <x v="2"/>
    <s v="Phone"/>
    <x v="216"/>
    <d v="2023-09-26T00:00:00"/>
    <d v="2023-09-30T00:00:00"/>
    <n v="5"/>
    <n v="1"/>
    <n v="10"/>
    <n v="574.02"/>
    <n v="5740.2"/>
    <n v="0.1"/>
    <n v="574.02"/>
    <n v="5166.18"/>
    <n v="3616.33"/>
    <n v="1549.85"/>
  </r>
  <r>
    <n v="100390"/>
    <n v="2280"/>
    <x v="0"/>
    <x v="1"/>
    <x v="3"/>
    <s v="Jacket"/>
    <x v="251"/>
    <d v="2023-01-29T00:00:00"/>
    <d v="2023-02-12T00:00:00"/>
    <n v="16"/>
    <n v="2"/>
    <n v="10"/>
    <n v="103.12"/>
    <n v="1031.2"/>
    <n v="0.12"/>
    <n v="123.74"/>
    <n v="907.46"/>
    <n v="618.72"/>
    <n v="288.74"/>
  </r>
  <r>
    <n v="100391"/>
    <n v="4616"/>
    <x v="0"/>
    <x v="0"/>
    <x v="3"/>
    <s v="Jeans"/>
    <x v="30"/>
    <d v="2023-10-21T00:00:00"/>
    <d v="2023-10-28T00:00:00"/>
    <n v="10"/>
    <n v="3"/>
    <n v="12"/>
    <n v="417.52"/>
    <n v="5010.24"/>
    <n v="0.08"/>
    <n v="400.82"/>
    <n v="4609.42"/>
    <n v="2805.73"/>
    <n v="1803.69"/>
  </r>
  <r>
    <n v="100392"/>
    <n v="2620"/>
    <x v="3"/>
    <x v="1"/>
    <x v="1"/>
    <s v="Beverage"/>
    <x v="252"/>
    <d v="2023-03-24T00:00:00"/>
    <d v="2023-03-29T00:00:00"/>
    <n v="7"/>
    <n v="2"/>
    <n v="3"/>
    <n v="250.87"/>
    <n v="752.61"/>
    <n v="0.08"/>
    <n v="60.21"/>
    <n v="692.4"/>
    <n v="451.57"/>
    <n v="240.83"/>
  </r>
  <r>
    <n v="100393"/>
    <n v="3034"/>
    <x v="1"/>
    <x v="0"/>
    <x v="1"/>
    <s v="Beverage"/>
    <x v="124"/>
    <d v="2023-10-30T00:00:00"/>
    <d v="2023-11-14T00:00:00"/>
    <n v="20"/>
    <n v="5"/>
    <n v="14"/>
    <n v="337.97"/>
    <n v="4731.58"/>
    <n v="0.05"/>
    <n v="236.58"/>
    <n v="4495"/>
    <n v="2791.63"/>
    <n v="1703.37"/>
  </r>
  <r>
    <n v="100394"/>
    <n v="1615"/>
    <x v="0"/>
    <x v="1"/>
    <x v="0"/>
    <s v="Cookware"/>
    <x v="37"/>
    <d v="2023-12-11T00:00:00"/>
    <d v="2023-12-15T00:00:00"/>
    <n v="9"/>
    <n v="5"/>
    <n v="11"/>
    <n v="16.63"/>
    <n v="182.93"/>
    <n v="7.0000000000000007E-2"/>
    <n v="12.81"/>
    <n v="170.12"/>
    <n v="93.29"/>
    <n v="76.83"/>
  </r>
  <r>
    <n v="100395"/>
    <n v="2938"/>
    <x v="0"/>
    <x v="1"/>
    <x v="2"/>
    <s v="Laptop"/>
    <x v="30"/>
    <d v="2023-10-20T00:00:00"/>
    <d v="2023-11-05T00:00:00"/>
    <n v="18"/>
    <n v="2"/>
    <n v="10"/>
    <n v="603.28"/>
    <n v="6032.8"/>
    <n v="7.0000000000000007E-2"/>
    <n v="422.3"/>
    <n v="5610.5"/>
    <n v="3680.01"/>
    <n v="1930.49"/>
  </r>
  <r>
    <n v="100396"/>
    <n v="4609"/>
    <x v="0"/>
    <x v="0"/>
    <x v="2"/>
    <s v="Laptop"/>
    <x v="253"/>
    <d v="2023-11-30T00:00:00"/>
    <d v="2023-12-08T00:00:00"/>
    <n v="11"/>
    <n v="3"/>
    <n v="6"/>
    <n v="414.18"/>
    <n v="2485.08"/>
    <n v="0.15"/>
    <n v="372.76"/>
    <n v="2112.3200000000002"/>
    <n v="1416.5"/>
    <n v="695.82"/>
  </r>
  <r>
    <n v="100397"/>
    <n v="3202"/>
    <x v="1"/>
    <x v="0"/>
    <x v="3"/>
    <s v="Shirt"/>
    <x v="254"/>
    <d v="2023-11-23T00:00:00"/>
    <d v="2023-12-04T00:00:00"/>
    <n v="13"/>
    <n v="2"/>
    <n v="8"/>
    <n v="166.32"/>
    <n v="1330.56"/>
    <n v="0.08"/>
    <n v="106.44"/>
    <n v="1224.1199999999999"/>
    <n v="851.56"/>
    <n v="372.56"/>
  </r>
  <r>
    <n v="100398"/>
    <n v="2731"/>
    <x v="1"/>
    <x v="0"/>
    <x v="1"/>
    <s v="Pasta"/>
    <x v="36"/>
    <d v="2023-07-18T00:00:00"/>
    <d v="2023-07-18T00:00:00"/>
    <n v="3"/>
    <n v="3"/>
    <n v="1"/>
    <n v="318.70999999999998"/>
    <n v="318.70999999999998"/>
    <n v="0.09"/>
    <n v="28.68"/>
    <n v="290.02999999999997"/>
    <n v="188.04"/>
    <n v="101.99"/>
  </r>
  <r>
    <n v="100399"/>
    <n v="3711"/>
    <x v="3"/>
    <x v="1"/>
    <x v="0"/>
    <s v="Table"/>
    <x v="56"/>
    <d v="2023-01-08T00:00:00"/>
    <d v="2023-01-10T00:00:00"/>
    <n v="5"/>
    <n v="3"/>
    <n v="7"/>
    <n v="472.74"/>
    <n v="3309.18"/>
    <n v="0.01"/>
    <n v="33.090000000000003"/>
    <n v="3276.09"/>
    <n v="2051.69"/>
    <n v="1224.4000000000001"/>
  </r>
  <r>
    <n v="100400"/>
    <n v="3040"/>
    <x v="0"/>
    <x v="1"/>
    <x v="3"/>
    <s v="Jeans"/>
    <x v="205"/>
    <d v="2023-04-18T00:00:00"/>
    <d v="2023-04-24T00:00:00"/>
    <n v="9"/>
    <n v="3"/>
    <n v="1"/>
    <n v="158.41999999999999"/>
    <n v="158.41999999999999"/>
    <n v="7.0000000000000007E-2"/>
    <n v="11.09"/>
    <n v="147.33000000000001"/>
    <n v="109.31"/>
    <n v="38.020000000000003"/>
  </r>
  <r>
    <n v="100401"/>
    <n v="3703"/>
    <x v="0"/>
    <x v="0"/>
    <x v="2"/>
    <s v="Laptop"/>
    <x v="92"/>
    <d v="2023-05-20T00:00:00"/>
    <d v="2023-05-23T00:00:00"/>
    <n v="7"/>
    <n v="4"/>
    <n v="6"/>
    <n v="185.35"/>
    <n v="1112.0999999999999"/>
    <n v="0.2"/>
    <n v="222.42"/>
    <n v="889.68"/>
    <n v="667.26"/>
    <n v="222.42"/>
  </r>
  <r>
    <n v="100402"/>
    <n v="1460"/>
    <x v="2"/>
    <x v="0"/>
    <x v="2"/>
    <s v="Laptop"/>
    <x v="106"/>
    <d v="2023-08-24T00:00:00"/>
    <d v="2023-08-27T00:00:00"/>
    <n v="4"/>
    <n v="1"/>
    <n v="5"/>
    <n v="529.26"/>
    <n v="2646.3"/>
    <n v="0.15"/>
    <n v="396.94"/>
    <n v="2249.36"/>
    <n v="1561.32"/>
    <n v="688.04"/>
  </r>
  <r>
    <n v="100403"/>
    <n v="1302"/>
    <x v="2"/>
    <x v="0"/>
    <x v="3"/>
    <s v="Shirt"/>
    <x v="147"/>
    <d v="2023-11-14T00:00:00"/>
    <d v="2023-12-01T00:00:00"/>
    <n v="20"/>
    <n v="3"/>
    <n v="14"/>
    <n v="350.96"/>
    <n v="4913.4399999999996"/>
    <n v="0.06"/>
    <n v="294.81"/>
    <n v="4618.63"/>
    <n v="2948.06"/>
    <n v="1670.57"/>
  </r>
  <r>
    <n v="100404"/>
    <n v="1979"/>
    <x v="3"/>
    <x v="0"/>
    <x v="0"/>
    <s v="Table"/>
    <x v="27"/>
    <d v="2023-04-26T00:00:00"/>
    <d v="2023-05-07T00:00:00"/>
    <n v="14"/>
    <n v="3"/>
    <n v="12"/>
    <n v="184.67"/>
    <n v="2216.04"/>
    <n v="0.06"/>
    <n v="132.96"/>
    <n v="2083.08"/>
    <n v="1130.18"/>
    <n v="952.9"/>
  </r>
  <r>
    <n v="100405"/>
    <n v="1902"/>
    <x v="0"/>
    <x v="1"/>
    <x v="0"/>
    <s v="Table"/>
    <x v="255"/>
    <d v="2023-09-21T00:00:00"/>
    <d v="2023-09-20T00:00:00"/>
    <n v="4"/>
    <n v="5"/>
    <n v="11"/>
    <n v="570.82000000000005"/>
    <n v="6279.02"/>
    <n v="0.16"/>
    <n v="1004.64"/>
    <n v="5274.38"/>
    <n v="3641.83"/>
    <n v="1632.55"/>
  </r>
  <r>
    <n v="100406"/>
    <n v="4683"/>
    <x v="1"/>
    <x v="0"/>
    <x v="2"/>
    <s v="Phone"/>
    <x v="207"/>
    <d v="2023-10-24T00:00:00"/>
    <d v="2023-11-16T00:00:00"/>
    <n v="24"/>
    <n v="1"/>
    <n v="6"/>
    <n v="435.74"/>
    <n v="2614.44"/>
    <n v="0.12"/>
    <n v="313.73"/>
    <n v="2300.71"/>
    <n v="1568.66"/>
    <n v="732.05"/>
  </r>
  <r>
    <n v="100407"/>
    <n v="1329"/>
    <x v="1"/>
    <x v="1"/>
    <x v="1"/>
    <s v="Pasta"/>
    <x v="253"/>
    <d v="2023-12-01T00:00:00"/>
    <d v="2023-12-07T00:00:00"/>
    <n v="10"/>
    <n v="4"/>
    <n v="2"/>
    <n v="448.17"/>
    <n v="896.34"/>
    <n v="0.03"/>
    <n v="26.89"/>
    <n v="869.45"/>
    <n v="519.88"/>
    <n v="349.57"/>
  </r>
  <r>
    <n v="100408"/>
    <n v="1350"/>
    <x v="1"/>
    <x v="2"/>
    <x v="1"/>
    <s v="Snacks"/>
    <x v="9"/>
    <d v="2023-03-15T00:00:00"/>
    <d v="2023-03-17T00:00:00"/>
    <n v="3"/>
    <n v="1"/>
    <n v="3"/>
    <n v="152.18"/>
    <n v="456.54"/>
    <n v="0.13"/>
    <n v="59.35"/>
    <n v="397.19"/>
    <n v="269.36"/>
    <n v="127.83"/>
  </r>
  <r>
    <n v="100409"/>
    <n v="2808"/>
    <x v="3"/>
    <x v="1"/>
    <x v="2"/>
    <s v="Tablet"/>
    <x v="40"/>
    <d v="2023-12-17T00:00:00"/>
    <d v="2024-01-01T00:00:00"/>
    <n v="16"/>
    <n v="1"/>
    <n v="10"/>
    <n v="154.12"/>
    <n v="1541.2"/>
    <n v="7.0000000000000007E-2"/>
    <n v="107.88"/>
    <n v="1433.32"/>
    <n v="1063.43"/>
    <n v="369.89"/>
  </r>
  <r>
    <n v="100410"/>
    <n v="3100"/>
    <x v="3"/>
    <x v="2"/>
    <x v="0"/>
    <s v="Cookware"/>
    <x v="56"/>
    <d v="2023-01-08T00:00:00"/>
    <d v="2023-01-12T00:00:00"/>
    <n v="7"/>
    <n v="3"/>
    <n v="1"/>
    <n v="656.56"/>
    <n v="656.56"/>
    <n v="0.02"/>
    <n v="13.13"/>
    <n v="643.42999999999995"/>
    <n v="354.54"/>
    <n v="288.89"/>
  </r>
  <r>
    <n v="100411"/>
    <n v="1174"/>
    <x v="3"/>
    <x v="1"/>
    <x v="0"/>
    <s v="Cookware"/>
    <x v="15"/>
    <d v="2023-01-02T00:00:00"/>
    <d v="2023-01-16T00:00:00"/>
    <n v="15"/>
    <n v="1"/>
    <n v="12"/>
    <n v="481.63"/>
    <n v="5779.56"/>
    <n v="0.08"/>
    <n v="462.36"/>
    <n v="5317.2"/>
    <n v="3698.92"/>
    <n v="1618.28"/>
  </r>
  <r>
    <n v="100412"/>
    <n v="1437"/>
    <x v="1"/>
    <x v="0"/>
    <x v="1"/>
    <s v="Pasta"/>
    <x v="96"/>
    <d v="2023-07-05T00:00:00"/>
    <d v="2023-07-17T00:00:00"/>
    <n v="17"/>
    <n v="5"/>
    <n v="11"/>
    <n v="673.28"/>
    <n v="7406.08"/>
    <n v="0.06"/>
    <n v="444.36"/>
    <n v="6961.72"/>
    <n v="4813.95"/>
    <n v="2147.77"/>
  </r>
  <r>
    <n v="100413"/>
    <n v="4511"/>
    <x v="3"/>
    <x v="0"/>
    <x v="1"/>
    <s v="Rice"/>
    <x v="256"/>
    <d v="2023-04-25T00:00:00"/>
    <d v="2023-05-01T00:00:00"/>
    <n v="7"/>
    <n v="1"/>
    <n v="12"/>
    <n v="669.41"/>
    <n v="8032.92"/>
    <n v="0.18"/>
    <n v="1445.93"/>
    <n v="6586.99"/>
    <n v="4819.75"/>
    <n v="1767.24"/>
  </r>
  <r>
    <n v="100414"/>
    <n v="3765"/>
    <x v="3"/>
    <x v="0"/>
    <x v="1"/>
    <s v="Snacks"/>
    <x v="257"/>
    <d v="2023-01-23T00:00:00"/>
    <d v="2023-02-05T00:00:00"/>
    <n v="15"/>
    <n v="2"/>
    <n v="14"/>
    <n v="349.95"/>
    <n v="4899.3"/>
    <n v="0.06"/>
    <n v="293.95999999999998"/>
    <n v="4605.34"/>
    <n v="3282.53"/>
    <n v="1322.81"/>
  </r>
  <r>
    <n v="100415"/>
    <n v="1864"/>
    <x v="2"/>
    <x v="2"/>
    <x v="3"/>
    <s v="Jacket"/>
    <x v="75"/>
    <d v="2023-05-06T00:00:00"/>
    <d v="2023-05-26T00:00:00"/>
    <n v="21"/>
    <n v="1"/>
    <n v="7"/>
    <n v="5.88"/>
    <n v="41.16"/>
    <n v="0.06"/>
    <n v="2.4700000000000002"/>
    <n v="38.69"/>
    <n v="28.81"/>
    <n v="9.8800000000000008"/>
  </r>
  <r>
    <n v="100416"/>
    <n v="1918"/>
    <x v="2"/>
    <x v="2"/>
    <x v="2"/>
    <s v="Phone"/>
    <x v="258"/>
    <d v="2023-02-05T00:00:00"/>
    <d v="2023-03-02T00:00:00"/>
    <n v="29"/>
    <n v="4"/>
    <n v="4"/>
    <n v="547.41"/>
    <n v="2189.64"/>
    <n v="0.02"/>
    <n v="43.79"/>
    <n v="2145.85"/>
    <n v="1182.4100000000001"/>
    <n v="963.44"/>
  </r>
  <r>
    <n v="100417"/>
    <n v="2764"/>
    <x v="0"/>
    <x v="2"/>
    <x v="1"/>
    <s v="Pasta"/>
    <x v="109"/>
    <d v="2023-02-22T00:00:00"/>
    <d v="2023-02-25T00:00:00"/>
    <n v="6"/>
    <n v="3"/>
    <n v="10"/>
    <n v="26.08"/>
    <n v="260.8"/>
    <n v="0.14000000000000001"/>
    <n v="36.51"/>
    <n v="224.29"/>
    <n v="153.87"/>
    <n v="70.42"/>
  </r>
  <r>
    <n v="100418"/>
    <n v="1520"/>
    <x v="1"/>
    <x v="1"/>
    <x v="1"/>
    <s v="Rice"/>
    <x v="106"/>
    <d v="2023-08-28T00:00:00"/>
    <d v="2023-08-28T00:00:00"/>
    <n v="5"/>
    <n v="5"/>
    <n v="12"/>
    <n v="114.71"/>
    <n v="1376.52"/>
    <n v="0.12"/>
    <n v="165.18"/>
    <n v="1211.3399999999999"/>
    <n v="798.38"/>
    <n v="412.96"/>
  </r>
  <r>
    <n v="100419"/>
    <n v="1945"/>
    <x v="3"/>
    <x v="2"/>
    <x v="1"/>
    <s v="Snacks"/>
    <x v="259"/>
    <d v="2023-06-05T00:00:00"/>
    <d v="2023-06-05T00:00:00"/>
    <n v="5"/>
    <n v="5"/>
    <n v="2"/>
    <n v="65.239999999999995"/>
    <n v="130.47999999999999"/>
    <n v="0.09"/>
    <n v="11.74"/>
    <n v="118.74"/>
    <n v="73.069999999999993"/>
    <n v="45.67"/>
  </r>
  <r>
    <n v="100420"/>
    <n v="2645"/>
    <x v="3"/>
    <x v="1"/>
    <x v="3"/>
    <s v="Shoes"/>
    <x v="118"/>
    <d v="2023-06-12T00:00:00"/>
    <d v="2023-06-30T00:00:00"/>
    <n v="22"/>
    <n v="4"/>
    <n v="10"/>
    <n v="406.95"/>
    <n v="4069.5"/>
    <n v="0.08"/>
    <n v="325.56"/>
    <n v="3743.94"/>
    <n v="2645.18"/>
    <n v="1098.76"/>
  </r>
  <r>
    <n v="100421"/>
    <n v="3285"/>
    <x v="0"/>
    <x v="0"/>
    <x v="0"/>
    <s v="Table"/>
    <x v="260"/>
    <d v="2023-04-29T00:00:00"/>
    <d v="2023-05-07T00:00:00"/>
    <n v="12"/>
    <n v="4"/>
    <n v="2"/>
    <n v="400.25"/>
    <n v="800.5"/>
    <n v="0.1"/>
    <n v="80.05"/>
    <n v="720.45"/>
    <n v="472.29"/>
    <n v="248.16"/>
  </r>
  <r>
    <n v="100422"/>
    <n v="3822"/>
    <x v="1"/>
    <x v="1"/>
    <x v="0"/>
    <s v="Lamp"/>
    <x v="100"/>
    <d v="2023-11-21T00:00:00"/>
    <d v="2023-11-21T00:00:00"/>
    <n v="4"/>
    <n v="4"/>
    <n v="6"/>
    <n v="730.91"/>
    <n v="4385.46"/>
    <n v="0.19"/>
    <n v="833.24"/>
    <n v="3552.22"/>
    <n v="2631.28"/>
    <n v="920.94"/>
  </r>
  <r>
    <n v="100423"/>
    <n v="3607"/>
    <x v="1"/>
    <x v="0"/>
    <x v="0"/>
    <s v="Table"/>
    <x v="261"/>
    <d v="2023-06-14T00:00:00"/>
    <d v="2023-07-08T00:00:00"/>
    <n v="26"/>
    <n v="2"/>
    <n v="2"/>
    <n v="39.090000000000003"/>
    <n v="78.180000000000007"/>
    <n v="0.04"/>
    <n v="3.13"/>
    <n v="75.05"/>
    <n v="48.47"/>
    <n v="26.58"/>
  </r>
  <r>
    <n v="100424"/>
    <n v="3216"/>
    <x v="1"/>
    <x v="1"/>
    <x v="1"/>
    <s v="Beverage"/>
    <x v="236"/>
    <d v="2023-03-30T00:00:00"/>
    <d v="2023-04-11T00:00:00"/>
    <n v="16"/>
    <n v="4"/>
    <n v="7"/>
    <n v="640.87"/>
    <n v="4486.09"/>
    <n v="0.1"/>
    <n v="448.61"/>
    <n v="4037.48"/>
    <n v="3005.68"/>
    <n v="1031.8"/>
  </r>
  <r>
    <n v="100425"/>
    <n v="4684"/>
    <x v="3"/>
    <x v="1"/>
    <x v="1"/>
    <s v="Snacks"/>
    <x v="239"/>
    <d v="2023-03-23T00:00:00"/>
    <d v="2023-04-04T00:00:00"/>
    <n v="14"/>
    <n v="2"/>
    <n v="14"/>
    <n v="537.17999999999995"/>
    <n v="7520.52"/>
    <n v="0.17"/>
    <n v="1278.49"/>
    <n v="6242.03"/>
    <n v="4061.08"/>
    <n v="2180.9499999999998"/>
  </r>
  <r>
    <n v="100426"/>
    <n v="4647"/>
    <x v="0"/>
    <x v="1"/>
    <x v="3"/>
    <s v="Shirt"/>
    <x v="15"/>
    <d v="2023-01-05T00:00:00"/>
    <d v="2023-01-13T00:00:00"/>
    <n v="12"/>
    <n v="4"/>
    <n v="11"/>
    <n v="177.72"/>
    <n v="1954.92"/>
    <n v="0.04"/>
    <n v="78.2"/>
    <n v="1876.72"/>
    <n v="1094.76"/>
    <n v="781.96"/>
  </r>
  <r>
    <n v="100427"/>
    <n v="3460"/>
    <x v="2"/>
    <x v="2"/>
    <x v="0"/>
    <s v="Table"/>
    <x v="103"/>
    <d v="2023-08-17T00:00:00"/>
    <d v="2023-09-11T00:00:00"/>
    <n v="27"/>
    <n v="2"/>
    <n v="6"/>
    <n v="225.7"/>
    <n v="1354.2"/>
    <n v="0.08"/>
    <n v="108.34"/>
    <n v="1245.8599999999999"/>
    <n v="839.6"/>
    <n v="406.26"/>
  </r>
  <r>
    <n v="100428"/>
    <n v="2978"/>
    <x v="0"/>
    <x v="0"/>
    <x v="3"/>
    <s v="Jeans"/>
    <x v="211"/>
    <d v="2023-06-18T00:00:00"/>
    <d v="2023-06-19T00:00:00"/>
    <n v="6"/>
    <n v="5"/>
    <n v="11"/>
    <n v="733.97"/>
    <n v="8073.67"/>
    <n v="0.03"/>
    <n v="242.21"/>
    <n v="7831.46"/>
    <n v="5247.89"/>
    <n v="2583.5700000000002"/>
  </r>
  <r>
    <n v="100429"/>
    <n v="2630"/>
    <x v="1"/>
    <x v="0"/>
    <x v="2"/>
    <s v="Headphones"/>
    <x v="65"/>
    <d v="2023-05-05T00:00:00"/>
    <d v="2023-05-11T00:00:00"/>
    <n v="11"/>
    <n v="5"/>
    <n v="13"/>
    <n v="618.80999999999995"/>
    <n v="8044.53"/>
    <n v="7.0000000000000007E-2"/>
    <n v="563.12"/>
    <n v="7481.41"/>
    <n v="5228.9399999999996"/>
    <n v="2252.4699999999998"/>
  </r>
  <r>
    <n v="100430"/>
    <n v="2496"/>
    <x v="3"/>
    <x v="2"/>
    <x v="3"/>
    <s v="Jeans"/>
    <x v="262"/>
    <d v="2023-04-30T00:00:00"/>
    <d v="2023-05-26T00:00:00"/>
    <n v="27"/>
    <n v="1"/>
    <n v="7"/>
    <n v="373.29"/>
    <n v="2613.0300000000002"/>
    <n v="0.06"/>
    <n v="156.78"/>
    <n v="2456.25"/>
    <n v="1724.6"/>
    <n v="731.65"/>
  </r>
  <r>
    <n v="100431"/>
    <n v="2079"/>
    <x v="0"/>
    <x v="2"/>
    <x v="0"/>
    <s v="Sofa"/>
    <x v="150"/>
    <d v="2023-06-07T00:00:00"/>
    <d v="2023-06-10T00:00:00"/>
    <n v="4"/>
    <n v="1"/>
    <n v="7"/>
    <n v="185.18"/>
    <n v="1296.26"/>
    <n v="0.14000000000000001"/>
    <n v="181.48"/>
    <n v="1114.78"/>
    <n v="751.83"/>
    <n v="362.95"/>
  </r>
  <r>
    <n v="100432"/>
    <n v="4175"/>
    <x v="1"/>
    <x v="2"/>
    <x v="1"/>
    <s v="Pasta"/>
    <x v="47"/>
    <d v="2023-10-22T00:00:00"/>
    <d v="2023-11-10T00:00:00"/>
    <n v="22"/>
    <n v="3"/>
    <n v="10"/>
    <n v="245.69"/>
    <n v="2456.9"/>
    <n v="0.1"/>
    <n v="245.69"/>
    <n v="2211.21"/>
    <n v="1302.1600000000001"/>
    <n v="909.05"/>
  </r>
  <r>
    <n v="100433"/>
    <n v="3009"/>
    <x v="0"/>
    <x v="0"/>
    <x v="1"/>
    <s v="Pasta"/>
    <x v="139"/>
    <d v="2023-12-11T00:00:00"/>
    <d v="2023-12-11T00:00:00"/>
    <n v="3"/>
    <n v="3"/>
    <n v="9"/>
    <n v="415.89"/>
    <n v="3743.01"/>
    <n v="0.05"/>
    <n v="187.15"/>
    <n v="3555.86"/>
    <n v="2133.52"/>
    <n v="1422.34"/>
  </r>
  <r>
    <n v="100434"/>
    <n v="4911"/>
    <x v="0"/>
    <x v="0"/>
    <x v="1"/>
    <s v="Pasta"/>
    <x v="263"/>
    <d v="2023-06-27T00:00:00"/>
    <d v="2023-07-04T00:00:00"/>
    <n v="11"/>
    <n v="4"/>
    <n v="14"/>
    <n v="312.25"/>
    <n v="4371.5"/>
    <n v="0.09"/>
    <n v="393.44"/>
    <n v="3978.06"/>
    <n v="2841.48"/>
    <n v="1136.58"/>
  </r>
  <r>
    <n v="100435"/>
    <n v="4183"/>
    <x v="1"/>
    <x v="2"/>
    <x v="1"/>
    <s v="Rice"/>
    <x v="264"/>
    <d v="2023-12-13T00:00:00"/>
    <d v="2023-12-26T00:00:00"/>
    <n v="15"/>
    <n v="2"/>
    <n v="12"/>
    <n v="95.77"/>
    <n v="1149.24"/>
    <n v="0.04"/>
    <n v="45.97"/>
    <n v="1103.27"/>
    <n v="701.04"/>
    <n v="402.23"/>
  </r>
  <r>
    <n v="100436"/>
    <n v="2579"/>
    <x v="0"/>
    <x v="1"/>
    <x v="2"/>
    <s v="Phone"/>
    <x v="102"/>
    <d v="2023-08-08T00:00:00"/>
    <d v="2023-08-11T00:00:00"/>
    <n v="8"/>
    <n v="5"/>
    <n v="9"/>
    <n v="647.77"/>
    <n v="5829.93"/>
    <n v="0.1"/>
    <n v="582.99"/>
    <n v="5246.94"/>
    <n v="3497.96"/>
    <n v="1748.98"/>
  </r>
  <r>
    <n v="100437"/>
    <n v="1574"/>
    <x v="3"/>
    <x v="2"/>
    <x v="0"/>
    <s v="Table"/>
    <x v="112"/>
    <d v="2023-03-31T00:00:00"/>
    <d v="2023-04-13T00:00:00"/>
    <n v="15"/>
    <n v="2"/>
    <n v="5"/>
    <n v="546.87"/>
    <n v="2734.35"/>
    <n v="0.14000000000000001"/>
    <n v="382.81"/>
    <n v="2351.54"/>
    <n v="1832.01"/>
    <n v="519.53"/>
  </r>
  <r>
    <n v="100438"/>
    <n v="2907"/>
    <x v="2"/>
    <x v="1"/>
    <x v="3"/>
    <s v="Shoes"/>
    <x v="265"/>
    <d v="2023-09-06T00:00:00"/>
    <d v="2023-09-16T00:00:00"/>
    <n v="15"/>
    <n v="5"/>
    <n v="13"/>
    <n v="320.63"/>
    <n v="4168.1899999999996"/>
    <n v="0.1"/>
    <n v="416.82"/>
    <n v="3751.37"/>
    <n v="2625.96"/>
    <n v="1125.4100000000001"/>
  </r>
  <r>
    <n v="100439"/>
    <n v="2568"/>
    <x v="1"/>
    <x v="2"/>
    <x v="1"/>
    <s v="Rice"/>
    <x v="166"/>
    <d v="2023-01-15T00:00:00"/>
    <d v="2023-01-28T00:00:00"/>
    <n v="16"/>
    <n v="3"/>
    <n v="8"/>
    <n v="380.01"/>
    <n v="3040.08"/>
    <n v="0.1"/>
    <n v="304.01"/>
    <n v="2736.07"/>
    <n v="1884.85"/>
    <n v="851.22"/>
  </r>
  <r>
    <n v="100440"/>
    <n v="4089"/>
    <x v="2"/>
    <x v="1"/>
    <x v="2"/>
    <s v="Tablet"/>
    <x v="215"/>
    <d v="2023-11-20T00:00:00"/>
    <d v="2023-12-16T00:00:00"/>
    <n v="27"/>
    <n v="1"/>
    <n v="10"/>
    <n v="525.96"/>
    <n v="5259.6"/>
    <n v="0.13"/>
    <n v="683.75"/>
    <n v="4575.8500000000004"/>
    <n v="3629.12"/>
    <n v="946.73"/>
  </r>
  <r>
    <n v="100441"/>
    <n v="4328"/>
    <x v="3"/>
    <x v="0"/>
    <x v="1"/>
    <s v="Rice"/>
    <x v="172"/>
    <d v="2023-04-07T00:00:00"/>
    <d v="2023-04-10T00:00:00"/>
    <n v="6"/>
    <n v="3"/>
    <n v="13"/>
    <n v="394.85"/>
    <n v="5133.05"/>
    <n v="0.09"/>
    <n v="461.97"/>
    <n v="4671.08"/>
    <n v="3439.14"/>
    <n v="1231.94"/>
  </r>
  <r>
    <n v="100442"/>
    <n v="2555"/>
    <x v="3"/>
    <x v="1"/>
    <x v="2"/>
    <s v="Tablet"/>
    <x v="194"/>
    <d v="2023-12-28T00:00:00"/>
    <d v="2024-01-06T00:00:00"/>
    <n v="11"/>
    <n v="2"/>
    <n v="12"/>
    <n v="93.59"/>
    <n v="1123.08"/>
    <n v="0.11"/>
    <n v="123.54"/>
    <n v="999.54"/>
    <n v="651.39"/>
    <n v="348.15"/>
  </r>
  <r>
    <n v="100443"/>
    <n v="1184"/>
    <x v="2"/>
    <x v="2"/>
    <x v="0"/>
    <s v="Lamp"/>
    <x v="134"/>
    <d v="2023-12-30T00:00:00"/>
    <d v="2024-01-08T00:00:00"/>
    <n v="11"/>
    <n v="2"/>
    <n v="3"/>
    <n v="167.73"/>
    <n v="503.19"/>
    <n v="0.04"/>
    <n v="20.13"/>
    <n v="483.06"/>
    <n v="301.91000000000003"/>
    <n v="181.15"/>
  </r>
  <r>
    <n v="100444"/>
    <n v="4177"/>
    <x v="3"/>
    <x v="0"/>
    <x v="2"/>
    <s v="Phone"/>
    <x v="153"/>
    <d v="2023-11-08T00:00:00"/>
    <d v="2023-11-18T00:00:00"/>
    <n v="11"/>
    <n v="1"/>
    <n v="7"/>
    <n v="776.69"/>
    <n v="5436.83"/>
    <n v="0"/>
    <n v="0"/>
    <n v="5436.83"/>
    <n v="3207.73"/>
    <n v="2229.1"/>
  </r>
  <r>
    <n v="100445"/>
    <n v="3273"/>
    <x v="0"/>
    <x v="2"/>
    <x v="2"/>
    <s v="Phone"/>
    <x v="266"/>
    <d v="2023-06-22T00:00:00"/>
    <d v="2023-07-01T00:00:00"/>
    <n v="11"/>
    <n v="2"/>
    <n v="7"/>
    <n v="579.16999999999996"/>
    <n v="4054.19"/>
    <n v="0.11"/>
    <n v="445.96"/>
    <n v="3608.23"/>
    <n v="2473.06"/>
    <n v="1135.17"/>
  </r>
  <r>
    <n v="100446"/>
    <n v="3454"/>
    <x v="2"/>
    <x v="1"/>
    <x v="2"/>
    <s v="Headphones"/>
    <x v="18"/>
    <d v="2023-09-12T00:00:00"/>
    <d v="2023-09-15T00:00:00"/>
    <n v="7"/>
    <n v="4"/>
    <n v="5"/>
    <n v="185.77"/>
    <n v="928.85"/>
    <n v="0.11"/>
    <n v="102.17"/>
    <n v="826.68"/>
    <n v="445.85"/>
    <n v="380.83"/>
  </r>
  <r>
    <n v="100447"/>
    <n v="4272"/>
    <x v="0"/>
    <x v="0"/>
    <x v="3"/>
    <s v="Shoes"/>
    <x v="90"/>
    <d v="2023-06-18T00:00:00"/>
    <d v="2023-07-14T00:00:00"/>
    <n v="28"/>
    <n v="2"/>
    <n v="10"/>
    <n v="175.4"/>
    <n v="1754"/>
    <n v="0.14000000000000001"/>
    <n v="245.56"/>
    <n v="1508.44"/>
    <n v="1087.48"/>
    <n v="420.96"/>
  </r>
  <r>
    <n v="100448"/>
    <n v="1179"/>
    <x v="1"/>
    <x v="2"/>
    <x v="1"/>
    <s v="Rice"/>
    <x v="267"/>
    <d v="2023-04-03T00:00:00"/>
    <d v="2023-04-28T00:00:00"/>
    <n v="27"/>
    <n v="2"/>
    <n v="7"/>
    <n v="617.32000000000005"/>
    <n v="4321.24"/>
    <n v="0.03"/>
    <n v="129.63999999999999"/>
    <n v="4191.6000000000004"/>
    <n v="2722.38"/>
    <n v="1469.22"/>
  </r>
  <r>
    <n v="100449"/>
    <n v="4697"/>
    <x v="2"/>
    <x v="2"/>
    <x v="3"/>
    <s v="Shirt"/>
    <x v="268"/>
    <d v="2023-05-29T00:00:00"/>
    <d v="2023-06-20T00:00:00"/>
    <n v="25"/>
    <n v="3"/>
    <n v="12"/>
    <n v="249.64"/>
    <n v="2995.68"/>
    <n v="0.13"/>
    <n v="389.44"/>
    <n v="2606.2399999999998"/>
    <n v="1857.32"/>
    <n v="748.92"/>
  </r>
  <r>
    <n v="100450"/>
    <n v="1320"/>
    <x v="0"/>
    <x v="0"/>
    <x v="3"/>
    <s v="Jeans"/>
    <x v="165"/>
    <d v="2023-05-27T00:00:00"/>
    <d v="2023-06-24T00:00:00"/>
    <n v="30"/>
    <n v="2"/>
    <n v="1"/>
    <n v="537.65"/>
    <n v="537.65"/>
    <n v="0.01"/>
    <n v="5.38"/>
    <n v="532.27"/>
    <n v="306.45999999999998"/>
    <n v="225.81"/>
  </r>
  <r>
    <n v="100451"/>
    <n v="2648"/>
    <x v="0"/>
    <x v="1"/>
    <x v="0"/>
    <s v="Table"/>
    <x v="43"/>
    <d v="2023-03-14T00:00:00"/>
    <d v="2023-04-06T00:00:00"/>
    <n v="24"/>
    <n v="1"/>
    <n v="3"/>
    <n v="185.9"/>
    <n v="557.70000000000005"/>
    <n v="0.09"/>
    <n v="50.19"/>
    <n v="507.51"/>
    <n v="351.35"/>
    <n v="156.16"/>
  </r>
  <r>
    <n v="100452"/>
    <n v="3108"/>
    <x v="0"/>
    <x v="2"/>
    <x v="0"/>
    <s v="Sofa"/>
    <x v="262"/>
    <d v="2023-04-30T00:00:00"/>
    <d v="2023-05-03T00:00:00"/>
    <n v="4"/>
    <n v="1"/>
    <n v="13"/>
    <n v="109.92"/>
    <n v="1428.96"/>
    <n v="0.05"/>
    <n v="71.45"/>
    <n v="1357.51"/>
    <n v="943.11"/>
    <n v="414.4"/>
  </r>
  <r>
    <n v="100453"/>
    <n v="3927"/>
    <x v="3"/>
    <x v="1"/>
    <x v="2"/>
    <s v="Tablet"/>
    <x v="269"/>
    <d v="2023-03-02T00:00:00"/>
    <d v="2023-03-19T00:00:00"/>
    <n v="21"/>
    <n v="4"/>
    <n v="6"/>
    <n v="492.33"/>
    <n v="2953.98"/>
    <n v="0.15"/>
    <n v="443.1"/>
    <n v="2510.88"/>
    <n v="1890.55"/>
    <n v="620.33000000000004"/>
  </r>
  <r>
    <n v="100454"/>
    <n v="3290"/>
    <x v="3"/>
    <x v="1"/>
    <x v="3"/>
    <s v="Jacket"/>
    <x v="270"/>
    <d v="2023-09-05T00:00:00"/>
    <d v="2023-09-10T00:00:00"/>
    <n v="7"/>
    <n v="2"/>
    <n v="13"/>
    <n v="577.83000000000004"/>
    <n v="7511.79"/>
    <n v="0"/>
    <n v="0"/>
    <n v="7511.79"/>
    <n v="5108.0200000000004"/>
    <n v="2403.77"/>
  </r>
  <r>
    <n v="100455"/>
    <n v="4467"/>
    <x v="1"/>
    <x v="0"/>
    <x v="0"/>
    <s v="Table"/>
    <x v="33"/>
    <d v="2023-09-21T00:00:00"/>
    <d v="2023-09-27T00:00:00"/>
    <n v="9"/>
    <n v="3"/>
    <n v="1"/>
    <n v="116.97"/>
    <n v="116.97"/>
    <n v="0.13"/>
    <n v="15.21"/>
    <n v="101.76"/>
    <n v="61.99"/>
    <n v="39.770000000000003"/>
  </r>
  <r>
    <n v="100456"/>
    <n v="2413"/>
    <x v="2"/>
    <x v="1"/>
    <x v="2"/>
    <s v="Laptop"/>
    <x v="152"/>
    <d v="2023-09-15T00:00:00"/>
    <d v="2023-09-23T00:00:00"/>
    <n v="11"/>
    <n v="3"/>
    <n v="7"/>
    <n v="266.95"/>
    <n v="1868.65"/>
    <n v="0"/>
    <n v="0"/>
    <n v="1868.65"/>
    <n v="1158.56"/>
    <n v="710.09"/>
  </r>
  <r>
    <n v="100457"/>
    <n v="1703"/>
    <x v="3"/>
    <x v="1"/>
    <x v="1"/>
    <s v="Pasta"/>
    <x v="247"/>
    <d v="2023-06-26T00:00:00"/>
    <d v="2023-07-03T00:00:00"/>
    <n v="9"/>
    <n v="2"/>
    <n v="13"/>
    <n v="792.59"/>
    <n v="10303.67"/>
    <n v="0.06"/>
    <n v="618.22"/>
    <n v="9685.4500000000007"/>
    <n v="6800.42"/>
    <n v="2885.03"/>
  </r>
  <r>
    <n v="100458"/>
    <n v="1308"/>
    <x v="1"/>
    <x v="1"/>
    <x v="2"/>
    <s v="Headphones"/>
    <x v="3"/>
    <d v="2023-03-12T00:00:00"/>
    <d v="2023-03-17T00:00:00"/>
    <n v="8"/>
    <n v="3"/>
    <n v="10"/>
    <n v="476.2"/>
    <n v="4762"/>
    <n v="0.06"/>
    <n v="285.72000000000003"/>
    <n v="4476.28"/>
    <n v="3142.92"/>
    <n v="1333.36"/>
  </r>
  <r>
    <n v="100459"/>
    <n v="3539"/>
    <x v="0"/>
    <x v="1"/>
    <x v="3"/>
    <s v="Jacket"/>
    <x v="271"/>
    <d v="2023-08-30T00:00:00"/>
    <d v="2023-09-07T00:00:00"/>
    <n v="9"/>
    <n v="1"/>
    <n v="1"/>
    <n v="428.08"/>
    <n v="428.08"/>
    <n v="0"/>
    <n v="0"/>
    <n v="428.08"/>
    <n v="291.08999999999997"/>
    <n v="136.99"/>
  </r>
  <r>
    <n v="100460"/>
    <n v="3420"/>
    <x v="2"/>
    <x v="1"/>
    <x v="3"/>
    <s v="Jeans"/>
    <x v="84"/>
    <d v="2023-08-07T00:00:00"/>
    <d v="2023-08-18T00:00:00"/>
    <n v="14"/>
    <n v="3"/>
    <n v="14"/>
    <n v="311.14999999999998"/>
    <n v="4356.1000000000004"/>
    <n v="0.1"/>
    <n v="435.61"/>
    <n v="3920.49"/>
    <n v="2570.1"/>
    <n v="1350.39"/>
  </r>
  <r>
    <n v="100461"/>
    <n v="1477"/>
    <x v="0"/>
    <x v="0"/>
    <x v="3"/>
    <s v="Jeans"/>
    <x v="272"/>
    <d v="2023-10-15T00:00:00"/>
    <d v="2023-11-04T00:00:00"/>
    <n v="23"/>
    <n v="3"/>
    <n v="3"/>
    <n v="607.69000000000005"/>
    <n v="1823.07"/>
    <n v="0.12"/>
    <n v="218.77"/>
    <n v="1604.3"/>
    <n v="1203.23"/>
    <n v="401.07"/>
  </r>
  <r>
    <n v="100462"/>
    <n v="2893"/>
    <x v="1"/>
    <x v="2"/>
    <x v="0"/>
    <s v="Lamp"/>
    <x v="273"/>
    <d v="2023-06-26T00:00:00"/>
    <d v="2023-07-15T00:00:00"/>
    <n v="23"/>
    <n v="4"/>
    <n v="2"/>
    <n v="429.26"/>
    <n v="858.52"/>
    <n v="0.18"/>
    <n v="154.53"/>
    <n v="703.99"/>
    <n v="566.62"/>
    <n v="137.37"/>
  </r>
  <r>
    <n v="100463"/>
    <n v="4350"/>
    <x v="2"/>
    <x v="2"/>
    <x v="2"/>
    <s v="Headphones"/>
    <x v="241"/>
    <d v="2023-10-24T00:00:00"/>
    <d v="2023-10-25T00:00:00"/>
    <n v="5"/>
    <n v="4"/>
    <n v="11"/>
    <n v="696.92"/>
    <n v="7666.12"/>
    <n v="0.14000000000000001"/>
    <n v="1073.26"/>
    <n v="6592.86"/>
    <n v="4599.67"/>
    <n v="1993.19"/>
  </r>
  <r>
    <n v="100464"/>
    <n v="4649"/>
    <x v="2"/>
    <x v="2"/>
    <x v="0"/>
    <s v="Sofa"/>
    <x v="258"/>
    <d v="2023-02-06T00:00:00"/>
    <d v="2023-03-01T00:00:00"/>
    <n v="28"/>
    <n v="5"/>
    <n v="2"/>
    <n v="254.76"/>
    <n v="509.52"/>
    <n v="0.14000000000000001"/>
    <n v="71.33"/>
    <n v="438.19"/>
    <n v="280.24"/>
    <n v="157.94999999999999"/>
  </r>
  <r>
    <n v="100465"/>
    <n v="4428"/>
    <x v="2"/>
    <x v="1"/>
    <x v="0"/>
    <s v="Table"/>
    <x v="80"/>
    <d v="2023-11-02T00:00:00"/>
    <d v="2023-11-16T00:00:00"/>
    <n v="15"/>
    <n v="1"/>
    <n v="11"/>
    <n v="341.5"/>
    <n v="3756.5"/>
    <n v="0.03"/>
    <n v="112.7"/>
    <n v="3643.8"/>
    <n v="2216.34"/>
    <n v="1427.46"/>
  </r>
  <r>
    <n v="100466"/>
    <n v="3281"/>
    <x v="1"/>
    <x v="0"/>
    <x v="3"/>
    <s v="Jeans"/>
    <x v="274"/>
    <d v="2023-02-11T00:00:00"/>
    <d v="2023-02-15T00:00:00"/>
    <n v="5"/>
    <n v="1"/>
    <n v="9"/>
    <n v="614.74"/>
    <n v="5532.66"/>
    <n v="0.04"/>
    <n v="221.31"/>
    <n v="5311.35"/>
    <n v="3706.88"/>
    <n v="1604.47"/>
  </r>
  <r>
    <n v="100467"/>
    <n v="3079"/>
    <x v="3"/>
    <x v="0"/>
    <x v="2"/>
    <s v="Phone"/>
    <x v="184"/>
    <d v="2023-05-06T00:00:00"/>
    <d v="2023-05-14T00:00:00"/>
    <n v="11"/>
    <n v="3"/>
    <n v="5"/>
    <n v="32.74"/>
    <n v="163.69999999999999"/>
    <n v="0.09"/>
    <n v="14.73"/>
    <n v="148.97"/>
    <n v="98.22"/>
    <n v="50.75"/>
  </r>
  <r>
    <n v="100468"/>
    <n v="1507"/>
    <x v="2"/>
    <x v="1"/>
    <x v="2"/>
    <s v="Laptop"/>
    <x v="275"/>
    <d v="2023-07-08T00:00:00"/>
    <d v="2023-07-12T00:00:00"/>
    <n v="5"/>
    <n v="1"/>
    <n v="4"/>
    <n v="539.41"/>
    <n v="2157.64"/>
    <n v="0.08"/>
    <n v="172.61"/>
    <n v="1985.03"/>
    <n v="1488.77"/>
    <n v="496.26"/>
  </r>
  <r>
    <n v="100469"/>
    <n v="1646"/>
    <x v="0"/>
    <x v="1"/>
    <x v="2"/>
    <s v="Phone"/>
    <x v="145"/>
    <d v="2023-09-14T00:00:00"/>
    <d v="2023-09-25T00:00:00"/>
    <n v="12"/>
    <n v="1"/>
    <n v="8"/>
    <n v="306.85000000000002"/>
    <n v="2454.8000000000002"/>
    <n v="0.11"/>
    <n v="270.02999999999997"/>
    <n v="2184.77"/>
    <n v="1399.24"/>
    <n v="785.53"/>
  </r>
  <r>
    <n v="100470"/>
    <n v="2780"/>
    <x v="0"/>
    <x v="0"/>
    <x v="3"/>
    <s v="Jeans"/>
    <x v="100"/>
    <d v="2023-11-20T00:00:00"/>
    <d v="2023-11-23T00:00:00"/>
    <n v="6"/>
    <n v="3"/>
    <n v="10"/>
    <n v="236.75"/>
    <n v="2367.5"/>
    <n v="0.1"/>
    <n v="236.75"/>
    <n v="2130.75"/>
    <n v="1396.82"/>
    <n v="733.93"/>
  </r>
  <r>
    <n v="100471"/>
    <n v="2947"/>
    <x v="2"/>
    <x v="1"/>
    <x v="2"/>
    <s v="Tablet"/>
    <x v="238"/>
    <d v="2023-02-03T00:00:00"/>
    <d v="2023-02-13T00:00:00"/>
    <n v="15"/>
    <n v="5"/>
    <n v="12"/>
    <n v="558.41"/>
    <n v="6700.92"/>
    <n v="0.03"/>
    <n v="201.03"/>
    <n v="6499.89"/>
    <n v="4556.63"/>
    <n v="1943.26"/>
  </r>
  <r>
    <n v="100472"/>
    <n v="4297"/>
    <x v="2"/>
    <x v="2"/>
    <x v="3"/>
    <s v="Jeans"/>
    <x v="155"/>
    <d v="2023-01-11T00:00:00"/>
    <d v="2023-01-13T00:00:00"/>
    <n v="5"/>
    <n v="3"/>
    <n v="10"/>
    <n v="493.75"/>
    <n v="4937.5"/>
    <n v="0.08"/>
    <n v="395"/>
    <n v="4542.5"/>
    <n v="2616.88"/>
    <n v="1925.62"/>
  </r>
  <r>
    <n v="100473"/>
    <n v="4212"/>
    <x v="1"/>
    <x v="0"/>
    <x v="0"/>
    <s v="Table"/>
    <x v="83"/>
    <d v="2023-02-17T00:00:00"/>
    <d v="2023-02-19T00:00:00"/>
    <n v="6"/>
    <n v="4"/>
    <n v="11"/>
    <n v="689.83"/>
    <n v="7588.13"/>
    <n v="0.08"/>
    <n v="607.04999999999995"/>
    <n v="6981.08"/>
    <n v="4856.3999999999996"/>
    <n v="2124.6799999999998"/>
  </r>
  <r>
    <n v="100474"/>
    <n v="2908"/>
    <x v="3"/>
    <x v="1"/>
    <x v="3"/>
    <s v="Jacket"/>
    <x v="276"/>
    <d v="2023-12-17T00:00:00"/>
    <d v="2024-01-10T00:00:00"/>
    <n v="28"/>
    <n v="4"/>
    <n v="7"/>
    <n v="254.85"/>
    <n v="1783.95"/>
    <n v="0.01"/>
    <n v="17.84"/>
    <n v="1766.11"/>
    <n v="1106.05"/>
    <n v="660.06"/>
  </r>
  <r>
    <n v="100475"/>
    <n v="3218"/>
    <x v="3"/>
    <x v="0"/>
    <x v="1"/>
    <s v="Beverage"/>
    <x v="195"/>
    <d v="2023-05-17T00:00:00"/>
    <d v="2023-06-07T00:00:00"/>
    <n v="24"/>
    <n v="3"/>
    <n v="1"/>
    <n v="329.38"/>
    <n v="329.38"/>
    <n v="0.11"/>
    <n v="36.229999999999997"/>
    <n v="293.14999999999998"/>
    <n v="167.98"/>
    <n v="125.17"/>
  </r>
  <r>
    <n v="100476"/>
    <n v="3337"/>
    <x v="0"/>
    <x v="0"/>
    <x v="0"/>
    <s v="Lamp"/>
    <x v="71"/>
    <d v="2023-12-01T00:00:00"/>
    <d v="2023-12-13T00:00:00"/>
    <n v="14"/>
    <n v="2"/>
    <n v="12"/>
    <n v="782.71"/>
    <n v="9392.52"/>
    <n v="0.17"/>
    <n v="1596.73"/>
    <n v="7795.79"/>
    <n v="5541.59"/>
    <n v="2254.1999999999998"/>
  </r>
  <r>
    <n v="100477"/>
    <n v="4622"/>
    <x v="3"/>
    <x v="1"/>
    <x v="2"/>
    <s v="Laptop"/>
    <x v="277"/>
    <d v="2023-11-20T00:00:00"/>
    <d v="2023-11-30T00:00:00"/>
    <n v="12"/>
    <n v="2"/>
    <n v="6"/>
    <n v="98.21"/>
    <n v="589.26"/>
    <n v="0.02"/>
    <n v="11.79"/>
    <n v="577.47"/>
    <n v="347.66"/>
    <n v="229.81"/>
  </r>
  <r>
    <n v="100478"/>
    <n v="1570"/>
    <x v="2"/>
    <x v="1"/>
    <x v="0"/>
    <s v="Lamp"/>
    <x v="278"/>
    <d v="2023-08-06T00:00:00"/>
    <d v="2023-08-05T00:00:00"/>
    <n v="3"/>
    <n v="4"/>
    <n v="8"/>
    <n v="308.76"/>
    <n v="2470.08"/>
    <n v="0.08"/>
    <n v="197.61"/>
    <n v="2272.4699999999998"/>
    <n v="1630.25"/>
    <n v="642.22"/>
  </r>
  <r>
    <n v="100479"/>
    <n v="2769"/>
    <x v="0"/>
    <x v="1"/>
    <x v="2"/>
    <s v="Headphones"/>
    <x v="279"/>
    <d v="2023-04-05T00:00:00"/>
    <d v="2023-04-17T00:00:00"/>
    <n v="17"/>
    <n v="5"/>
    <n v="7"/>
    <n v="259.13"/>
    <n v="1813.91"/>
    <n v="0.05"/>
    <n v="90.7"/>
    <n v="1723.21"/>
    <n v="1052.07"/>
    <n v="671.14"/>
  </r>
  <r>
    <n v="100480"/>
    <n v="3418"/>
    <x v="1"/>
    <x v="0"/>
    <x v="0"/>
    <s v="Sofa"/>
    <x v="96"/>
    <d v="2023-07-05T00:00:00"/>
    <d v="2023-07-24T00:00:00"/>
    <n v="24"/>
    <n v="5"/>
    <n v="9"/>
    <n v="304.25"/>
    <n v="2738.25"/>
    <n v="0.15"/>
    <n v="410.74"/>
    <n v="2327.5100000000002"/>
    <n v="1670.33"/>
    <n v="657.18"/>
  </r>
  <r>
    <n v="100481"/>
    <n v="1754"/>
    <x v="2"/>
    <x v="0"/>
    <x v="0"/>
    <s v="Cookware"/>
    <x v="279"/>
    <d v="2023-04-01T00:00:00"/>
    <d v="2023-04-25T00:00:00"/>
    <n v="25"/>
    <n v="1"/>
    <n v="8"/>
    <n v="438.74"/>
    <n v="3509.92"/>
    <n v="7.0000000000000007E-2"/>
    <n v="245.69"/>
    <n v="3264.23"/>
    <n v="2281.4499999999998"/>
    <n v="982.78"/>
  </r>
  <r>
    <n v="100482"/>
    <n v="1983"/>
    <x v="3"/>
    <x v="2"/>
    <x v="0"/>
    <s v="Cookware"/>
    <x v="64"/>
    <d v="2023-01-24T00:00:00"/>
    <d v="2023-02-13T00:00:00"/>
    <n v="22"/>
    <n v="2"/>
    <n v="3"/>
    <n v="371.81"/>
    <n v="1115.43"/>
    <n v="0.01"/>
    <n v="11.15"/>
    <n v="1104.28"/>
    <n v="535.41"/>
    <n v="568.87"/>
  </r>
  <r>
    <n v="100483"/>
    <n v="4938"/>
    <x v="1"/>
    <x v="0"/>
    <x v="2"/>
    <s v="Tablet"/>
    <x v="200"/>
    <d v="2023-04-15T00:00:00"/>
    <d v="2023-05-13T00:00:00"/>
    <n v="30"/>
    <n v="2"/>
    <n v="1"/>
    <n v="684.93"/>
    <n v="684.93"/>
    <n v="0.15"/>
    <n v="102.74"/>
    <n v="582.19000000000005"/>
    <n v="465.75"/>
    <n v="116.44"/>
  </r>
  <r>
    <n v="100484"/>
    <n v="4788"/>
    <x v="1"/>
    <x v="1"/>
    <x v="3"/>
    <s v="Shirt"/>
    <x v="70"/>
    <d v="2023-04-21T00:00:00"/>
    <d v="2023-05-11T00:00:00"/>
    <n v="23"/>
    <n v="3"/>
    <n v="10"/>
    <n v="599.29999999999995"/>
    <n v="5993"/>
    <n v="0.05"/>
    <n v="299.64999999999998"/>
    <n v="5693.35"/>
    <n v="3296.15"/>
    <n v="2397.1999999999998"/>
  </r>
  <r>
    <n v="100485"/>
    <n v="4730"/>
    <x v="1"/>
    <x v="2"/>
    <x v="3"/>
    <s v="Shoes"/>
    <x v="245"/>
    <d v="2023-06-17T00:00:00"/>
    <d v="2023-07-11T00:00:00"/>
    <n v="26"/>
    <n v="2"/>
    <n v="1"/>
    <n v="293.39999999999998"/>
    <n v="293.39999999999998"/>
    <n v="0.04"/>
    <n v="11.74"/>
    <n v="281.66000000000003"/>
    <n v="184.84"/>
    <n v="96.82"/>
  </r>
  <r>
    <n v="100486"/>
    <n v="4261"/>
    <x v="0"/>
    <x v="2"/>
    <x v="3"/>
    <s v="Shoes"/>
    <x v="280"/>
    <d v="2023-10-10T00:00:00"/>
    <d v="2023-11-02T00:00:00"/>
    <n v="24"/>
    <n v="1"/>
    <n v="11"/>
    <n v="487.67"/>
    <n v="5364.37"/>
    <n v="0.12"/>
    <n v="643.72"/>
    <n v="4720.6499999999996"/>
    <n v="3218.62"/>
    <n v="1502.03"/>
  </r>
  <r>
    <n v="100487"/>
    <n v="3553"/>
    <x v="0"/>
    <x v="0"/>
    <x v="2"/>
    <s v="Phone"/>
    <x v="14"/>
    <d v="2023-03-12T00:00:00"/>
    <d v="2023-04-01T00:00:00"/>
    <n v="22"/>
    <n v="2"/>
    <n v="13"/>
    <n v="237.47"/>
    <n v="3087.11"/>
    <n v="0.08"/>
    <n v="246.97"/>
    <n v="2840.14"/>
    <n v="1883.14"/>
    <n v="957"/>
  </r>
  <r>
    <n v="100488"/>
    <n v="4013"/>
    <x v="3"/>
    <x v="1"/>
    <x v="2"/>
    <s v="Tablet"/>
    <x v="259"/>
    <d v="2023-06-04T00:00:00"/>
    <d v="2023-06-06T00:00:00"/>
    <n v="6"/>
    <n v="4"/>
    <n v="9"/>
    <n v="280.66000000000003"/>
    <n v="2525.94"/>
    <n v="0.09"/>
    <n v="227.33"/>
    <n v="2298.61"/>
    <n v="1692.38"/>
    <n v="606.23"/>
  </r>
  <r>
    <n v="100489"/>
    <n v="3978"/>
    <x v="2"/>
    <x v="1"/>
    <x v="0"/>
    <s v="Lamp"/>
    <x v="281"/>
    <d v="2023-02-07T00:00:00"/>
    <d v="2023-02-07T00:00:00"/>
    <n v="5"/>
    <n v="5"/>
    <n v="8"/>
    <n v="775.9"/>
    <n v="6207.2"/>
    <n v="0"/>
    <n v="0"/>
    <n v="6207.2"/>
    <n v="3538.1"/>
    <n v="2669.1"/>
  </r>
  <r>
    <n v="100490"/>
    <n v="1590"/>
    <x v="3"/>
    <x v="2"/>
    <x v="0"/>
    <s v="Table"/>
    <x v="282"/>
    <d v="2023-11-21T00:00:00"/>
    <d v="2023-11-28T00:00:00"/>
    <n v="12"/>
    <n v="5"/>
    <n v="13"/>
    <n v="271.58"/>
    <n v="3530.54"/>
    <n v="7.0000000000000007E-2"/>
    <n v="247.14"/>
    <n v="3283.4"/>
    <n v="2083.02"/>
    <n v="1200.3800000000001"/>
  </r>
  <r>
    <n v="100491"/>
    <n v="3168"/>
    <x v="1"/>
    <x v="1"/>
    <x v="1"/>
    <s v="Rice"/>
    <x v="103"/>
    <d v="2023-08-19T00:00:00"/>
    <d v="2023-08-28T00:00:00"/>
    <n v="13"/>
    <n v="4"/>
    <n v="13"/>
    <n v="187.15"/>
    <n v="2432.9499999999998"/>
    <n v="0.04"/>
    <n v="97.32"/>
    <n v="2335.63"/>
    <n v="1532.76"/>
    <n v="802.87"/>
  </r>
  <r>
    <n v="100492"/>
    <n v="2009"/>
    <x v="2"/>
    <x v="1"/>
    <x v="1"/>
    <s v="Snacks"/>
    <x v="45"/>
    <d v="2023-01-15T00:00:00"/>
    <d v="2023-01-14T00:00:00"/>
    <n v="3"/>
    <n v="4"/>
    <n v="11"/>
    <n v="5.38"/>
    <n v="59.18"/>
    <n v="0.09"/>
    <n v="5.33"/>
    <n v="53.85"/>
    <n v="34.92"/>
    <n v="18.93"/>
  </r>
  <r>
    <n v="100493"/>
    <n v="3505"/>
    <x v="1"/>
    <x v="0"/>
    <x v="2"/>
    <s v="Tablet"/>
    <x v="283"/>
    <d v="2023-12-05T00:00:00"/>
    <d v="2023-12-20T00:00:00"/>
    <n v="20"/>
    <n v="5"/>
    <n v="4"/>
    <n v="395.82"/>
    <n v="1583.28"/>
    <n v="0.18"/>
    <n v="284.99"/>
    <n v="1298.29"/>
    <n v="1044.96"/>
    <n v="253.33"/>
  </r>
  <r>
    <n v="100494"/>
    <n v="4830"/>
    <x v="0"/>
    <x v="0"/>
    <x v="2"/>
    <s v="Tablet"/>
    <x v="211"/>
    <d v="2023-06-14T00:00:00"/>
    <d v="2023-06-26T00:00:00"/>
    <n v="13"/>
    <n v="1"/>
    <n v="12"/>
    <n v="250.41"/>
    <n v="3004.92"/>
    <n v="7.0000000000000007E-2"/>
    <n v="210.34"/>
    <n v="2794.58"/>
    <n v="1802.95"/>
    <n v="991.63"/>
  </r>
  <r>
    <n v="100495"/>
    <n v="3574"/>
    <x v="2"/>
    <x v="1"/>
    <x v="0"/>
    <s v="Lamp"/>
    <x v="32"/>
    <d v="2023-02-10T00:00:00"/>
    <d v="2023-02-14T00:00:00"/>
    <n v="6"/>
    <n v="2"/>
    <n v="6"/>
    <n v="319.42"/>
    <n v="1916.52"/>
    <n v="0.1"/>
    <n v="191.65"/>
    <n v="1724.87"/>
    <n v="1130.75"/>
    <n v="594.12"/>
  </r>
  <r>
    <n v="100496"/>
    <n v="4434"/>
    <x v="0"/>
    <x v="0"/>
    <x v="3"/>
    <s v="Jeans"/>
    <x v="194"/>
    <d v="2023-12-30T00:00:00"/>
    <d v="2024-01-24T00:00:00"/>
    <n v="29"/>
    <n v="4"/>
    <n v="7"/>
    <n v="660.29"/>
    <n v="4622.03"/>
    <n v="0.03"/>
    <n v="138.66"/>
    <n v="4483.37"/>
    <n v="2911.88"/>
    <n v="1571.49"/>
  </r>
  <r>
    <n v="100497"/>
    <n v="4359"/>
    <x v="1"/>
    <x v="2"/>
    <x v="3"/>
    <s v="Jeans"/>
    <x v="27"/>
    <d v="2023-04-26T00:00:00"/>
    <d v="2023-05-16T00:00:00"/>
    <n v="23"/>
    <n v="3"/>
    <n v="13"/>
    <n v="47.85"/>
    <n v="622.04999999999995"/>
    <n v="0.11"/>
    <n v="68.430000000000007"/>
    <n v="553.62"/>
    <n v="391.89"/>
    <n v="161.72999999999999"/>
  </r>
  <r>
    <n v="100498"/>
    <n v="1898"/>
    <x v="0"/>
    <x v="0"/>
    <x v="1"/>
    <s v="Beverage"/>
    <x v="15"/>
    <d v="2023-01-05T00:00:00"/>
    <d v="2023-01-16T00:00:00"/>
    <n v="15"/>
    <n v="4"/>
    <n v="13"/>
    <n v="483.15"/>
    <n v="6280.95"/>
    <n v="0.03"/>
    <n v="188.43"/>
    <n v="6092.52"/>
    <n v="3580.14"/>
    <n v="2512.38"/>
  </r>
  <r>
    <n v="100499"/>
    <n v="1428"/>
    <x v="1"/>
    <x v="0"/>
    <x v="0"/>
    <s v="Table"/>
    <x v="284"/>
    <d v="2023-03-26T00:00:00"/>
    <d v="2023-04-09T00:00:00"/>
    <n v="16"/>
    <n v="2"/>
    <n v="13"/>
    <n v="747.34"/>
    <n v="9715.42"/>
    <n v="7.0000000000000007E-2"/>
    <n v="680.08"/>
    <n v="9035.34"/>
    <n v="6412.18"/>
    <n v="2623.16"/>
  </r>
  <r>
    <n v="100500"/>
    <n v="2129"/>
    <x v="1"/>
    <x v="0"/>
    <x v="0"/>
    <s v="Cookware"/>
    <x v="115"/>
    <d v="2023-09-22T00:00:00"/>
    <d v="2023-10-03T00:00:00"/>
    <n v="13"/>
    <n v="2"/>
    <n v="5"/>
    <n v="799.73"/>
    <n v="3998.65"/>
    <n v="0.08"/>
    <n v="319.89"/>
    <n v="3678.76"/>
    <n v="3078.96"/>
    <n v="599.79999999999995"/>
  </r>
  <r>
    <n v="100501"/>
    <n v="3263"/>
    <x v="3"/>
    <x v="2"/>
    <x v="3"/>
    <s v="Jacket"/>
    <x v="255"/>
    <d v="2023-09-19T00:00:00"/>
    <d v="2023-09-29T00:00:00"/>
    <n v="13"/>
    <n v="3"/>
    <n v="13"/>
    <n v="437.12"/>
    <n v="5682.56"/>
    <n v="7.0000000000000007E-2"/>
    <n v="397.78"/>
    <n v="5284.78"/>
    <n v="3636.84"/>
    <n v="1647.94"/>
  </r>
  <r>
    <n v="100502"/>
    <n v="4692"/>
    <x v="0"/>
    <x v="0"/>
    <x v="0"/>
    <s v="Cookware"/>
    <x v="248"/>
    <d v="2023-01-20T00:00:00"/>
    <d v="2023-01-20T00:00:00"/>
    <n v="5"/>
    <n v="5"/>
    <n v="10"/>
    <n v="10.83"/>
    <n v="108.3"/>
    <n v="0.09"/>
    <n v="9.75"/>
    <n v="98.55"/>
    <n v="63.9"/>
    <n v="34.65"/>
  </r>
  <r>
    <n v="100503"/>
    <n v="4274"/>
    <x v="2"/>
    <x v="0"/>
    <x v="3"/>
    <s v="Jeans"/>
    <x v="247"/>
    <d v="2023-06-25T00:00:00"/>
    <d v="2023-06-28T00:00:00"/>
    <n v="4"/>
    <n v="1"/>
    <n v="14"/>
    <n v="253.48"/>
    <n v="3548.72"/>
    <n v="0.11"/>
    <n v="390.36"/>
    <n v="3158.36"/>
    <n v="2235.69"/>
    <n v="922.67"/>
  </r>
  <r>
    <n v="100504"/>
    <n v="1985"/>
    <x v="2"/>
    <x v="0"/>
    <x v="0"/>
    <s v="Lamp"/>
    <x v="215"/>
    <d v="2023-11-22T00:00:00"/>
    <d v="2023-11-21T00:00:00"/>
    <n v="2"/>
    <n v="3"/>
    <n v="10"/>
    <n v="636.42999999999995"/>
    <n v="6364.3"/>
    <n v="0.08"/>
    <n v="509.14"/>
    <n v="5855.16"/>
    <n v="3627.65"/>
    <n v="2227.5100000000002"/>
  </r>
  <r>
    <n v="100505"/>
    <n v="4650"/>
    <x v="3"/>
    <x v="2"/>
    <x v="2"/>
    <s v="Headphones"/>
    <x v="141"/>
    <d v="2023-10-18T00:00:00"/>
    <d v="2023-11-01T00:00:00"/>
    <n v="17"/>
    <n v="3"/>
    <n v="8"/>
    <n v="281.2"/>
    <n v="2249.6"/>
    <n v="0.08"/>
    <n v="179.97"/>
    <n v="2069.63"/>
    <n v="1417.25"/>
    <n v="652.38"/>
  </r>
  <r>
    <n v="100506"/>
    <n v="4286"/>
    <x v="2"/>
    <x v="1"/>
    <x v="0"/>
    <s v="Table"/>
    <x v="128"/>
    <d v="2023-03-20T00:00:00"/>
    <d v="2023-03-31T00:00:00"/>
    <n v="12"/>
    <n v="1"/>
    <n v="3"/>
    <n v="747.84"/>
    <n v="2243.52"/>
    <n v="0.09"/>
    <n v="201.92"/>
    <n v="2041.6"/>
    <n v="1346.11"/>
    <n v="695.49"/>
  </r>
  <r>
    <n v="100507"/>
    <n v="1812"/>
    <x v="1"/>
    <x v="1"/>
    <x v="0"/>
    <s v="Table"/>
    <x v="97"/>
    <d v="2023-06-23T00:00:00"/>
    <d v="2023-07-08T00:00:00"/>
    <n v="19"/>
    <n v="4"/>
    <n v="7"/>
    <n v="162.69999999999999"/>
    <n v="1138.9000000000001"/>
    <n v="0.1"/>
    <n v="113.89"/>
    <n v="1025.01"/>
    <n v="694.73"/>
    <n v="330.28"/>
  </r>
  <r>
    <n v="100508"/>
    <n v="1106"/>
    <x v="2"/>
    <x v="0"/>
    <x v="1"/>
    <s v="Beverage"/>
    <x v="285"/>
    <d v="2023-06-09T00:00:00"/>
    <d v="2023-06-18T00:00:00"/>
    <n v="14"/>
    <n v="5"/>
    <n v="4"/>
    <n v="199.58"/>
    <n v="798.32"/>
    <n v="0.1"/>
    <n v="79.83"/>
    <n v="718.49"/>
    <n v="494.96"/>
    <n v="223.53"/>
  </r>
  <r>
    <n v="100509"/>
    <n v="2300"/>
    <x v="1"/>
    <x v="1"/>
    <x v="0"/>
    <s v="Cookware"/>
    <x v="5"/>
    <d v="2023-04-19T00:00:00"/>
    <d v="2023-05-08T00:00:00"/>
    <n v="24"/>
    <n v="5"/>
    <n v="10"/>
    <n v="10.39"/>
    <n v="103.9"/>
    <n v="0.03"/>
    <n v="3.12"/>
    <n v="100.78"/>
    <n v="61.3"/>
    <n v="39.479999999999997"/>
  </r>
  <r>
    <n v="100510"/>
    <n v="4606"/>
    <x v="1"/>
    <x v="1"/>
    <x v="0"/>
    <s v="Lamp"/>
    <x v="192"/>
    <d v="2023-10-06T00:00:00"/>
    <d v="2023-10-04T00:00:00"/>
    <n v="2"/>
    <n v="4"/>
    <n v="11"/>
    <n v="558.46"/>
    <n v="6143.06"/>
    <n v="0.06"/>
    <n v="368.58"/>
    <n v="5774.48"/>
    <n v="3685.84"/>
    <n v="2088.64"/>
  </r>
  <r>
    <n v="100511"/>
    <n v="3606"/>
    <x v="3"/>
    <x v="0"/>
    <x v="0"/>
    <s v="Sofa"/>
    <x v="232"/>
    <d v="2023-12-09T00:00:00"/>
    <d v="2023-12-24T00:00:00"/>
    <n v="17"/>
    <n v="2"/>
    <n v="14"/>
    <n v="707.51"/>
    <n v="9905.14"/>
    <n v="0.08"/>
    <n v="792.41"/>
    <n v="9112.73"/>
    <n v="5249.72"/>
    <n v="3863.01"/>
  </r>
  <r>
    <n v="100512"/>
    <n v="3849"/>
    <x v="3"/>
    <x v="0"/>
    <x v="0"/>
    <s v="Table"/>
    <x v="8"/>
    <d v="2023-01-27T00:00:00"/>
    <d v="2023-01-29T00:00:00"/>
    <n v="5"/>
    <n v="3"/>
    <n v="3"/>
    <n v="785.79"/>
    <n v="2357.37"/>
    <n v="0.02"/>
    <n v="47.15"/>
    <n v="2310.2199999999998"/>
    <n v="1320.13"/>
    <n v="990.09"/>
  </r>
  <r>
    <n v="100513"/>
    <n v="2077"/>
    <x v="1"/>
    <x v="1"/>
    <x v="1"/>
    <s v="Beverage"/>
    <x v="26"/>
    <d v="2023-07-07T00:00:00"/>
    <d v="2023-07-21T00:00:00"/>
    <n v="18"/>
    <n v="4"/>
    <n v="13"/>
    <n v="93.07"/>
    <n v="1209.9100000000001"/>
    <n v="0.13"/>
    <n v="157.29"/>
    <n v="1052.6199999999999"/>
    <n v="762.24"/>
    <n v="290.38"/>
  </r>
  <r>
    <n v="100514"/>
    <n v="3028"/>
    <x v="0"/>
    <x v="2"/>
    <x v="0"/>
    <s v="Lamp"/>
    <x v="6"/>
    <d v="2023-12-20T00:00:00"/>
    <d v="2024-01-01T00:00:00"/>
    <n v="17"/>
    <n v="5"/>
    <n v="7"/>
    <n v="43.75"/>
    <n v="306.25"/>
    <n v="0.04"/>
    <n v="12.25"/>
    <n v="294"/>
    <n v="199.06"/>
    <n v="94.94"/>
  </r>
  <r>
    <n v="100515"/>
    <n v="2118"/>
    <x v="0"/>
    <x v="2"/>
    <x v="3"/>
    <s v="Jacket"/>
    <x v="187"/>
    <d v="2023-07-28T00:00:00"/>
    <d v="2023-08-22T00:00:00"/>
    <n v="26"/>
    <n v="1"/>
    <n v="14"/>
    <n v="366.38"/>
    <n v="5129.32"/>
    <n v="0.06"/>
    <n v="307.76"/>
    <n v="4821.5600000000004"/>
    <n v="2975.01"/>
    <n v="1846.55"/>
  </r>
  <r>
    <n v="100516"/>
    <n v="1848"/>
    <x v="1"/>
    <x v="2"/>
    <x v="0"/>
    <s v="Cookware"/>
    <x v="223"/>
    <d v="2023-11-02T00:00:00"/>
    <d v="2023-11-25T00:00:00"/>
    <n v="27"/>
    <n v="4"/>
    <n v="3"/>
    <n v="506.44"/>
    <n v="1519.32"/>
    <n v="0.13"/>
    <n v="197.51"/>
    <n v="1321.81"/>
    <n v="850.82"/>
    <n v="470.99"/>
  </r>
  <r>
    <n v="100517"/>
    <n v="3483"/>
    <x v="0"/>
    <x v="2"/>
    <x v="0"/>
    <s v="Sofa"/>
    <x v="185"/>
    <d v="2023-12-22T00:00:00"/>
    <d v="2024-01-13T00:00:00"/>
    <n v="24"/>
    <n v="2"/>
    <n v="11"/>
    <n v="256.70999999999998"/>
    <n v="2823.81"/>
    <n v="0.01"/>
    <n v="28.24"/>
    <n v="2795.57"/>
    <n v="1750.76"/>
    <n v="1044.81"/>
  </r>
  <r>
    <n v="100518"/>
    <n v="2731"/>
    <x v="3"/>
    <x v="2"/>
    <x v="3"/>
    <s v="Shirt"/>
    <x v="38"/>
    <d v="2023-09-19T00:00:00"/>
    <d v="2023-10-11T00:00:00"/>
    <n v="26"/>
    <n v="4"/>
    <n v="6"/>
    <n v="683.89"/>
    <n v="4103.34"/>
    <n v="0.02"/>
    <n v="82.07"/>
    <n v="4021.27"/>
    <n v="2626.14"/>
    <n v="1395.13"/>
  </r>
  <r>
    <n v="100519"/>
    <n v="2869"/>
    <x v="2"/>
    <x v="0"/>
    <x v="2"/>
    <s v="Headphones"/>
    <x v="286"/>
    <d v="2023-10-13T00:00:00"/>
    <d v="2023-10-20T00:00:00"/>
    <n v="12"/>
    <n v="5"/>
    <n v="2"/>
    <n v="183.56"/>
    <n v="367.12"/>
    <n v="7.0000000000000007E-2"/>
    <n v="25.7"/>
    <n v="341.42"/>
    <n v="238.63"/>
    <n v="102.79"/>
  </r>
  <r>
    <n v="100520"/>
    <n v="1838"/>
    <x v="0"/>
    <x v="0"/>
    <x v="2"/>
    <s v="Phone"/>
    <x v="5"/>
    <d v="2023-04-18T00:00:00"/>
    <d v="2023-04-19T00:00:00"/>
    <n v="5"/>
    <n v="4"/>
    <n v="4"/>
    <n v="244.06"/>
    <n v="976.24"/>
    <n v="0.05"/>
    <n v="48.81"/>
    <n v="927.43"/>
    <n v="615.03"/>
    <n v="312.39999999999998"/>
  </r>
  <r>
    <n v="100521"/>
    <n v="3131"/>
    <x v="1"/>
    <x v="1"/>
    <x v="1"/>
    <s v="Pasta"/>
    <x v="147"/>
    <d v="2023-11-15T00:00:00"/>
    <d v="2023-11-25T00:00:00"/>
    <n v="14"/>
    <n v="4"/>
    <n v="4"/>
    <n v="240.47"/>
    <n v="961.88"/>
    <n v="0"/>
    <n v="0"/>
    <n v="961.88"/>
    <n v="625.22"/>
    <n v="336.66"/>
  </r>
  <r>
    <n v="100522"/>
    <n v="2327"/>
    <x v="2"/>
    <x v="2"/>
    <x v="0"/>
    <s v="Table"/>
    <x v="241"/>
    <d v="2023-10-23T00:00:00"/>
    <d v="2023-10-30T00:00:00"/>
    <n v="10"/>
    <n v="3"/>
    <n v="2"/>
    <n v="685.64"/>
    <n v="1371.28"/>
    <n v="0.21"/>
    <n v="287.97000000000003"/>
    <n v="1083.31"/>
    <n v="726.78"/>
    <n v="356.53"/>
  </r>
  <r>
    <n v="100523"/>
    <n v="1952"/>
    <x v="0"/>
    <x v="2"/>
    <x v="2"/>
    <s v="Tablet"/>
    <x v="11"/>
    <d v="2023-02-14T00:00:00"/>
    <d v="2023-02-26T00:00:00"/>
    <n v="14"/>
    <n v="2"/>
    <n v="5"/>
    <n v="467.28"/>
    <n v="2336.4"/>
    <n v="0.05"/>
    <n v="116.82"/>
    <n v="2219.58"/>
    <n v="1635.48"/>
    <n v="584.1"/>
  </r>
  <r>
    <n v="100524"/>
    <n v="3963"/>
    <x v="2"/>
    <x v="2"/>
    <x v="0"/>
    <s v="Sofa"/>
    <x v="67"/>
    <d v="2023-02-19T00:00:00"/>
    <d v="2023-03-04T00:00:00"/>
    <n v="15"/>
    <n v="2"/>
    <n v="13"/>
    <n v="117.01"/>
    <n v="1521.13"/>
    <n v="0.03"/>
    <n v="45.63"/>
    <n v="1475.5"/>
    <n v="1019.16"/>
    <n v="456.34"/>
  </r>
  <r>
    <n v="100525"/>
    <n v="3136"/>
    <x v="2"/>
    <x v="2"/>
    <x v="2"/>
    <s v="Tablet"/>
    <x v="210"/>
    <d v="2023-12-14T00:00:00"/>
    <d v="2023-12-25T00:00:00"/>
    <n v="16"/>
    <n v="5"/>
    <n v="1"/>
    <n v="570.89"/>
    <n v="570.89"/>
    <n v="7.0000000000000007E-2"/>
    <n v="39.96"/>
    <n v="530.92999999999995"/>
    <n v="348.24"/>
    <n v="182.69"/>
  </r>
  <r>
    <n v="100526"/>
    <n v="3730"/>
    <x v="1"/>
    <x v="2"/>
    <x v="3"/>
    <s v="Shoes"/>
    <x v="236"/>
    <d v="2023-03-27T00:00:00"/>
    <d v="2023-04-13T00:00:00"/>
    <n v="18"/>
    <n v="1"/>
    <n v="12"/>
    <n v="307.7"/>
    <n v="3692.4"/>
    <n v="0"/>
    <n v="0"/>
    <n v="3692.4"/>
    <n v="2510.83"/>
    <n v="1181.57"/>
  </r>
  <r>
    <n v="100527"/>
    <n v="2994"/>
    <x v="1"/>
    <x v="1"/>
    <x v="2"/>
    <s v="Headphones"/>
    <x v="287"/>
    <d v="2023-07-23T00:00:00"/>
    <d v="2023-08-04T00:00:00"/>
    <n v="15"/>
    <n v="3"/>
    <n v="13"/>
    <n v="116.96"/>
    <n v="1520.48"/>
    <n v="7.0000000000000007E-2"/>
    <n v="106.43"/>
    <n v="1414.05"/>
    <n v="866.67"/>
    <n v="547.38"/>
  </r>
  <r>
    <n v="100528"/>
    <n v="3266"/>
    <x v="3"/>
    <x v="1"/>
    <x v="0"/>
    <s v="Sofa"/>
    <x v="35"/>
    <d v="2023-12-11T00:00:00"/>
    <d v="2024-01-02T00:00:00"/>
    <n v="23"/>
    <n v="1"/>
    <n v="10"/>
    <n v="481.54"/>
    <n v="4815.3999999999996"/>
    <n v="0.1"/>
    <n v="481.54"/>
    <n v="4333.8599999999997"/>
    <n v="2985.55"/>
    <n v="1348.31"/>
  </r>
  <r>
    <n v="100529"/>
    <n v="2994"/>
    <x v="1"/>
    <x v="1"/>
    <x v="3"/>
    <s v="Shirt"/>
    <x v="247"/>
    <d v="2023-06-29T00:00:00"/>
    <d v="2023-06-26T00:00:00"/>
    <n v="2"/>
    <n v="5"/>
    <n v="7"/>
    <n v="343.4"/>
    <n v="2403.8000000000002"/>
    <n v="0.12"/>
    <n v="288.45999999999998"/>
    <n v="2115.34"/>
    <n v="1706.7"/>
    <n v="408.64"/>
  </r>
  <r>
    <n v="100530"/>
    <n v="2358"/>
    <x v="1"/>
    <x v="1"/>
    <x v="2"/>
    <s v="Headphones"/>
    <x v="120"/>
    <d v="2023-11-07T00:00:00"/>
    <d v="2023-11-18T00:00:00"/>
    <n v="14"/>
    <n v="3"/>
    <n v="13"/>
    <n v="233.28"/>
    <n v="3032.64"/>
    <n v="0.21"/>
    <n v="636.85"/>
    <n v="2395.79"/>
    <n v="2062.1999999999998"/>
    <n v="333.59"/>
  </r>
  <r>
    <n v="100531"/>
    <n v="3728"/>
    <x v="0"/>
    <x v="0"/>
    <x v="0"/>
    <s v="Cookware"/>
    <x v="149"/>
    <d v="2023-02-01T00:00:00"/>
    <d v="2023-02-09T00:00:00"/>
    <n v="12"/>
    <n v="4"/>
    <n v="13"/>
    <n v="723.4"/>
    <n v="9404.2000000000007"/>
    <n v="0.12"/>
    <n v="1128.5"/>
    <n v="8275.7000000000007"/>
    <n v="5830.6"/>
    <n v="2445.1"/>
  </r>
  <r>
    <n v="100532"/>
    <n v="2078"/>
    <x v="0"/>
    <x v="1"/>
    <x v="1"/>
    <s v="Beverage"/>
    <x v="47"/>
    <d v="2023-10-21T00:00:00"/>
    <d v="2023-11-02T00:00:00"/>
    <n v="14"/>
    <n v="2"/>
    <n v="7"/>
    <n v="634.55999999999995"/>
    <n v="4441.92"/>
    <n v="0.09"/>
    <n v="399.77"/>
    <n v="4042.15"/>
    <n v="3109.34"/>
    <n v="932.81"/>
  </r>
  <r>
    <n v="100533"/>
    <n v="1850"/>
    <x v="0"/>
    <x v="0"/>
    <x v="3"/>
    <s v="Jeans"/>
    <x v="208"/>
    <d v="2023-07-30T00:00:00"/>
    <d v="2023-08-10T00:00:00"/>
    <n v="15"/>
    <n v="4"/>
    <n v="14"/>
    <n v="410.82"/>
    <n v="5751.48"/>
    <n v="0.05"/>
    <n v="287.57"/>
    <n v="5463.91"/>
    <n v="3393.37"/>
    <n v="2070.54"/>
  </r>
  <r>
    <n v="100534"/>
    <n v="4455"/>
    <x v="3"/>
    <x v="0"/>
    <x v="1"/>
    <s v="Snacks"/>
    <x v="259"/>
    <d v="2023-06-05T00:00:00"/>
    <d v="2023-06-18T00:00:00"/>
    <n v="18"/>
    <n v="5"/>
    <n v="2"/>
    <n v="621.69000000000005"/>
    <n v="1243.3800000000001"/>
    <n v="0.04"/>
    <n v="49.74"/>
    <n v="1193.6400000000001"/>
    <n v="746.03"/>
    <n v="447.61"/>
  </r>
  <r>
    <n v="100535"/>
    <n v="3930"/>
    <x v="2"/>
    <x v="0"/>
    <x v="0"/>
    <s v="Lamp"/>
    <x v="133"/>
    <d v="2023-05-01T00:00:00"/>
    <d v="2023-05-26T00:00:00"/>
    <n v="29"/>
    <n v="4"/>
    <n v="5"/>
    <n v="746.09"/>
    <n v="3730.45"/>
    <n v="0.13"/>
    <n v="484.96"/>
    <n v="3245.49"/>
    <n v="2312.88"/>
    <n v="932.61"/>
  </r>
  <r>
    <n v="100536"/>
    <n v="1046"/>
    <x v="0"/>
    <x v="2"/>
    <x v="0"/>
    <s v="Lamp"/>
    <x v="279"/>
    <d v="2023-04-01T00:00:00"/>
    <d v="2023-04-19T00:00:00"/>
    <n v="19"/>
    <n v="1"/>
    <n v="7"/>
    <n v="634.83000000000004"/>
    <n v="4443.8100000000004"/>
    <n v="0.04"/>
    <n v="177.75"/>
    <n v="4266.0600000000004"/>
    <n v="2710.72"/>
    <n v="1555.34"/>
  </r>
  <r>
    <n v="100537"/>
    <n v="3546"/>
    <x v="1"/>
    <x v="0"/>
    <x v="0"/>
    <s v="Sofa"/>
    <x v="130"/>
    <d v="2023-05-01T00:00:00"/>
    <d v="2023-05-15T00:00:00"/>
    <n v="17"/>
    <n v="3"/>
    <n v="7"/>
    <n v="792.7"/>
    <n v="5548.9"/>
    <n v="0.13"/>
    <n v="721.36"/>
    <n v="4827.54"/>
    <n v="2996.41"/>
    <n v="1831.13"/>
  </r>
  <r>
    <n v="100538"/>
    <n v="3307"/>
    <x v="0"/>
    <x v="0"/>
    <x v="0"/>
    <s v="Sofa"/>
    <x v="29"/>
    <d v="2023-07-12T00:00:00"/>
    <d v="2023-08-03T00:00:00"/>
    <n v="25"/>
    <n v="3"/>
    <n v="4"/>
    <n v="303.94"/>
    <n v="1215.76"/>
    <n v="0.11"/>
    <n v="133.72999999999999"/>
    <n v="1082.03"/>
    <n v="729.46"/>
    <n v="352.57"/>
  </r>
  <r>
    <n v="100539"/>
    <n v="4797"/>
    <x v="1"/>
    <x v="0"/>
    <x v="2"/>
    <s v="Tablet"/>
    <x v="280"/>
    <d v="2023-10-14T00:00:00"/>
    <d v="2023-10-18T00:00:00"/>
    <n v="9"/>
    <n v="5"/>
    <n v="4"/>
    <n v="633.39"/>
    <n v="2533.56"/>
    <n v="0.09"/>
    <n v="228.02"/>
    <n v="2305.54"/>
    <n v="1469.46"/>
    <n v="836.08"/>
  </r>
  <r>
    <n v="100540"/>
    <n v="4106"/>
    <x v="1"/>
    <x v="0"/>
    <x v="0"/>
    <s v="Sofa"/>
    <x v="288"/>
    <d v="2023-02-02T00:00:00"/>
    <d v="2023-03-01T00:00:00"/>
    <n v="29"/>
    <n v="2"/>
    <n v="9"/>
    <n v="275.76"/>
    <n v="2481.84"/>
    <n v="0.09"/>
    <n v="223.37"/>
    <n v="2258.4699999999998"/>
    <n v="1414.65"/>
    <n v="843.82"/>
  </r>
  <r>
    <n v="100541"/>
    <n v="1020"/>
    <x v="2"/>
    <x v="2"/>
    <x v="1"/>
    <s v="Rice"/>
    <x v="105"/>
    <d v="2023-04-20T00:00:00"/>
    <d v="2023-05-09T00:00:00"/>
    <n v="22"/>
    <n v="3"/>
    <n v="1"/>
    <n v="278.47000000000003"/>
    <n v="278.47000000000003"/>
    <n v="0.12"/>
    <n v="33.42"/>
    <n v="245.05"/>
    <n v="200.5"/>
    <n v="44.55"/>
  </r>
  <r>
    <n v="100542"/>
    <n v="3669"/>
    <x v="1"/>
    <x v="0"/>
    <x v="3"/>
    <s v="Jeans"/>
    <x v="113"/>
    <d v="2023-03-21T00:00:00"/>
    <d v="2023-03-24T00:00:00"/>
    <n v="6"/>
    <n v="3"/>
    <n v="3"/>
    <n v="230.31"/>
    <n v="690.93"/>
    <n v="7.0000000000000007E-2"/>
    <n v="48.37"/>
    <n v="642.55999999999995"/>
    <n v="449.1"/>
    <n v="193.46"/>
  </r>
  <r>
    <n v="100543"/>
    <n v="3064"/>
    <x v="2"/>
    <x v="1"/>
    <x v="1"/>
    <s v="Snacks"/>
    <x v="35"/>
    <d v="2023-12-11T00:00:00"/>
    <d v="2023-12-19T00:00:00"/>
    <n v="9"/>
    <n v="1"/>
    <n v="13"/>
    <n v="553.21"/>
    <n v="7191.73"/>
    <n v="0.09"/>
    <n v="647.26"/>
    <n v="6544.47"/>
    <n v="4027.37"/>
    <n v="2517.1"/>
  </r>
  <r>
    <n v="100544"/>
    <n v="2130"/>
    <x v="2"/>
    <x v="1"/>
    <x v="3"/>
    <s v="Jeans"/>
    <x v="289"/>
    <d v="2023-12-26T00:00:00"/>
    <d v="2024-01-18T00:00:00"/>
    <n v="24"/>
    <n v="1"/>
    <n v="7"/>
    <n v="243.64"/>
    <n v="1705.48"/>
    <n v="0.02"/>
    <n v="34.11"/>
    <n v="1671.37"/>
    <n v="1006.23"/>
    <n v="665.14"/>
  </r>
  <r>
    <n v="100545"/>
    <n v="3797"/>
    <x v="0"/>
    <x v="1"/>
    <x v="3"/>
    <s v="Shirt"/>
    <x v="290"/>
    <d v="2023-09-11T00:00:00"/>
    <d v="2023-10-05T00:00:00"/>
    <n v="28"/>
    <n v="4"/>
    <n v="1"/>
    <n v="632.88"/>
    <n v="632.88"/>
    <n v="0.05"/>
    <n v="31.64"/>
    <n v="601.24"/>
    <n v="405.04"/>
    <n v="196.2"/>
  </r>
  <r>
    <n v="100546"/>
    <n v="3838"/>
    <x v="0"/>
    <x v="2"/>
    <x v="1"/>
    <s v="Snacks"/>
    <x v="291"/>
    <d v="2023-09-09T00:00:00"/>
    <d v="2023-09-13T00:00:00"/>
    <n v="7"/>
    <n v="3"/>
    <n v="8"/>
    <n v="267.41000000000003"/>
    <n v="2139.2800000000002"/>
    <n v="0.09"/>
    <n v="192.54"/>
    <n v="1946.74"/>
    <n v="1347.75"/>
    <n v="598.99"/>
  </r>
  <r>
    <n v="100547"/>
    <n v="2604"/>
    <x v="1"/>
    <x v="0"/>
    <x v="1"/>
    <s v="Pasta"/>
    <x v="202"/>
    <d v="2023-03-31T00:00:00"/>
    <d v="2023-04-27T00:00:00"/>
    <n v="28"/>
    <n v="1"/>
    <n v="13"/>
    <n v="551.64"/>
    <n v="7171.32"/>
    <n v="0.03"/>
    <n v="215.14"/>
    <n v="6956.18"/>
    <n v="4948.21"/>
    <n v="2007.97"/>
  </r>
  <r>
    <n v="100548"/>
    <n v="3577"/>
    <x v="0"/>
    <x v="2"/>
    <x v="1"/>
    <s v="Rice"/>
    <x v="210"/>
    <d v="2023-12-14T00:00:00"/>
    <d v="2023-12-30T00:00:00"/>
    <n v="21"/>
    <n v="5"/>
    <n v="10"/>
    <n v="99.69"/>
    <n v="996.9"/>
    <n v="0.08"/>
    <n v="79.75"/>
    <n v="917.15"/>
    <n v="677.89"/>
    <n v="239.26"/>
  </r>
  <r>
    <n v="100549"/>
    <n v="2905"/>
    <x v="1"/>
    <x v="2"/>
    <x v="3"/>
    <s v="Jeans"/>
    <x v="292"/>
    <d v="2023-06-07T00:00:00"/>
    <d v="2023-06-26T00:00:00"/>
    <n v="21"/>
    <n v="2"/>
    <n v="10"/>
    <n v="501.09"/>
    <n v="5010.8999999999996"/>
    <n v="7.0000000000000007E-2"/>
    <n v="350.76"/>
    <n v="4660.1400000000003"/>
    <n v="3156.87"/>
    <n v="1503.27"/>
  </r>
  <r>
    <n v="100550"/>
    <n v="2179"/>
    <x v="1"/>
    <x v="1"/>
    <x v="1"/>
    <s v="Pasta"/>
    <x v="293"/>
    <d v="2023-11-04T00:00:00"/>
    <d v="2023-11-16T00:00:00"/>
    <n v="13"/>
    <n v="1"/>
    <n v="10"/>
    <n v="107.54"/>
    <n v="1075.4000000000001"/>
    <n v="0.03"/>
    <n v="32.26"/>
    <n v="1043.1400000000001"/>
    <n v="688.26"/>
    <n v="354.88"/>
  </r>
  <r>
    <n v="100551"/>
    <n v="3463"/>
    <x v="2"/>
    <x v="2"/>
    <x v="2"/>
    <s v="Laptop"/>
    <x v="119"/>
    <d v="2023-12-31T00:00:00"/>
    <d v="2024-01-09T00:00:00"/>
    <n v="10"/>
    <n v="1"/>
    <n v="7"/>
    <n v="92.99"/>
    <n v="650.92999999999995"/>
    <n v="0.11"/>
    <n v="71.599999999999994"/>
    <n v="579.33000000000004"/>
    <n v="403.58"/>
    <n v="175.75"/>
  </r>
  <r>
    <n v="100552"/>
    <n v="3895"/>
    <x v="2"/>
    <x v="0"/>
    <x v="2"/>
    <s v="Headphones"/>
    <x v="107"/>
    <d v="2023-01-20T00:00:00"/>
    <d v="2023-02-08T00:00:00"/>
    <n v="21"/>
    <n v="2"/>
    <n v="3"/>
    <n v="153.66"/>
    <n v="460.98"/>
    <n v="0.15"/>
    <n v="69.150000000000006"/>
    <n v="391.83"/>
    <n v="295.02999999999997"/>
    <n v="96.8"/>
  </r>
  <r>
    <n v="100553"/>
    <n v="2074"/>
    <x v="0"/>
    <x v="0"/>
    <x v="3"/>
    <s v="Jacket"/>
    <x v="294"/>
    <d v="2023-02-23T00:00:00"/>
    <d v="2023-03-22T00:00:00"/>
    <n v="28"/>
    <n v="1"/>
    <n v="5"/>
    <n v="446.9"/>
    <n v="2234.5"/>
    <n v="0.16"/>
    <n v="357.52"/>
    <n v="1876.98"/>
    <n v="1407.74"/>
    <n v="469.24"/>
  </r>
  <r>
    <n v="100554"/>
    <n v="3008"/>
    <x v="0"/>
    <x v="2"/>
    <x v="1"/>
    <s v="Snacks"/>
    <x v="56"/>
    <d v="2023-01-06T00:00:00"/>
    <d v="2023-01-28T00:00:00"/>
    <n v="23"/>
    <n v="1"/>
    <n v="11"/>
    <n v="117.74"/>
    <n v="1295.1400000000001"/>
    <n v="0.02"/>
    <n v="25.9"/>
    <n v="1269.24"/>
    <n v="660.52"/>
    <n v="608.72"/>
  </r>
  <r>
    <n v="100555"/>
    <n v="3728"/>
    <x v="3"/>
    <x v="1"/>
    <x v="0"/>
    <s v="Sofa"/>
    <x v="279"/>
    <d v="2023-04-03T00:00:00"/>
    <d v="2023-04-16T00:00:00"/>
    <n v="16"/>
    <n v="3"/>
    <n v="5"/>
    <n v="729.54"/>
    <n v="3647.7"/>
    <n v="0.1"/>
    <n v="364.77"/>
    <n v="3282.93"/>
    <n v="2188.62"/>
    <n v="1094.31"/>
  </r>
  <r>
    <n v="100556"/>
    <n v="4347"/>
    <x v="3"/>
    <x v="1"/>
    <x v="3"/>
    <s v="Jacket"/>
    <x v="295"/>
    <d v="2023-08-11T00:00:00"/>
    <d v="2023-08-25T00:00:00"/>
    <n v="15"/>
    <n v="1"/>
    <n v="11"/>
    <n v="675.49"/>
    <n v="7430.39"/>
    <n v="0.05"/>
    <n v="371.52"/>
    <n v="7058.87"/>
    <n v="4978.3599999999997"/>
    <n v="2080.5100000000002"/>
  </r>
  <r>
    <n v="100557"/>
    <n v="2271"/>
    <x v="3"/>
    <x v="2"/>
    <x v="1"/>
    <s v="Pasta"/>
    <x v="114"/>
    <d v="2023-12-01T00:00:00"/>
    <d v="2023-12-24T00:00:00"/>
    <n v="26"/>
    <n v="3"/>
    <n v="8"/>
    <n v="624.94000000000005"/>
    <n v="4999.5200000000004"/>
    <n v="0.06"/>
    <n v="299.97000000000003"/>
    <n v="4699.55"/>
    <n v="3149.7"/>
    <n v="1549.85"/>
  </r>
  <r>
    <n v="100558"/>
    <n v="4977"/>
    <x v="1"/>
    <x v="2"/>
    <x v="3"/>
    <s v="Shirt"/>
    <x v="296"/>
    <d v="2023-04-14T00:00:00"/>
    <d v="2023-04-24T00:00:00"/>
    <n v="12"/>
    <n v="2"/>
    <n v="14"/>
    <n v="467.23"/>
    <n v="6541.22"/>
    <n v="0.03"/>
    <n v="196.24"/>
    <n v="6344.98"/>
    <n v="4120.97"/>
    <n v="2224.0100000000002"/>
  </r>
  <r>
    <n v="100559"/>
    <n v="4790"/>
    <x v="1"/>
    <x v="2"/>
    <x v="0"/>
    <s v="Cookware"/>
    <x v="152"/>
    <d v="2023-09-15T00:00:00"/>
    <d v="2023-10-05T00:00:00"/>
    <n v="23"/>
    <n v="3"/>
    <n v="13"/>
    <n v="689.56"/>
    <n v="8964.2800000000007"/>
    <n v="0.13"/>
    <n v="1165.3599999999999"/>
    <n v="7798.92"/>
    <n v="5557.85"/>
    <n v="2241.0700000000002"/>
  </r>
  <r>
    <n v="100560"/>
    <n v="4515"/>
    <x v="1"/>
    <x v="1"/>
    <x v="0"/>
    <s v="Cookware"/>
    <x v="173"/>
    <d v="2023-08-16T00:00:00"/>
    <d v="2023-09-03T00:00:00"/>
    <n v="22"/>
    <n v="4"/>
    <n v="13"/>
    <n v="795.34"/>
    <n v="10339.42"/>
    <n v="0.01"/>
    <n v="103.39"/>
    <n v="10236.030000000001"/>
    <n v="6617.23"/>
    <n v="3618.8"/>
  </r>
  <r>
    <n v="100561"/>
    <n v="2058"/>
    <x v="0"/>
    <x v="1"/>
    <x v="1"/>
    <s v="Pasta"/>
    <x v="297"/>
    <d v="2023-03-01T00:00:00"/>
    <d v="2023-03-07T00:00:00"/>
    <n v="7"/>
    <n v="1"/>
    <n v="9"/>
    <n v="409.03"/>
    <n v="3681.27"/>
    <n v="0.13"/>
    <n v="478.57"/>
    <n v="3202.7"/>
    <n v="2429.64"/>
    <n v="773.06"/>
  </r>
  <r>
    <n v="100562"/>
    <n v="3846"/>
    <x v="0"/>
    <x v="0"/>
    <x v="1"/>
    <s v="Snacks"/>
    <x v="298"/>
    <d v="2023-01-05T00:00:00"/>
    <d v="2023-01-21T00:00:00"/>
    <n v="17"/>
    <n v="1"/>
    <n v="14"/>
    <n v="671.76"/>
    <n v="9404.64"/>
    <n v="0.16"/>
    <n v="1504.74"/>
    <n v="7899.9"/>
    <n v="6771.34"/>
    <n v="1128.56"/>
  </r>
  <r>
    <n v="100563"/>
    <n v="2437"/>
    <x v="0"/>
    <x v="0"/>
    <x v="0"/>
    <s v="Table"/>
    <x v="291"/>
    <d v="2023-09-11T00:00:00"/>
    <d v="2023-09-26T00:00:00"/>
    <n v="20"/>
    <n v="5"/>
    <n v="5"/>
    <n v="396.96"/>
    <n v="1984.8"/>
    <n v="7.0000000000000007E-2"/>
    <n v="138.94"/>
    <n v="1845.86"/>
    <n v="1429.06"/>
    <n v="416.8"/>
  </r>
  <r>
    <n v="100564"/>
    <n v="2494"/>
    <x v="2"/>
    <x v="0"/>
    <x v="2"/>
    <s v="Headphones"/>
    <x v="160"/>
    <d v="2023-08-23T00:00:00"/>
    <d v="2023-09-08T00:00:00"/>
    <n v="19"/>
    <n v="3"/>
    <n v="14"/>
    <n v="788.32"/>
    <n v="11036.48"/>
    <n v="0.02"/>
    <n v="220.73"/>
    <n v="10815.75"/>
    <n v="6952.98"/>
    <n v="3862.77"/>
  </r>
  <r>
    <n v="100565"/>
    <n v="3731"/>
    <x v="1"/>
    <x v="1"/>
    <x v="2"/>
    <s v="Laptop"/>
    <x v="235"/>
    <d v="2023-03-05T00:00:00"/>
    <d v="2023-03-21T00:00:00"/>
    <n v="17"/>
    <n v="1"/>
    <n v="2"/>
    <n v="607.41"/>
    <n v="1214.82"/>
    <n v="0.16"/>
    <n v="194.37"/>
    <n v="1020.45"/>
    <n v="850.37"/>
    <n v="170.08"/>
  </r>
  <r>
    <n v="100566"/>
    <n v="1481"/>
    <x v="0"/>
    <x v="1"/>
    <x v="3"/>
    <s v="Jeans"/>
    <x v="15"/>
    <d v="2023-01-03T00:00:00"/>
    <d v="2023-01-26T00:00:00"/>
    <n v="25"/>
    <n v="2"/>
    <n v="9"/>
    <n v="489.03"/>
    <n v="4401.2700000000004"/>
    <n v="0.09"/>
    <n v="396.11"/>
    <n v="4005.16"/>
    <n v="2904.84"/>
    <n v="1100.32"/>
  </r>
  <r>
    <n v="100567"/>
    <n v="4932"/>
    <x v="1"/>
    <x v="1"/>
    <x v="2"/>
    <s v="Laptop"/>
    <x v="183"/>
    <d v="2024-01-03T00:00:00"/>
    <d v="2024-01-10T00:00:00"/>
    <n v="10"/>
    <n v="3"/>
    <n v="8"/>
    <n v="769.94"/>
    <n v="6159.52"/>
    <n v="0"/>
    <n v="0"/>
    <n v="6159.52"/>
    <n v="3757.31"/>
    <n v="2402.21"/>
  </r>
  <r>
    <n v="100568"/>
    <n v="3252"/>
    <x v="3"/>
    <x v="1"/>
    <x v="1"/>
    <s v="Pasta"/>
    <x v="299"/>
    <d v="2023-05-02T00:00:00"/>
    <d v="2023-05-27T00:00:00"/>
    <n v="26"/>
    <n v="1"/>
    <n v="2"/>
    <n v="747.21"/>
    <n v="1494.42"/>
    <n v="0.04"/>
    <n v="59.78"/>
    <n v="1434.64"/>
    <n v="926.54"/>
    <n v="508.1"/>
  </r>
  <r>
    <n v="100569"/>
    <n v="3006"/>
    <x v="2"/>
    <x v="2"/>
    <x v="3"/>
    <s v="Shirt"/>
    <x v="239"/>
    <d v="2023-03-23T00:00:00"/>
    <d v="2023-04-19T00:00:00"/>
    <n v="29"/>
    <n v="2"/>
    <n v="4"/>
    <n v="589.63"/>
    <n v="2358.52"/>
    <n v="0.13"/>
    <n v="306.61"/>
    <n v="2051.91"/>
    <n v="1415.11"/>
    <n v="636.79999999999995"/>
  </r>
  <r>
    <n v="100570"/>
    <n v="1203"/>
    <x v="3"/>
    <x v="1"/>
    <x v="0"/>
    <s v="Cookware"/>
    <x v="270"/>
    <d v="2023-09-05T00:00:00"/>
    <d v="2023-09-28T00:00:00"/>
    <n v="25"/>
    <n v="2"/>
    <n v="9"/>
    <n v="439.35"/>
    <n v="3954.15"/>
    <n v="0.04"/>
    <n v="158.16999999999999"/>
    <n v="3795.98"/>
    <n v="2056.16"/>
    <n v="1739.82"/>
  </r>
  <r>
    <n v="100571"/>
    <n v="3659"/>
    <x v="2"/>
    <x v="1"/>
    <x v="0"/>
    <s v="Cookware"/>
    <x v="95"/>
    <d v="2023-04-16T00:00:00"/>
    <d v="2023-04-15T00:00:00"/>
    <n v="4"/>
    <n v="5"/>
    <n v="1"/>
    <n v="541.45000000000005"/>
    <n v="541.45000000000005"/>
    <n v="0.12"/>
    <n v="64.97"/>
    <n v="476.48"/>
    <n v="330.28"/>
    <n v="146.19999999999999"/>
  </r>
  <r>
    <n v="100572"/>
    <n v="4107"/>
    <x v="0"/>
    <x v="0"/>
    <x v="3"/>
    <s v="Shoes"/>
    <x v="21"/>
    <d v="2023-02-18T00:00:00"/>
    <d v="2023-03-12T00:00:00"/>
    <n v="26"/>
    <n v="4"/>
    <n v="1"/>
    <n v="197.55"/>
    <n v="197.55"/>
    <n v="0.05"/>
    <n v="9.8800000000000008"/>
    <n v="187.67"/>
    <n v="116.55"/>
    <n v="71.12"/>
  </r>
  <r>
    <n v="100573"/>
    <n v="3437"/>
    <x v="2"/>
    <x v="2"/>
    <x v="1"/>
    <s v="Snacks"/>
    <x v="300"/>
    <d v="2023-05-24T00:00:00"/>
    <d v="2023-05-29T00:00:00"/>
    <n v="7"/>
    <n v="2"/>
    <n v="1"/>
    <n v="170.74"/>
    <n v="170.74"/>
    <n v="0.08"/>
    <n v="13.66"/>
    <n v="157.08000000000001"/>
    <n v="95.61"/>
    <n v="61.47"/>
  </r>
  <r>
    <n v="100574"/>
    <n v="3140"/>
    <x v="3"/>
    <x v="0"/>
    <x v="2"/>
    <s v="Headphones"/>
    <x v="229"/>
    <d v="2023-04-12T00:00:00"/>
    <d v="2023-04-17T00:00:00"/>
    <n v="10"/>
    <n v="5"/>
    <n v="3"/>
    <n v="70.599999999999994"/>
    <n v="211.8"/>
    <n v="7.0000000000000007E-2"/>
    <n v="14.83"/>
    <n v="196.97"/>
    <n v="116.49"/>
    <n v="80.48"/>
  </r>
  <r>
    <n v="100575"/>
    <n v="1301"/>
    <x v="3"/>
    <x v="0"/>
    <x v="0"/>
    <s v="Cookware"/>
    <x v="133"/>
    <d v="2023-04-28T00:00:00"/>
    <d v="2023-05-23T00:00:00"/>
    <n v="26"/>
    <n v="1"/>
    <n v="6"/>
    <n v="645.36"/>
    <n v="3872.16"/>
    <n v="0.13"/>
    <n v="503.38"/>
    <n v="3368.78"/>
    <n v="2594.35"/>
    <n v="774.43"/>
  </r>
  <r>
    <n v="100576"/>
    <n v="3993"/>
    <x v="2"/>
    <x v="2"/>
    <x v="0"/>
    <s v="Sofa"/>
    <x v="301"/>
    <d v="2023-03-01T00:00:00"/>
    <d v="2023-03-14T00:00:00"/>
    <n v="17"/>
    <n v="4"/>
    <n v="1"/>
    <n v="306.12"/>
    <n v="306.12"/>
    <n v="0.05"/>
    <n v="15.31"/>
    <n v="290.81"/>
    <n v="235.71"/>
    <n v="55.1"/>
  </r>
  <r>
    <n v="100577"/>
    <n v="2262"/>
    <x v="2"/>
    <x v="0"/>
    <x v="1"/>
    <s v="Pasta"/>
    <x v="111"/>
    <d v="2023-07-04T00:00:00"/>
    <d v="2023-07-17T00:00:00"/>
    <n v="15"/>
    <n v="2"/>
    <n v="4"/>
    <n v="356.89"/>
    <n v="1427.56"/>
    <n v="0"/>
    <n v="0"/>
    <n v="1427.56"/>
    <n v="813.71"/>
    <n v="613.85"/>
  </r>
  <r>
    <n v="100578"/>
    <n v="3070"/>
    <x v="2"/>
    <x v="1"/>
    <x v="2"/>
    <s v="Tablet"/>
    <x v="114"/>
    <d v="2023-11-29T00:00:00"/>
    <d v="2023-12-06T00:00:00"/>
    <n v="8"/>
    <n v="1"/>
    <n v="2"/>
    <n v="532.89"/>
    <n v="1065.78"/>
    <n v="0.16"/>
    <n v="170.52"/>
    <n v="895.26"/>
    <n v="618.15"/>
    <n v="277.11"/>
  </r>
  <r>
    <n v="100579"/>
    <n v="3370"/>
    <x v="2"/>
    <x v="2"/>
    <x v="2"/>
    <s v="Laptop"/>
    <x v="302"/>
    <d v="2023-08-29T00:00:00"/>
    <d v="2023-09-17T00:00:00"/>
    <n v="24"/>
    <n v="5"/>
    <n v="2"/>
    <n v="33.31"/>
    <n v="66.62"/>
    <n v="0.13"/>
    <n v="8.66"/>
    <n v="57.96"/>
    <n v="34.64"/>
    <n v="23.32"/>
  </r>
  <r>
    <n v="100580"/>
    <n v="1336"/>
    <x v="3"/>
    <x v="1"/>
    <x v="3"/>
    <s v="Shoes"/>
    <x v="303"/>
    <d v="2023-07-18T00:00:00"/>
    <d v="2023-07-22T00:00:00"/>
    <n v="9"/>
    <n v="5"/>
    <n v="2"/>
    <n v="98.24"/>
    <n v="196.48"/>
    <n v="0.08"/>
    <n v="15.72"/>
    <n v="180.76"/>
    <n v="110.03"/>
    <n v="70.73"/>
  </r>
  <r>
    <n v="100581"/>
    <n v="4551"/>
    <x v="1"/>
    <x v="1"/>
    <x v="2"/>
    <s v="Phone"/>
    <x v="135"/>
    <d v="2023-12-21T00:00:00"/>
    <d v="2024-01-18T00:00:00"/>
    <n v="30"/>
    <n v="2"/>
    <n v="12"/>
    <n v="736.7"/>
    <n v="8840.4"/>
    <n v="0"/>
    <n v="0"/>
    <n v="8840.4"/>
    <n v="5746.26"/>
    <n v="3094.14"/>
  </r>
  <r>
    <n v="100582"/>
    <n v="1238"/>
    <x v="1"/>
    <x v="0"/>
    <x v="0"/>
    <s v="Sofa"/>
    <x v="160"/>
    <d v="2023-08-23T00:00:00"/>
    <d v="2023-09-13T00:00:00"/>
    <n v="24"/>
    <n v="3"/>
    <n v="8"/>
    <n v="487.94"/>
    <n v="3903.52"/>
    <n v="0.18"/>
    <n v="702.63"/>
    <n v="3200.89"/>
    <n v="3005.71"/>
    <n v="195.18"/>
  </r>
  <r>
    <n v="100583"/>
    <n v="3222"/>
    <x v="1"/>
    <x v="2"/>
    <x v="3"/>
    <s v="Shirt"/>
    <x v="80"/>
    <d v="2023-11-02T00:00:00"/>
    <d v="2023-11-17T00:00:00"/>
    <n v="16"/>
    <n v="1"/>
    <n v="8"/>
    <n v="40.020000000000003"/>
    <n v="320.16000000000003"/>
    <n v="0.11"/>
    <n v="35.22"/>
    <n v="284.94"/>
    <n v="179.29"/>
    <n v="105.65"/>
  </r>
  <r>
    <n v="100584"/>
    <n v="2907"/>
    <x v="1"/>
    <x v="2"/>
    <x v="2"/>
    <s v="Phone"/>
    <x v="301"/>
    <d v="2023-02-28T00:00:00"/>
    <d v="2023-03-15T00:00:00"/>
    <n v="18"/>
    <n v="3"/>
    <n v="10"/>
    <n v="440.06"/>
    <n v="4400.6000000000004"/>
    <n v="0.09"/>
    <n v="396.05"/>
    <n v="4004.55"/>
    <n v="2596.35"/>
    <n v="1408.2"/>
  </r>
  <r>
    <n v="100585"/>
    <n v="3741"/>
    <x v="0"/>
    <x v="0"/>
    <x v="1"/>
    <s v="Pasta"/>
    <x v="54"/>
    <d v="2023-08-11T00:00:00"/>
    <d v="2023-08-15T00:00:00"/>
    <n v="7"/>
    <n v="3"/>
    <n v="10"/>
    <n v="482.07"/>
    <n v="4820.7"/>
    <n v="0"/>
    <n v="0"/>
    <n v="4820.7"/>
    <n v="3181.66"/>
    <n v="1639.04"/>
  </r>
  <r>
    <n v="100586"/>
    <n v="4253"/>
    <x v="2"/>
    <x v="2"/>
    <x v="1"/>
    <s v="Pasta"/>
    <x v="205"/>
    <d v="2023-04-17T00:00:00"/>
    <d v="2023-04-24T00:00:00"/>
    <n v="9"/>
    <n v="2"/>
    <n v="10"/>
    <n v="208.77"/>
    <n v="2087.6999999999998"/>
    <n v="7.0000000000000007E-2"/>
    <n v="146.13999999999999"/>
    <n v="1941.56"/>
    <n v="1357.01"/>
    <n v="584.54999999999995"/>
  </r>
  <r>
    <n v="100587"/>
    <n v="4306"/>
    <x v="1"/>
    <x v="2"/>
    <x v="3"/>
    <s v="Shoes"/>
    <x v="59"/>
    <d v="2023-10-16T00:00:00"/>
    <d v="2023-11-08T00:00:00"/>
    <n v="25"/>
    <n v="2"/>
    <n v="10"/>
    <n v="616.01"/>
    <n v="6160.1"/>
    <n v="7.0000000000000007E-2"/>
    <n v="431.21"/>
    <n v="5728.89"/>
    <n v="4127.2700000000004"/>
    <n v="1601.62"/>
  </r>
  <r>
    <n v="100588"/>
    <n v="3645"/>
    <x v="0"/>
    <x v="1"/>
    <x v="1"/>
    <s v="Rice"/>
    <x v="99"/>
    <d v="2023-10-15T00:00:00"/>
    <d v="2023-11-05T00:00:00"/>
    <n v="26"/>
    <n v="5"/>
    <n v="2"/>
    <n v="614.58000000000004"/>
    <n v="1229.1600000000001"/>
    <n v="0.09"/>
    <n v="110.62"/>
    <n v="1118.54"/>
    <n v="798.95"/>
    <n v="319.58999999999997"/>
  </r>
  <r>
    <n v="100589"/>
    <n v="2255"/>
    <x v="3"/>
    <x v="0"/>
    <x v="0"/>
    <s v="Cookware"/>
    <x v="163"/>
    <d v="2023-11-02T00:00:00"/>
    <d v="2023-11-19T00:00:00"/>
    <n v="20"/>
    <n v="3"/>
    <n v="1"/>
    <n v="409.84"/>
    <n v="409.84"/>
    <n v="0.12"/>
    <n v="49.18"/>
    <n v="360.66"/>
    <n v="270.49"/>
    <n v="90.17"/>
  </r>
  <r>
    <n v="100590"/>
    <n v="4238"/>
    <x v="0"/>
    <x v="2"/>
    <x v="0"/>
    <s v="Lamp"/>
    <x v="301"/>
    <d v="2023-03-01T00:00:00"/>
    <d v="2023-03-11T00:00:00"/>
    <n v="14"/>
    <n v="4"/>
    <n v="10"/>
    <n v="798.35"/>
    <n v="7983.5"/>
    <n v="0.02"/>
    <n v="159.66999999999999"/>
    <n v="7823.83"/>
    <n v="5029.6099999999997"/>
    <n v="2794.22"/>
  </r>
  <r>
    <n v="100591"/>
    <n v="1300"/>
    <x v="1"/>
    <x v="0"/>
    <x v="0"/>
    <s v="Cookware"/>
    <x v="240"/>
    <d v="2023-02-15T00:00:00"/>
    <d v="2023-02-20T00:00:00"/>
    <n v="9"/>
    <n v="4"/>
    <n v="13"/>
    <n v="293.47000000000003"/>
    <n v="3815.11"/>
    <n v="0.02"/>
    <n v="76.3"/>
    <n v="3738.81"/>
    <n v="2060.16"/>
    <n v="1678.65"/>
  </r>
  <r>
    <n v="100592"/>
    <n v="2892"/>
    <x v="2"/>
    <x v="2"/>
    <x v="0"/>
    <s v="Table"/>
    <x v="153"/>
    <d v="2023-11-12T00:00:00"/>
    <d v="2023-11-23T00:00:00"/>
    <n v="16"/>
    <n v="5"/>
    <n v="9"/>
    <n v="428.21"/>
    <n v="3853.89"/>
    <n v="0.11"/>
    <n v="423.93"/>
    <n v="3429.96"/>
    <n v="2350.87"/>
    <n v="1079.0899999999999"/>
  </r>
  <r>
    <n v="100593"/>
    <n v="2622"/>
    <x v="1"/>
    <x v="0"/>
    <x v="0"/>
    <s v="Cookware"/>
    <x v="99"/>
    <d v="2023-10-13T00:00:00"/>
    <d v="2023-10-30T00:00:00"/>
    <n v="20"/>
    <n v="3"/>
    <n v="11"/>
    <n v="67.88"/>
    <n v="746.68"/>
    <n v="0.1"/>
    <n v="74.67"/>
    <n v="672.01"/>
    <n v="515.21"/>
    <n v="156.80000000000001"/>
  </r>
  <r>
    <n v="100594"/>
    <n v="2301"/>
    <x v="2"/>
    <x v="0"/>
    <x v="3"/>
    <s v="Jeans"/>
    <x v="203"/>
    <d v="2023-04-05T00:00:00"/>
    <d v="2023-04-23T00:00:00"/>
    <n v="21"/>
    <n v="3"/>
    <n v="3"/>
    <n v="145.63"/>
    <n v="436.89"/>
    <n v="0.11"/>
    <n v="48.06"/>
    <n v="388.83"/>
    <n v="288.35000000000002"/>
    <n v="100.48"/>
  </r>
  <r>
    <n v="100595"/>
    <n v="2006"/>
    <x v="3"/>
    <x v="2"/>
    <x v="1"/>
    <s v="Beverage"/>
    <x v="304"/>
    <d v="2023-08-09T00:00:00"/>
    <d v="2023-08-09T00:00:00"/>
    <n v="3"/>
    <n v="3"/>
    <n v="3"/>
    <n v="73.08"/>
    <n v="219.24"/>
    <n v="0.02"/>
    <n v="4.38"/>
    <n v="214.86"/>
    <n v="153.47"/>
    <n v="61.39"/>
  </r>
  <r>
    <n v="100596"/>
    <n v="4922"/>
    <x v="1"/>
    <x v="0"/>
    <x v="0"/>
    <s v="Table"/>
    <x v="52"/>
    <d v="2023-06-04T00:00:00"/>
    <d v="2023-06-08T00:00:00"/>
    <n v="9"/>
    <n v="5"/>
    <n v="6"/>
    <n v="501.31"/>
    <n v="3007.86"/>
    <n v="0.1"/>
    <n v="300.79000000000002"/>
    <n v="2707.07"/>
    <n v="1624.24"/>
    <n v="1082.83"/>
  </r>
  <r>
    <n v="100597"/>
    <n v="1491"/>
    <x v="2"/>
    <x v="0"/>
    <x v="0"/>
    <s v="Lamp"/>
    <x v="305"/>
    <d v="2023-08-29T00:00:00"/>
    <d v="2023-08-29T00:00:00"/>
    <n v="4"/>
    <n v="4"/>
    <n v="13"/>
    <n v="486.45"/>
    <n v="6323.85"/>
    <n v="0.08"/>
    <n v="505.91"/>
    <n v="5817.94"/>
    <n v="3478.12"/>
    <n v="2339.8200000000002"/>
  </r>
  <r>
    <n v="100598"/>
    <n v="1555"/>
    <x v="1"/>
    <x v="2"/>
    <x v="1"/>
    <s v="Pasta"/>
    <x v="306"/>
    <d v="2023-07-26T00:00:00"/>
    <d v="2023-07-31T00:00:00"/>
    <n v="9"/>
    <n v="4"/>
    <n v="9"/>
    <n v="437.15"/>
    <n v="3934.35"/>
    <n v="0.1"/>
    <n v="393.44"/>
    <n v="3540.92"/>
    <n v="2636.01"/>
    <n v="904.91"/>
  </r>
  <r>
    <n v="100599"/>
    <n v="2319"/>
    <x v="1"/>
    <x v="2"/>
    <x v="3"/>
    <s v="Jeans"/>
    <x v="185"/>
    <d v="2023-12-24T00:00:00"/>
    <d v="2024-01-09T00:00:00"/>
    <n v="20"/>
    <n v="4"/>
    <n v="11"/>
    <n v="537.87"/>
    <n v="5916.57"/>
    <n v="0.02"/>
    <n v="118.33"/>
    <n v="5798.24"/>
    <n v="3490.78"/>
    <n v="2307.46"/>
  </r>
  <r>
    <n v="100600"/>
    <n v="3153"/>
    <x v="0"/>
    <x v="0"/>
    <x v="2"/>
    <s v="Tablet"/>
    <x v="209"/>
    <d v="2023-02-10T00:00:00"/>
    <d v="2023-02-10T00:00:00"/>
    <n v="3"/>
    <n v="3"/>
    <n v="4"/>
    <n v="83.71"/>
    <n v="334.84"/>
    <n v="0.12"/>
    <n v="40.18"/>
    <n v="294.66000000000003"/>
    <n v="200.9"/>
    <n v="93.76"/>
  </r>
  <r>
    <n v="100601"/>
    <n v="1626"/>
    <x v="1"/>
    <x v="2"/>
    <x v="3"/>
    <s v="Shirt"/>
    <x v="307"/>
    <d v="2023-10-29T00:00:00"/>
    <d v="2023-11-01T00:00:00"/>
    <n v="4"/>
    <n v="1"/>
    <n v="4"/>
    <n v="8.44"/>
    <n v="33.76"/>
    <n v="0.09"/>
    <n v="3.04"/>
    <n v="30.72"/>
    <n v="22.62"/>
    <n v="8.1"/>
  </r>
  <r>
    <n v="100602"/>
    <n v="2205"/>
    <x v="3"/>
    <x v="0"/>
    <x v="2"/>
    <s v="Tablet"/>
    <x v="228"/>
    <d v="2023-06-28T00:00:00"/>
    <d v="2023-07-05T00:00:00"/>
    <n v="8"/>
    <n v="1"/>
    <n v="8"/>
    <n v="82.39"/>
    <n v="659.12"/>
    <n v="0.09"/>
    <n v="59.32"/>
    <n v="599.79999999999995"/>
    <n v="474.57"/>
    <n v="125.23"/>
  </r>
  <r>
    <n v="100603"/>
    <n v="1077"/>
    <x v="3"/>
    <x v="1"/>
    <x v="1"/>
    <s v="Snacks"/>
    <x v="159"/>
    <d v="2023-08-02T00:00:00"/>
    <d v="2023-08-11T00:00:00"/>
    <n v="12"/>
    <n v="3"/>
    <n v="3"/>
    <n v="486.88"/>
    <n v="1460.64"/>
    <n v="0.1"/>
    <n v="146.06"/>
    <n v="1314.58"/>
    <n v="934.81"/>
    <n v="379.77"/>
  </r>
  <r>
    <n v="100604"/>
    <n v="2413"/>
    <x v="1"/>
    <x v="1"/>
    <x v="2"/>
    <s v="Tablet"/>
    <x v="223"/>
    <d v="2023-11-02T00:00:00"/>
    <d v="2023-11-16T00:00:00"/>
    <n v="18"/>
    <n v="4"/>
    <n v="7"/>
    <n v="349.21"/>
    <n v="2444.4699999999998"/>
    <n v="0.11"/>
    <n v="268.89"/>
    <n v="2175.58"/>
    <n v="1442.24"/>
    <n v="733.34"/>
  </r>
  <r>
    <n v="100605"/>
    <n v="2889"/>
    <x v="2"/>
    <x v="0"/>
    <x v="2"/>
    <s v="Phone"/>
    <x v="225"/>
    <d v="2023-12-05T00:00:00"/>
    <d v="2023-12-22T00:00:00"/>
    <n v="18"/>
    <n v="1"/>
    <n v="11"/>
    <n v="681.65"/>
    <n v="7498.15"/>
    <n v="0.08"/>
    <n v="599.85"/>
    <n v="6898.3"/>
    <n v="3899.04"/>
    <n v="2999.26"/>
  </r>
  <r>
    <n v="100606"/>
    <n v="2297"/>
    <x v="0"/>
    <x v="2"/>
    <x v="1"/>
    <s v="Snacks"/>
    <x v="17"/>
    <d v="2023-11-09T00:00:00"/>
    <d v="2023-11-29T00:00:00"/>
    <n v="21"/>
    <n v="1"/>
    <n v="5"/>
    <n v="557.20000000000005"/>
    <n v="2786"/>
    <n v="0.21"/>
    <n v="585.05999999999995"/>
    <n v="2200.94"/>
    <n v="1504.44"/>
    <n v="696.5"/>
  </r>
  <r>
    <n v="100607"/>
    <n v="3062"/>
    <x v="0"/>
    <x v="0"/>
    <x v="0"/>
    <s v="Sofa"/>
    <x v="308"/>
    <d v="2023-10-03T00:00:00"/>
    <d v="2023-10-09T00:00:00"/>
    <n v="8"/>
    <n v="2"/>
    <n v="1"/>
    <n v="270.25"/>
    <n v="270.25"/>
    <n v="0.14000000000000001"/>
    <n v="37.840000000000003"/>
    <n v="232.42"/>
    <n v="175.66"/>
    <n v="56.76"/>
  </r>
  <r>
    <n v="100608"/>
    <n v="3557"/>
    <x v="0"/>
    <x v="1"/>
    <x v="0"/>
    <s v="Cookware"/>
    <x v="103"/>
    <d v="2023-08-20T00:00:00"/>
    <d v="2023-08-31T00:00:00"/>
    <n v="16"/>
    <n v="5"/>
    <n v="13"/>
    <n v="327.27"/>
    <n v="4254.51"/>
    <n v="0.12"/>
    <n v="510.54"/>
    <n v="3743.97"/>
    <n v="2467.62"/>
    <n v="1276.3499999999999"/>
  </r>
  <r>
    <n v="100609"/>
    <n v="1586"/>
    <x v="3"/>
    <x v="1"/>
    <x v="2"/>
    <s v="Laptop"/>
    <x v="128"/>
    <d v="2023-03-23T00:00:00"/>
    <d v="2023-04-11T00:00:00"/>
    <n v="23"/>
    <n v="4"/>
    <n v="9"/>
    <n v="321.79000000000002"/>
    <n v="2896.11"/>
    <n v="0"/>
    <n v="0"/>
    <n v="2896.11"/>
    <n v="1766.63"/>
    <n v="1129.48"/>
  </r>
  <r>
    <n v="100610"/>
    <n v="4954"/>
    <x v="0"/>
    <x v="1"/>
    <x v="1"/>
    <s v="Pasta"/>
    <x v="235"/>
    <d v="2023-03-06T00:00:00"/>
    <d v="2023-04-02T00:00:00"/>
    <n v="29"/>
    <n v="2"/>
    <n v="7"/>
    <n v="289.42"/>
    <n v="2025.94"/>
    <n v="0.05"/>
    <n v="101.3"/>
    <n v="1924.64"/>
    <n v="1296.5999999999999"/>
    <n v="628.04"/>
  </r>
  <r>
    <n v="100611"/>
    <n v="2319"/>
    <x v="2"/>
    <x v="0"/>
    <x v="0"/>
    <s v="Cookware"/>
    <x v="67"/>
    <d v="2023-02-18T00:00:00"/>
    <d v="2023-03-09T00:00:00"/>
    <n v="20"/>
    <n v="1"/>
    <n v="10"/>
    <n v="183.08"/>
    <n v="1830.8"/>
    <n v="7.0000000000000007E-2"/>
    <n v="128.16"/>
    <n v="1702.64"/>
    <n v="1208.33"/>
    <n v="494.31"/>
  </r>
  <r>
    <n v="100612"/>
    <n v="2611"/>
    <x v="0"/>
    <x v="1"/>
    <x v="0"/>
    <s v="Cookware"/>
    <x v="171"/>
    <d v="2023-03-12T00:00:00"/>
    <d v="2023-03-25T00:00:00"/>
    <n v="14"/>
    <n v="1"/>
    <n v="7"/>
    <n v="425.41"/>
    <n v="2977.87"/>
    <n v="7.0000000000000007E-2"/>
    <n v="208.45"/>
    <n v="2769.42"/>
    <n v="1637.83"/>
    <n v="1131.5899999999999"/>
  </r>
  <r>
    <n v="100613"/>
    <n v="1291"/>
    <x v="0"/>
    <x v="2"/>
    <x v="2"/>
    <s v="Laptop"/>
    <x v="274"/>
    <d v="2023-02-13T00:00:00"/>
    <d v="2023-02-20T00:00:00"/>
    <n v="10"/>
    <n v="3"/>
    <n v="9"/>
    <n v="189.16"/>
    <n v="1702.44"/>
    <n v="0.09"/>
    <n v="153.22"/>
    <n v="1549.22"/>
    <n v="1038.49"/>
    <n v="510.73"/>
  </r>
  <r>
    <n v="100614"/>
    <n v="4720"/>
    <x v="0"/>
    <x v="2"/>
    <x v="0"/>
    <s v="Lamp"/>
    <x v="120"/>
    <d v="2023-11-06T00:00:00"/>
    <d v="2023-11-17T00:00:00"/>
    <n v="13"/>
    <n v="2"/>
    <n v="10"/>
    <n v="548.27"/>
    <n v="5482.7"/>
    <n v="0.09"/>
    <n v="493.44"/>
    <n v="4989.26"/>
    <n v="4002.37"/>
    <n v="986.89"/>
  </r>
  <r>
    <n v="100615"/>
    <n v="3044"/>
    <x v="2"/>
    <x v="0"/>
    <x v="2"/>
    <s v="Headphones"/>
    <x v="309"/>
    <d v="2023-03-12T00:00:00"/>
    <d v="2023-03-16T00:00:00"/>
    <n v="9"/>
    <n v="5"/>
    <n v="7"/>
    <n v="10.93"/>
    <n v="76.510000000000005"/>
    <n v="0.04"/>
    <n v="3.06"/>
    <n v="73.45"/>
    <n v="49.73"/>
    <n v="23.72"/>
  </r>
  <r>
    <n v="100616"/>
    <n v="3157"/>
    <x v="2"/>
    <x v="2"/>
    <x v="1"/>
    <s v="Beverage"/>
    <x v="281"/>
    <d v="2023-02-04T00:00:00"/>
    <d v="2023-02-27T00:00:00"/>
    <n v="25"/>
    <n v="2"/>
    <n v="7"/>
    <n v="764.41"/>
    <n v="5350.87"/>
    <n v="0.16"/>
    <n v="856.14"/>
    <n v="4494.7299999999996"/>
    <n v="3103.5"/>
    <n v="1391.23"/>
  </r>
  <r>
    <n v="100617"/>
    <n v="2611"/>
    <x v="2"/>
    <x v="1"/>
    <x v="2"/>
    <s v="Laptop"/>
    <x v="96"/>
    <d v="2023-07-02T00:00:00"/>
    <d v="2023-07-08T00:00:00"/>
    <n v="8"/>
    <n v="2"/>
    <n v="11"/>
    <n v="518.71"/>
    <n v="5705.81"/>
    <n v="0.06"/>
    <n v="342.35"/>
    <n v="5363.46"/>
    <n v="4108.18"/>
    <n v="1255.28"/>
  </r>
  <r>
    <n v="100618"/>
    <n v="4389"/>
    <x v="3"/>
    <x v="0"/>
    <x v="2"/>
    <s v="Tablet"/>
    <x v="122"/>
    <d v="2023-07-21T00:00:00"/>
    <d v="2023-07-22T00:00:00"/>
    <n v="3"/>
    <n v="2"/>
    <n v="4"/>
    <n v="283.67"/>
    <n v="1134.68"/>
    <n v="0.08"/>
    <n v="90.77"/>
    <n v="1043.9100000000001"/>
    <n v="680.81"/>
    <n v="363.1"/>
  </r>
  <r>
    <n v="100619"/>
    <n v="4859"/>
    <x v="2"/>
    <x v="0"/>
    <x v="2"/>
    <s v="Laptop"/>
    <x v="98"/>
    <d v="2023-02-04T00:00:00"/>
    <d v="2023-02-01T00:00:00"/>
    <n v="2"/>
    <n v="5"/>
    <n v="14"/>
    <n v="280.27"/>
    <n v="3923.78"/>
    <n v="0"/>
    <n v="0"/>
    <n v="3923.78"/>
    <n v="2354.27"/>
    <n v="1569.51"/>
  </r>
  <r>
    <n v="100620"/>
    <n v="3295"/>
    <x v="3"/>
    <x v="0"/>
    <x v="1"/>
    <s v="Pasta"/>
    <x v="113"/>
    <d v="2023-03-19T00:00:00"/>
    <d v="2023-04-07T00:00:00"/>
    <n v="20"/>
    <n v="1"/>
    <n v="11"/>
    <n v="781.72"/>
    <n v="8598.92"/>
    <n v="7.0000000000000007E-2"/>
    <n v="601.91999999999996"/>
    <n v="7997"/>
    <n v="5073.3599999999997"/>
    <n v="2923.64"/>
  </r>
  <r>
    <n v="100621"/>
    <n v="4734"/>
    <x v="2"/>
    <x v="1"/>
    <x v="3"/>
    <s v="Jacket"/>
    <x v="53"/>
    <d v="2023-12-26T00:00:00"/>
    <d v="2024-01-11T00:00:00"/>
    <n v="19"/>
    <n v="3"/>
    <n v="6"/>
    <n v="758.81"/>
    <n v="4552.8599999999997"/>
    <n v="0.1"/>
    <n v="455.29"/>
    <n v="4097.57"/>
    <n v="2959.36"/>
    <n v="1138.21"/>
  </r>
  <r>
    <n v="100622"/>
    <n v="3552"/>
    <x v="1"/>
    <x v="1"/>
    <x v="2"/>
    <s v="Headphones"/>
    <x v="15"/>
    <d v="2023-01-02T00:00:00"/>
    <d v="2023-01-27T00:00:00"/>
    <n v="26"/>
    <n v="1"/>
    <n v="10"/>
    <n v="613.66999999999996"/>
    <n v="6136.7"/>
    <n v="0.04"/>
    <n v="245.47"/>
    <n v="5891.23"/>
    <n v="3743.39"/>
    <n v="2147.84"/>
  </r>
  <r>
    <n v="100623"/>
    <n v="2552"/>
    <x v="2"/>
    <x v="0"/>
    <x v="3"/>
    <s v="Shirt"/>
    <x v="60"/>
    <d v="2023-08-21T00:00:00"/>
    <d v="2023-08-31T00:00:00"/>
    <n v="13"/>
    <n v="3"/>
    <n v="10"/>
    <n v="64.37"/>
    <n v="643.70000000000005"/>
    <n v="0.04"/>
    <n v="25.75"/>
    <n v="617.95000000000005"/>
    <n v="463.46"/>
    <n v="154.49"/>
  </r>
  <r>
    <n v="100624"/>
    <n v="2825"/>
    <x v="3"/>
    <x v="2"/>
    <x v="3"/>
    <s v="Jeans"/>
    <x v="310"/>
    <d v="2023-01-07T00:00:00"/>
    <d v="2023-01-15T00:00:00"/>
    <n v="12"/>
    <n v="4"/>
    <n v="6"/>
    <n v="117.67"/>
    <n v="706.02"/>
    <n v="0.13"/>
    <n v="91.78"/>
    <n v="614.24"/>
    <n v="430.67"/>
    <n v="183.57"/>
  </r>
  <r>
    <n v="100625"/>
    <n v="1212"/>
    <x v="2"/>
    <x v="0"/>
    <x v="2"/>
    <s v="Laptop"/>
    <x v="217"/>
    <d v="2023-11-03T00:00:00"/>
    <d v="2023-11-30T00:00:00"/>
    <n v="30"/>
    <n v="3"/>
    <n v="6"/>
    <n v="102.43"/>
    <n v="614.58000000000004"/>
    <n v="7.0000000000000007E-2"/>
    <n v="43.02"/>
    <n v="571.55999999999995"/>
    <n v="405.62"/>
    <n v="165.94"/>
  </r>
  <r>
    <n v="100626"/>
    <n v="4480"/>
    <x v="2"/>
    <x v="1"/>
    <x v="2"/>
    <s v="Laptop"/>
    <x v="139"/>
    <d v="2023-12-10T00:00:00"/>
    <d v="2023-12-19T00:00:00"/>
    <n v="11"/>
    <n v="2"/>
    <n v="7"/>
    <n v="287.64"/>
    <n v="2013.48"/>
    <n v="0"/>
    <n v="0"/>
    <n v="2013.48"/>
    <n v="1328.9"/>
    <n v="684.58"/>
  </r>
  <r>
    <n v="100627"/>
    <n v="4545"/>
    <x v="1"/>
    <x v="0"/>
    <x v="0"/>
    <s v="Cookware"/>
    <x v="311"/>
    <d v="2023-10-10T00:00:00"/>
    <d v="2023-10-11T00:00:00"/>
    <n v="5"/>
    <n v="4"/>
    <n v="1"/>
    <n v="27.36"/>
    <n v="27.36"/>
    <n v="7.0000000000000007E-2"/>
    <n v="1.92"/>
    <n v="25.44"/>
    <n v="18.329999999999998"/>
    <n v="7.11"/>
  </r>
  <r>
    <n v="100628"/>
    <n v="3291"/>
    <x v="0"/>
    <x v="1"/>
    <x v="3"/>
    <s v="Jacket"/>
    <x v="61"/>
    <d v="2023-11-27T00:00:00"/>
    <d v="2023-12-05T00:00:00"/>
    <n v="9"/>
    <n v="1"/>
    <n v="6"/>
    <n v="500.54"/>
    <n v="3003.24"/>
    <n v="0.12"/>
    <n v="360.39"/>
    <n v="2642.85"/>
    <n v="1892.04"/>
    <n v="750.81"/>
  </r>
  <r>
    <n v="100629"/>
    <n v="3677"/>
    <x v="1"/>
    <x v="1"/>
    <x v="3"/>
    <s v="Jacket"/>
    <x v="210"/>
    <d v="2023-12-11T00:00:00"/>
    <d v="2023-12-21T00:00:00"/>
    <n v="12"/>
    <n v="2"/>
    <n v="9"/>
    <n v="648.38"/>
    <n v="5835.42"/>
    <n v="0.04"/>
    <n v="233.42"/>
    <n v="5602"/>
    <n v="3676.31"/>
    <n v="1925.69"/>
  </r>
  <r>
    <n v="100630"/>
    <n v="3959"/>
    <x v="3"/>
    <x v="1"/>
    <x v="1"/>
    <s v="Pasta"/>
    <x v="65"/>
    <d v="2023-05-02T00:00:00"/>
    <d v="2023-05-21T00:00:00"/>
    <n v="21"/>
    <n v="2"/>
    <n v="13"/>
    <n v="345.47"/>
    <n v="4491.1099999999997"/>
    <n v="0.1"/>
    <n v="449.11"/>
    <n v="4042"/>
    <n v="2919.22"/>
    <n v="1122.78"/>
  </r>
  <r>
    <n v="100631"/>
    <n v="1135"/>
    <x v="2"/>
    <x v="1"/>
    <x v="3"/>
    <s v="Jeans"/>
    <x v="35"/>
    <d v="2023-12-15T00:00:00"/>
    <d v="2023-12-27T00:00:00"/>
    <n v="17"/>
    <n v="5"/>
    <n v="8"/>
    <n v="316.48"/>
    <n v="2531.84"/>
    <n v="0.09"/>
    <n v="227.87"/>
    <n v="2303.9699999999998"/>
    <n v="1519.1"/>
    <n v="784.87"/>
  </r>
  <r>
    <n v="100632"/>
    <n v="1466"/>
    <x v="3"/>
    <x v="1"/>
    <x v="1"/>
    <s v="Beverage"/>
    <x v="294"/>
    <d v="2023-02-26T00:00:00"/>
    <d v="2023-03-11T00:00:00"/>
    <n v="17"/>
    <n v="4"/>
    <n v="3"/>
    <n v="235.49"/>
    <n v="706.47"/>
    <n v="0.09"/>
    <n v="63.58"/>
    <n v="642.89"/>
    <n v="381.49"/>
    <n v="261.39999999999998"/>
  </r>
  <r>
    <n v="100633"/>
    <n v="1570"/>
    <x v="3"/>
    <x v="1"/>
    <x v="0"/>
    <s v="Lamp"/>
    <x v="148"/>
    <d v="2023-09-27T00:00:00"/>
    <d v="2023-10-05T00:00:00"/>
    <n v="11"/>
    <n v="3"/>
    <n v="4"/>
    <n v="111.99"/>
    <n v="447.96"/>
    <n v="0.04"/>
    <n v="17.920000000000002"/>
    <n v="430.04"/>
    <n v="268.77999999999997"/>
    <n v="161.26"/>
  </r>
  <r>
    <n v="100634"/>
    <n v="1547"/>
    <x v="3"/>
    <x v="1"/>
    <x v="2"/>
    <s v="Headphones"/>
    <x v="89"/>
    <d v="2023-05-18T00:00:00"/>
    <d v="2023-05-23T00:00:00"/>
    <n v="6"/>
    <n v="1"/>
    <n v="1"/>
    <n v="545.07000000000005"/>
    <n v="545.07000000000005"/>
    <n v="0.08"/>
    <n v="43.61"/>
    <n v="501.46"/>
    <n v="337.94"/>
    <n v="163.52000000000001"/>
  </r>
  <r>
    <n v="100635"/>
    <n v="3165"/>
    <x v="2"/>
    <x v="1"/>
    <x v="3"/>
    <s v="Shirt"/>
    <x v="114"/>
    <d v="2023-12-02T00:00:00"/>
    <d v="2023-12-17T00:00:00"/>
    <n v="19"/>
    <n v="4"/>
    <n v="9"/>
    <n v="277.31"/>
    <n v="2495.79"/>
    <n v="0.12"/>
    <n v="299.49"/>
    <n v="2196.3000000000002"/>
    <n v="1547.39"/>
    <n v="648.91"/>
  </r>
  <r>
    <n v="100636"/>
    <n v="4236"/>
    <x v="3"/>
    <x v="1"/>
    <x v="2"/>
    <s v="Laptop"/>
    <x v="65"/>
    <d v="2023-05-01T00:00:00"/>
    <d v="2023-05-27T00:00:00"/>
    <n v="27"/>
    <n v="1"/>
    <n v="14"/>
    <n v="287.49"/>
    <n v="4024.86"/>
    <n v="0.1"/>
    <n v="402.49"/>
    <n v="3622.37"/>
    <n v="2495.41"/>
    <n v="1126.96"/>
  </r>
  <r>
    <n v="100637"/>
    <n v="3718"/>
    <x v="3"/>
    <x v="1"/>
    <x v="1"/>
    <s v="Beverage"/>
    <x v="207"/>
    <d v="2023-10-24T00:00:00"/>
    <d v="2023-11-20T00:00:00"/>
    <n v="28"/>
    <n v="1"/>
    <n v="5"/>
    <n v="102.65"/>
    <n v="513.25"/>
    <n v="0.08"/>
    <n v="41.06"/>
    <n v="472.19"/>
    <n v="313.08"/>
    <n v="159.11000000000001"/>
  </r>
  <r>
    <n v="100638"/>
    <n v="2004"/>
    <x v="1"/>
    <x v="0"/>
    <x v="3"/>
    <s v="Jeans"/>
    <x v="24"/>
    <d v="2023-11-14T00:00:00"/>
    <d v="2023-12-05T00:00:00"/>
    <n v="26"/>
    <n v="5"/>
    <n v="14"/>
    <n v="183.61"/>
    <n v="2570.54"/>
    <n v="0.11"/>
    <n v="282.76"/>
    <n v="2287.7800000000002"/>
    <n v="1413.8"/>
    <n v="873.98"/>
  </r>
  <r>
    <n v="100639"/>
    <n v="3653"/>
    <x v="2"/>
    <x v="0"/>
    <x v="3"/>
    <s v="Jeans"/>
    <x v="72"/>
    <d v="2023-11-22T00:00:00"/>
    <d v="2023-11-29T00:00:00"/>
    <n v="9"/>
    <n v="2"/>
    <n v="10"/>
    <n v="690.91"/>
    <n v="6909.1"/>
    <n v="0.11"/>
    <n v="760"/>
    <n v="6149.1"/>
    <n v="3869.1"/>
    <n v="2280"/>
  </r>
  <r>
    <n v="100640"/>
    <n v="1245"/>
    <x v="3"/>
    <x v="0"/>
    <x v="0"/>
    <s v="Lamp"/>
    <x v="312"/>
    <d v="2023-04-28T00:00:00"/>
    <d v="2023-04-29T00:00:00"/>
    <n v="3"/>
    <n v="2"/>
    <n v="11"/>
    <n v="670.9"/>
    <n v="7379.9"/>
    <n v="0.13"/>
    <n v="959.39"/>
    <n v="6420.51"/>
    <n v="4944.53"/>
    <n v="1475.98"/>
  </r>
  <r>
    <n v="100641"/>
    <n v="4731"/>
    <x v="3"/>
    <x v="2"/>
    <x v="2"/>
    <s v="Tablet"/>
    <x v="313"/>
    <d v="2023-11-29T00:00:00"/>
    <d v="2023-12-04T00:00:00"/>
    <n v="10"/>
    <n v="5"/>
    <n v="13"/>
    <n v="126.82"/>
    <n v="1648.66"/>
    <n v="0.17"/>
    <n v="280.27"/>
    <n v="1368.39"/>
    <n v="989.2"/>
    <n v="379.19"/>
  </r>
  <r>
    <n v="100642"/>
    <n v="4341"/>
    <x v="3"/>
    <x v="0"/>
    <x v="2"/>
    <s v="Headphones"/>
    <x v="27"/>
    <d v="2023-04-24T00:00:00"/>
    <d v="2023-05-16T00:00:00"/>
    <n v="23"/>
    <n v="1"/>
    <n v="5"/>
    <n v="334.2"/>
    <n v="1671"/>
    <n v="0.15"/>
    <n v="250.65"/>
    <n v="1420.35"/>
    <n v="969.18"/>
    <n v="451.17"/>
  </r>
  <r>
    <n v="100643"/>
    <n v="2123"/>
    <x v="0"/>
    <x v="1"/>
    <x v="2"/>
    <s v="Headphones"/>
    <x v="68"/>
    <d v="2023-10-02T00:00:00"/>
    <d v="2023-10-28T00:00:00"/>
    <n v="28"/>
    <n v="2"/>
    <n v="11"/>
    <n v="674.74"/>
    <n v="7422.14"/>
    <n v="0.1"/>
    <n v="742.21"/>
    <n v="6679.93"/>
    <n v="4304.84"/>
    <n v="2375.09"/>
  </r>
  <r>
    <n v="100644"/>
    <n v="1819"/>
    <x v="0"/>
    <x v="0"/>
    <x v="3"/>
    <s v="Shoes"/>
    <x v="314"/>
    <d v="2023-03-17T00:00:00"/>
    <d v="2023-03-29T00:00:00"/>
    <n v="17"/>
    <n v="5"/>
    <n v="5"/>
    <n v="133.29"/>
    <n v="666.45"/>
    <n v="0.1"/>
    <n v="66.64"/>
    <n v="599.79999999999995"/>
    <n v="446.52"/>
    <n v="153.28"/>
  </r>
  <r>
    <n v="100645"/>
    <n v="2270"/>
    <x v="2"/>
    <x v="0"/>
    <x v="3"/>
    <s v="Shirt"/>
    <x v="222"/>
    <d v="2023-09-25T00:00:00"/>
    <d v="2023-10-13T00:00:00"/>
    <n v="22"/>
    <n v="4"/>
    <n v="13"/>
    <n v="300.63"/>
    <n v="3908.19"/>
    <n v="0.13"/>
    <n v="508.06"/>
    <n v="3400.13"/>
    <n v="2384"/>
    <n v="1016.13"/>
  </r>
  <r>
    <n v="100646"/>
    <n v="1003"/>
    <x v="0"/>
    <x v="0"/>
    <x v="1"/>
    <s v="Beverage"/>
    <x v="283"/>
    <d v="2023-12-03T00:00:00"/>
    <d v="2023-12-22T00:00:00"/>
    <n v="22"/>
    <n v="3"/>
    <n v="6"/>
    <n v="602.69000000000005"/>
    <n v="3616.14"/>
    <n v="0.1"/>
    <n v="361.61"/>
    <n v="3254.53"/>
    <n v="2242.0100000000002"/>
    <n v="1012.52"/>
  </r>
  <r>
    <n v="100647"/>
    <n v="2611"/>
    <x v="1"/>
    <x v="0"/>
    <x v="0"/>
    <s v="Cookware"/>
    <x v="204"/>
    <d v="2023-01-18T00:00:00"/>
    <d v="2023-01-29T00:00:00"/>
    <n v="12"/>
    <n v="1"/>
    <n v="5"/>
    <n v="716.72"/>
    <n v="3583.6"/>
    <n v="0"/>
    <n v="0"/>
    <n v="3583.6"/>
    <n v="2257.67"/>
    <n v="1325.93"/>
  </r>
  <r>
    <n v="100648"/>
    <n v="3728"/>
    <x v="2"/>
    <x v="0"/>
    <x v="0"/>
    <s v="Lamp"/>
    <x v="42"/>
    <d v="2023-09-11T00:00:00"/>
    <d v="2023-10-01T00:00:00"/>
    <n v="21"/>
    <n v="1"/>
    <n v="9"/>
    <n v="781.4"/>
    <n v="7032.6"/>
    <n v="0.08"/>
    <n v="562.61"/>
    <n v="6469.99"/>
    <n v="4852.49"/>
    <n v="1617.5"/>
  </r>
  <r>
    <n v="100649"/>
    <n v="2912"/>
    <x v="2"/>
    <x v="0"/>
    <x v="2"/>
    <s v="Tablet"/>
    <x v="310"/>
    <d v="2023-01-05T00:00:00"/>
    <d v="2023-01-09T00:00:00"/>
    <n v="6"/>
    <n v="2"/>
    <n v="1"/>
    <n v="179.27"/>
    <n v="179.27"/>
    <n v="0.04"/>
    <n v="7.17"/>
    <n v="172.1"/>
    <n v="105.77"/>
    <n v="66.33"/>
  </r>
  <r>
    <n v="100650"/>
    <n v="4092"/>
    <x v="3"/>
    <x v="0"/>
    <x v="3"/>
    <s v="Shoes"/>
    <x v="194"/>
    <d v="2023-12-31T00:00:00"/>
    <d v="2024-01-25T00:00:00"/>
    <n v="30"/>
    <n v="5"/>
    <n v="10"/>
    <n v="295.17"/>
    <n v="2951.7"/>
    <n v="0.18"/>
    <n v="531.30999999999995"/>
    <n v="2420.39"/>
    <n v="2154.7399999999998"/>
    <n v="265.64999999999998"/>
  </r>
  <r>
    <n v="100651"/>
    <n v="4965"/>
    <x v="0"/>
    <x v="1"/>
    <x v="1"/>
    <s v="Beverage"/>
    <x v="315"/>
    <d v="2023-05-16T00:00:00"/>
    <d v="2023-06-11T00:00:00"/>
    <n v="29"/>
    <n v="3"/>
    <n v="13"/>
    <n v="655.49"/>
    <n v="8521.3700000000008"/>
    <n v="0.12"/>
    <n v="1022.56"/>
    <n v="7498.81"/>
    <n v="5368.46"/>
    <n v="2130.35"/>
  </r>
  <r>
    <n v="100652"/>
    <n v="4501"/>
    <x v="1"/>
    <x v="2"/>
    <x v="1"/>
    <s v="Beverage"/>
    <x v="98"/>
    <d v="2023-02-02T00:00:00"/>
    <d v="2023-02-16T00:00:00"/>
    <n v="17"/>
    <n v="3"/>
    <n v="11"/>
    <n v="544.01"/>
    <n v="5984.11"/>
    <n v="0.08"/>
    <n v="478.73"/>
    <n v="5505.38"/>
    <n v="3889.67"/>
    <n v="1615.71"/>
  </r>
  <r>
    <n v="100653"/>
    <n v="2035"/>
    <x v="0"/>
    <x v="0"/>
    <x v="1"/>
    <s v="Beverage"/>
    <x v="60"/>
    <d v="2023-08-21T00:00:00"/>
    <d v="2023-08-25T00:00:00"/>
    <n v="7"/>
    <n v="3"/>
    <n v="3"/>
    <n v="563.54"/>
    <n v="1690.62"/>
    <n v="0.08"/>
    <n v="135.25"/>
    <n v="1555.37"/>
    <n v="963.65"/>
    <n v="591.72"/>
  </r>
  <r>
    <n v="100654"/>
    <n v="2098"/>
    <x v="3"/>
    <x v="2"/>
    <x v="3"/>
    <s v="Shirt"/>
    <x v="283"/>
    <d v="2023-12-02T00:00:00"/>
    <d v="2023-12-14T00:00:00"/>
    <n v="14"/>
    <n v="2"/>
    <n v="13"/>
    <n v="90.82"/>
    <n v="1180.6600000000001"/>
    <n v="0.04"/>
    <n v="47.23"/>
    <n v="1133.43"/>
    <n v="672.98"/>
    <n v="460.45"/>
  </r>
  <r>
    <n v="100655"/>
    <n v="1068"/>
    <x v="3"/>
    <x v="2"/>
    <x v="0"/>
    <s v="Sofa"/>
    <x v="22"/>
    <d v="2023-07-15T00:00:00"/>
    <d v="2023-08-03T00:00:00"/>
    <n v="23"/>
    <n v="4"/>
    <n v="7"/>
    <n v="92.1"/>
    <n v="644.70000000000005"/>
    <n v="0.18"/>
    <n v="116.05"/>
    <n v="528.65"/>
    <n v="373.93"/>
    <n v="154.72"/>
  </r>
  <r>
    <n v="100656"/>
    <n v="2571"/>
    <x v="0"/>
    <x v="0"/>
    <x v="1"/>
    <s v="Pasta"/>
    <x v="286"/>
    <d v="2023-10-11T00:00:00"/>
    <d v="2023-10-12T00:00:00"/>
    <n v="4"/>
    <n v="3"/>
    <n v="10"/>
    <n v="43.75"/>
    <n v="437.5"/>
    <n v="0.17"/>
    <n v="74.38"/>
    <n v="363.12"/>
    <n v="271.25"/>
    <n v="91.87"/>
  </r>
  <r>
    <n v="100657"/>
    <n v="1358"/>
    <x v="1"/>
    <x v="2"/>
    <x v="3"/>
    <s v="Jacket"/>
    <x v="39"/>
    <d v="2023-07-16T00:00:00"/>
    <d v="2023-08-09T00:00:00"/>
    <n v="28"/>
    <n v="4"/>
    <n v="2"/>
    <n v="321.5"/>
    <n v="643"/>
    <n v="0.04"/>
    <n v="25.72"/>
    <n v="617.28"/>
    <n v="424.38"/>
    <n v="192.9"/>
  </r>
  <r>
    <n v="100658"/>
    <n v="2830"/>
    <x v="1"/>
    <x v="1"/>
    <x v="3"/>
    <s v="Shoes"/>
    <x v="278"/>
    <d v="2023-08-07T00:00:00"/>
    <d v="2023-08-18T00:00:00"/>
    <n v="16"/>
    <n v="5"/>
    <n v="7"/>
    <n v="153.63"/>
    <n v="1075.4100000000001"/>
    <n v="0.11"/>
    <n v="118.3"/>
    <n v="957.11"/>
    <n v="688.26"/>
    <n v="268.85000000000002"/>
  </r>
  <r>
    <n v="100659"/>
    <n v="1260"/>
    <x v="0"/>
    <x v="0"/>
    <x v="2"/>
    <s v="Laptop"/>
    <x v="213"/>
    <d v="2023-12-24T00:00:00"/>
    <d v="2023-12-30T00:00:00"/>
    <n v="8"/>
    <n v="2"/>
    <n v="5"/>
    <n v="376.84"/>
    <n v="1884.2"/>
    <n v="0.12"/>
    <n v="226.1"/>
    <n v="1658.1"/>
    <n v="1149.3599999999999"/>
    <n v="508.74"/>
  </r>
  <r>
    <n v="100660"/>
    <n v="3446"/>
    <x v="3"/>
    <x v="2"/>
    <x v="3"/>
    <s v="Jacket"/>
    <x v="70"/>
    <d v="2023-04-20T00:00:00"/>
    <d v="2023-04-26T00:00:00"/>
    <n v="8"/>
    <n v="2"/>
    <n v="8"/>
    <n v="327.72"/>
    <n v="2621.76"/>
    <n v="7.0000000000000007E-2"/>
    <n v="183.52"/>
    <n v="2438.2399999999998"/>
    <n v="1573.06"/>
    <n v="865.18"/>
  </r>
  <r>
    <n v="100661"/>
    <n v="1529"/>
    <x v="3"/>
    <x v="2"/>
    <x v="3"/>
    <s v="Jacket"/>
    <x v="316"/>
    <d v="2023-09-01T00:00:00"/>
    <d v="2023-09-04T00:00:00"/>
    <n v="7"/>
    <n v="4"/>
    <n v="2"/>
    <n v="574.89"/>
    <n v="1149.78"/>
    <n v="0.12"/>
    <n v="137.97"/>
    <n v="1011.81"/>
    <n v="712.86"/>
    <n v="298.95"/>
  </r>
  <r>
    <n v="100662"/>
    <n v="1477"/>
    <x v="2"/>
    <x v="1"/>
    <x v="2"/>
    <s v="Headphones"/>
    <x v="12"/>
    <d v="2023-08-11T00:00:00"/>
    <d v="2023-08-20T00:00:00"/>
    <n v="13"/>
    <n v="4"/>
    <n v="13"/>
    <n v="718.44"/>
    <n v="9339.7199999999993"/>
    <n v="0.06"/>
    <n v="560.38"/>
    <n v="8779.34"/>
    <n v="6351.01"/>
    <n v="2428.33"/>
  </r>
  <r>
    <n v="100663"/>
    <n v="4124"/>
    <x v="0"/>
    <x v="0"/>
    <x v="1"/>
    <s v="Rice"/>
    <x v="295"/>
    <d v="2023-08-12T00:00:00"/>
    <d v="2023-08-12T00:00:00"/>
    <n v="2"/>
    <n v="2"/>
    <n v="2"/>
    <n v="600.5"/>
    <n v="1201"/>
    <n v="0"/>
    <n v="0"/>
    <n v="1201"/>
    <n v="720.6"/>
    <n v="480.4"/>
  </r>
  <r>
    <n v="100664"/>
    <n v="3383"/>
    <x v="2"/>
    <x v="2"/>
    <x v="1"/>
    <s v="Snacks"/>
    <x v="187"/>
    <d v="2023-08-01T00:00:00"/>
    <d v="2023-08-09T00:00:00"/>
    <n v="13"/>
    <n v="5"/>
    <n v="5"/>
    <n v="604.54"/>
    <n v="3022.7"/>
    <n v="0.14000000000000001"/>
    <n v="423.18"/>
    <n v="2599.52"/>
    <n v="1813.62"/>
    <n v="785.9"/>
  </r>
  <r>
    <n v="100665"/>
    <n v="4646"/>
    <x v="1"/>
    <x v="2"/>
    <x v="3"/>
    <s v="Shoes"/>
    <x v="315"/>
    <d v="2023-05-14T00:00:00"/>
    <d v="2023-06-10T00:00:00"/>
    <n v="28"/>
    <n v="1"/>
    <n v="8"/>
    <n v="640.4"/>
    <n v="5123.2"/>
    <n v="0.04"/>
    <n v="204.93"/>
    <n v="4918.2700000000004"/>
    <n v="2868.99"/>
    <n v="2049.2800000000002"/>
  </r>
  <r>
    <n v="100666"/>
    <n v="3205"/>
    <x v="0"/>
    <x v="1"/>
    <x v="1"/>
    <s v="Snacks"/>
    <x v="52"/>
    <d v="2023-05-31T00:00:00"/>
    <d v="2023-06-05T00:00:00"/>
    <n v="6"/>
    <n v="1"/>
    <n v="1"/>
    <n v="359.84"/>
    <n v="359.84"/>
    <n v="0.1"/>
    <n v="35.979999999999997"/>
    <n v="323.86"/>
    <n v="223.1"/>
    <n v="100.76"/>
  </r>
  <r>
    <n v="100667"/>
    <n v="3960"/>
    <x v="3"/>
    <x v="1"/>
    <x v="2"/>
    <s v="Phone"/>
    <x v="199"/>
    <d v="2023-08-30T00:00:00"/>
    <d v="2023-09-21T00:00:00"/>
    <n v="25"/>
    <n v="3"/>
    <n v="9"/>
    <n v="787.57"/>
    <n v="7088.13"/>
    <n v="0.13"/>
    <n v="921.46"/>
    <n v="6166.67"/>
    <n v="5103.45"/>
    <n v="1063.22"/>
  </r>
  <r>
    <n v="100668"/>
    <n v="4023"/>
    <x v="0"/>
    <x v="0"/>
    <x v="2"/>
    <s v="Laptop"/>
    <x v="292"/>
    <d v="2023-06-09T00:00:00"/>
    <d v="2023-06-18T00:00:00"/>
    <n v="13"/>
    <n v="4"/>
    <n v="10"/>
    <n v="263.07"/>
    <n v="2630.7"/>
    <n v="0.02"/>
    <n v="52.61"/>
    <n v="2578.09"/>
    <n v="1525.81"/>
    <n v="1052.28"/>
  </r>
  <r>
    <n v="100669"/>
    <n v="1320"/>
    <x v="0"/>
    <x v="1"/>
    <x v="1"/>
    <s v="Pasta"/>
    <x v="117"/>
    <d v="2023-03-30T00:00:00"/>
    <d v="2023-04-12T00:00:00"/>
    <n v="16"/>
    <n v="3"/>
    <n v="14"/>
    <n v="243.87"/>
    <n v="3414.18"/>
    <n v="0.11"/>
    <n v="375.56"/>
    <n v="3038.62"/>
    <n v="2253.36"/>
    <n v="785.26"/>
  </r>
  <r>
    <n v="100670"/>
    <n v="3555"/>
    <x v="0"/>
    <x v="0"/>
    <x v="1"/>
    <s v="Beverage"/>
    <x v="280"/>
    <d v="2023-10-12T00:00:00"/>
    <d v="2023-10-18T00:00:00"/>
    <n v="9"/>
    <n v="3"/>
    <n v="8"/>
    <n v="271.36"/>
    <n v="2170.88"/>
    <n v="0.08"/>
    <n v="173.67"/>
    <n v="1997.21"/>
    <n v="1302.53"/>
    <n v="694.68"/>
  </r>
  <r>
    <n v="100671"/>
    <n v="3834"/>
    <x v="2"/>
    <x v="1"/>
    <x v="1"/>
    <s v="Rice"/>
    <x v="108"/>
    <d v="2023-01-07T00:00:00"/>
    <d v="2023-01-25T00:00:00"/>
    <n v="19"/>
    <n v="1"/>
    <n v="11"/>
    <n v="279.39999999999998"/>
    <n v="3073.4"/>
    <n v="0.01"/>
    <n v="30.73"/>
    <n v="3042.67"/>
    <n v="2059.1799999999998"/>
    <n v="983.49"/>
  </r>
  <r>
    <n v="100672"/>
    <n v="1382"/>
    <x v="2"/>
    <x v="0"/>
    <x v="3"/>
    <s v="Jacket"/>
    <x v="263"/>
    <d v="2023-06-27T00:00:00"/>
    <d v="2023-07-11T00:00:00"/>
    <n v="18"/>
    <n v="4"/>
    <n v="2"/>
    <n v="722.61"/>
    <n v="1445.22"/>
    <n v="0.12"/>
    <n v="173.43"/>
    <n v="1271.79"/>
    <n v="838.23"/>
    <n v="433.56"/>
  </r>
  <r>
    <n v="100673"/>
    <n v="3832"/>
    <x v="1"/>
    <x v="2"/>
    <x v="2"/>
    <s v="Laptop"/>
    <x v="308"/>
    <d v="2023-10-06T00:00:00"/>
    <d v="2023-10-19T00:00:00"/>
    <n v="18"/>
    <n v="5"/>
    <n v="10"/>
    <n v="598.37"/>
    <n v="5983.7"/>
    <n v="0.14000000000000001"/>
    <n v="837.72"/>
    <n v="5145.9799999999996"/>
    <n v="3231.2"/>
    <n v="1914.78"/>
  </r>
  <r>
    <n v="100674"/>
    <n v="2774"/>
    <x v="3"/>
    <x v="1"/>
    <x v="3"/>
    <s v="Jacket"/>
    <x v="253"/>
    <d v="2023-12-01T00:00:00"/>
    <d v="2023-12-19T00:00:00"/>
    <n v="22"/>
    <n v="4"/>
    <n v="11"/>
    <n v="743.65"/>
    <n v="8180.15"/>
    <n v="0.12"/>
    <n v="981.62"/>
    <n v="7198.53"/>
    <n v="5398.9"/>
    <n v="1799.63"/>
  </r>
  <r>
    <n v="100675"/>
    <n v="1193"/>
    <x v="0"/>
    <x v="2"/>
    <x v="0"/>
    <s v="Table"/>
    <x v="207"/>
    <d v="2023-10-24T00:00:00"/>
    <d v="2023-11-16T00:00:00"/>
    <n v="24"/>
    <n v="1"/>
    <n v="10"/>
    <n v="546.16999999999996"/>
    <n v="5461.7"/>
    <n v="0.08"/>
    <n v="436.94"/>
    <n v="5024.76"/>
    <n v="3331.64"/>
    <n v="1693.12"/>
  </r>
  <r>
    <n v="100676"/>
    <n v="1604"/>
    <x v="0"/>
    <x v="0"/>
    <x v="0"/>
    <s v="Cookware"/>
    <x v="49"/>
    <d v="2023-06-02T00:00:00"/>
    <d v="2023-07-01T00:00:00"/>
    <n v="30"/>
    <n v="1"/>
    <n v="13"/>
    <n v="113.9"/>
    <n v="1480.7"/>
    <n v="0.12"/>
    <n v="177.68"/>
    <n v="1303.02"/>
    <n v="873.61"/>
    <n v="429.41"/>
  </r>
  <r>
    <n v="100677"/>
    <n v="2978"/>
    <x v="1"/>
    <x v="1"/>
    <x v="2"/>
    <s v="Phone"/>
    <x v="233"/>
    <d v="2023-07-16T00:00:00"/>
    <d v="2023-07-22T00:00:00"/>
    <n v="8"/>
    <n v="2"/>
    <n v="2"/>
    <n v="269.94"/>
    <n v="539.88"/>
    <n v="0.09"/>
    <n v="48.59"/>
    <n v="491.29"/>
    <n v="318.52999999999997"/>
    <n v="172.76"/>
  </r>
  <r>
    <n v="100678"/>
    <n v="3740"/>
    <x v="2"/>
    <x v="2"/>
    <x v="2"/>
    <s v="Phone"/>
    <x v="71"/>
    <d v="2023-12-02T00:00:00"/>
    <d v="2023-12-22T00:00:00"/>
    <n v="23"/>
    <n v="3"/>
    <n v="1"/>
    <n v="261.24"/>
    <n v="261.24"/>
    <n v="0.02"/>
    <n v="5.22"/>
    <n v="256.02"/>
    <n v="167.19"/>
    <n v="88.83"/>
  </r>
  <r>
    <n v="100679"/>
    <n v="4694"/>
    <x v="0"/>
    <x v="0"/>
    <x v="1"/>
    <s v="Rice"/>
    <x v="294"/>
    <d v="2023-02-25T00:00:00"/>
    <d v="2023-02-27T00:00:00"/>
    <n v="5"/>
    <n v="3"/>
    <n v="3"/>
    <n v="584.07000000000005"/>
    <n v="1752.21"/>
    <n v="0.01"/>
    <n v="17.52"/>
    <n v="1734.69"/>
    <n v="1103.8900000000001"/>
    <n v="630.79999999999995"/>
  </r>
  <r>
    <n v="100680"/>
    <n v="4846"/>
    <x v="2"/>
    <x v="1"/>
    <x v="2"/>
    <s v="Tablet"/>
    <x v="286"/>
    <d v="2023-10-13T00:00:00"/>
    <d v="2023-10-30T00:00:00"/>
    <n v="22"/>
    <n v="5"/>
    <n v="14"/>
    <n v="779.71"/>
    <n v="10915.94"/>
    <n v="0.03"/>
    <n v="327.48"/>
    <n v="10588.46"/>
    <n v="6986.2"/>
    <n v="3602.26"/>
  </r>
  <r>
    <n v="100681"/>
    <n v="4899"/>
    <x v="3"/>
    <x v="1"/>
    <x v="3"/>
    <s v="Jeans"/>
    <x v="310"/>
    <d v="2023-01-05T00:00:00"/>
    <d v="2023-01-07T00:00:00"/>
    <n v="4"/>
    <n v="2"/>
    <n v="9"/>
    <n v="716.68"/>
    <n v="6450.12"/>
    <n v="0.12"/>
    <n v="774.01"/>
    <n v="5676.11"/>
    <n v="4192.58"/>
    <n v="1483.53"/>
  </r>
  <r>
    <n v="100682"/>
    <n v="1460"/>
    <x v="3"/>
    <x v="0"/>
    <x v="3"/>
    <s v="Jeans"/>
    <x v="122"/>
    <d v="2023-07-23T00:00:00"/>
    <d v="2023-08-13T00:00:00"/>
    <n v="25"/>
    <n v="4"/>
    <n v="10"/>
    <n v="628.21"/>
    <n v="6282.1"/>
    <n v="7.0000000000000007E-2"/>
    <n v="439.75"/>
    <n v="5842.35"/>
    <n v="4146.1899999999996"/>
    <n v="1696.16"/>
  </r>
  <r>
    <n v="100683"/>
    <n v="3658"/>
    <x v="1"/>
    <x v="2"/>
    <x v="2"/>
    <s v="Laptop"/>
    <x v="296"/>
    <d v="2023-04-16T00:00:00"/>
    <d v="2023-04-18T00:00:00"/>
    <n v="6"/>
    <n v="4"/>
    <n v="14"/>
    <n v="442.15"/>
    <n v="6190.1"/>
    <n v="0.15"/>
    <n v="928.51"/>
    <n v="5261.58"/>
    <n v="3590.26"/>
    <n v="1671.32"/>
  </r>
  <r>
    <n v="100684"/>
    <n v="3821"/>
    <x v="0"/>
    <x v="1"/>
    <x v="0"/>
    <s v="Sofa"/>
    <x v="43"/>
    <d v="2023-03-15T00:00:00"/>
    <d v="2023-04-08T00:00:00"/>
    <n v="26"/>
    <n v="2"/>
    <n v="2"/>
    <n v="239.47"/>
    <n v="478.94"/>
    <n v="0.06"/>
    <n v="28.74"/>
    <n v="450.2"/>
    <n v="296.94"/>
    <n v="153.26"/>
  </r>
  <r>
    <n v="100685"/>
    <n v="1361"/>
    <x v="0"/>
    <x v="0"/>
    <x v="2"/>
    <s v="Laptop"/>
    <x v="28"/>
    <d v="2023-09-13T00:00:00"/>
    <d v="2023-10-02T00:00:00"/>
    <n v="23"/>
    <n v="4"/>
    <n v="9"/>
    <n v="290.55"/>
    <n v="2614.9499999999998"/>
    <n v="0"/>
    <n v="0"/>
    <n v="2614.9499999999998"/>
    <n v="1568.97"/>
    <n v="1045.98"/>
  </r>
  <r>
    <n v="100686"/>
    <n v="4818"/>
    <x v="2"/>
    <x v="1"/>
    <x v="2"/>
    <s v="Headphones"/>
    <x v="317"/>
    <d v="2023-07-10T00:00:00"/>
    <d v="2023-07-25T00:00:00"/>
    <n v="17"/>
    <n v="2"/>
    <n v="14"/>
    <n v="375.52"/>
    <n v="5257.28"/>
    <n v="0.15"/>
    <n v="788.59"/>
    <n v="4468.6899999999996"/>
    <n v="3206.94"/>
    <n v="1261.75"/>
  </r>
  <r>
    <n v="100687"/>
    <n v="3756"/>
    <x v="1"/>
    <x v="2"/>
    <x v="0"/>
    <s v="Lamp"/>
    <x v="46"/>
    <d v="2023-08-26T00:00:00"/>
    <d v="2023-09-13T00:00:00"/>
    <n v="22"/>
    <n v="4"/>
    <n v="12"/>
    <n v="67.709999999999994"/>
    <n v="812.52"/>
    <n v="0.1"/>
    <n v="81.25"/>
    <n v="731.27"/>
    <n v="536.26"/>
    <n v="195.01"/>
  </r>
  <r>
    <n v="100688"/>
    <n v="2230"/>
    <x v="0"/>
    <x v="0"/>
    <x v="1"/>
    <s v="Beverage"/>
    <x v="47"/>
    <d v="2023-10-21T00:00:00"/>
    <d v="2023-11-02T00:00:00"/>
    <n v="14"/>
    <n v="2"/>
    <n v="3"/>
    <n v="252.64"/>
    <n v="757.92"/>
    <n v="0.13"/>
    <n v="98.53"/>
    <n v="659.39"/>
    <n v="545.70000000000005"/>
    <n v="113.69"/>
  </r>
  <r>
    <n v="100689"/>
    <n v="2220"/>
    <x v="1"/>
    <x v="1"/>
    <x v="3"/>
    <s v="Jeans"/>
    <x v="135"/>
    <d v="2023-12-22T00:00:00"/>
    <d v="2024-01-09T00:00:00"/>
    <n v="21"/>
    <n v="3"/>
    <n v="4"/>
    <n v="341.93"/>
    <n v="1367.72"/>
    <n v="0"/>
    <n v="0"/>
    <n v="1367.72"/>
    <n v="806.95"/>
    <n v="560.77"/>
  </r>
  <r>
    <n v="100690"/>
    <n v="1345"/>
    <x v="0"/>
    <x v="0"/>
    <x v="0"/>
    <s v="Lamp"/>
    <x v="260"/>
    <d v="2023-04-27T00:00:00"/>
    <d v="2023-05-21T00:00:00"/>
    <n v="26"/>
    <n v="2"/>
    <n v="3"/>
    <n v="272.54000000000002"/>
    <n v="817.62"/>
    <n v="0.12"/>
    <n v="98.11"/>
    <n v="719.51"/>
    <n v="523.28"/>
    <n v="196.23"/>
  </r>
  <r>
    <n v="100691"/>
    <n v="2785"/>
    <x v="2"/>
    <x v="0"/>
    <x v="1"/>
    <s v="Beverage"/>
    <x v="280"/>
    <d v="2023-10-12T00:00:00"/>
    <d v="2023-10-14T00:00:00"/>
    <n v="5"/>
    <n v="3"/>
    <n v="4"/>
    <n v="311.37"/>
    <n v="1245.48"/>
    <n v="0.12"/>
    <n v="149.46"/>
    <n v="1096.02"/>
    <n v="797.11"/>
    <n v="298.91000000000003"/>
  </r>
  <r>
    <n v="100692"/>
    <n v="2279"/>
    <x v="2"/>
    <x v="2"/>
    <x v="1"/>
    <s v="Pasta"/>
    <x v="97"/>
    <d v="2023-06-21T00:00:00"/>
    <d v="2023-07-01T00:00:00"/>
    <n v="12"/>
    <n v="2"/>
    <n v="3"/>
    <n v="261.77"/>
    <n v="785.31"/>
    <n v="7.0000000000000007E-2"/>
    <n v="54.97"/>
    <n v="730.34"/>
    <n v="486.89"/>
    <n v="243.45"/>
  </r>
  <r>
    <n v="100693"/>
    <n v="1704"/>
    <x v="0"/>
    <x v="1"/>
    <x v="2"/>
    <s v="Phone"/>
    <x v="214"/>
    <d v="2023-08-06T00:00:00"/>
    <d v="2023-08-19T00:00:00"/>
    <n v="18"/>
    <n v="5"/>
    <n v="6"/>
    <n v="394.28"/>
    <n v="2365.6799999999998"/>
    <n v="0.03"/>
    <n v="70.97"/>
    <n v="2294.71"/>
    <n v="1537.69"/>
    <n v="757.02"/>
  </r>
  <r>
    <n v="100694"/>
    <n v="3398"/>
    <x v="1"/>
    <x v="2"/>
    <x v="0"/>
    <s v="Table"/>
    <x v="120"/>
    <d v="2023-11-07T00:00:00"/>
    <d v="2023-11-15T00:00:00"/>
    <n v="11"/>
    <n v="3"/>
    <n v="5"/>
    <n v="583.05999999999995"/>
    <n v="2915.3"/>
    <n v="0.1"/>
    <n v="291.52999999999997"/>
    <n v="2623.77"/>
    <n v="1894.94"/>
    <n v="728.83"/>
  </r>
  <r>
    <n v="100695"/>
    <n v="1836"/>
    <x v="1"/>
    <x v="2"/>
    <x v="1"/>
    <s v="Rice"/>
    <x v="318"/>
    <d v="2023-09-20T00:00:00"/>
    <d v="2023-10-17T00:00:00"/>
    <n v="28"/>
    <n v="1"/>
    <n v="13"/>
    <n v="300.24"/>
    <n v="3903.12"/>
    <n v="7.0000000000000007E-2"/>
    <n v="273.22000000000003"/>
    <n v="3629.9"/>
    <n v="2419.9299999999998"/>
    <n v="1209.97"/>
  </r>
  <r>
    <n v="100696"/>
    <n v="1801"/>
    <x v="1"/>
    <x v="0"/>
    <x v="2"/>
    <s v="Tablet"/>
    <x v="145"/>
    <d v="2023-09-16T00:00:00"/>
    <d v="2023-09-17T00:00:00"/>
    <n v="4"/>
    <n v="3"/>
    <n v="14"/>
    <n v="362.29"/>
    <n v="5072.0600000000004"/>
    <n v="0.06"/>
    <n v="304.32"/>
    <n v="4767.74"/>
    <n v="3195.4"/>
    <n v="1572.34"/>
  </r>
  <r>
    <n v="100697"/>
    <n v="2276"/>
    <x v="3"/>
    <x v="1"/>
    <x v="3"/>
    <s v="Jacket"/>
    <x v="239"/>
    <d v="2023-03-23T00:00:00"/>
    <d v="2023-03-26T00:00:00"/>
    <n v="5"/>
    <n v="2"/>
    <n v="9"/>
    <n v="87.59"/>
    <n v="788.31"/>
    <n v="0.12"/>
    <n v="94.6"/>
    <n v="693.71"/>
    <n v="536.04999999999995"/>
    <n v="157.66"/>
  </r>
  <r>
    <n v="100698"/>
    <n v="1590"/>
    <x v="2"/>
    <x v="2"/>
    <x v="2"/>
    <s v="Laptop"/>
    <x v="169"/>
    <d v="2023-10-25T00:00:00"/>
    <d v="2023-11-10T00:00:00"/>
    <n v="17"/>
    <n v="1"/>
    <n v="3"/>
    <n v="56.46"/>
    <n v="169.38"/>
    <n v="0.1"/>
    <n v="16.940000000000001"/>
    <n v="152.44"/>
    <n v="105.02"/>
    <n v="47.42"/>
  </r>
  <r>
    <n v="100699"/>
    <n v="1909"/>
    <x v="0"/>
    <x v="1"/>
    <x v="1"/>
    <s v="Rice"/>
    <x v="33"/>
    <d v="2023-09-23T00:00:00"/>
    <d v="2023-09-20T00:00:00"/>
    <n v="2"/>
    <n v="5"/>
    <n v="13"/>
    <n v="511.85"/>
    <n v="6654.05"/>
    <n v="0.11"/>
    <n v="731.95"/>
    <n v="5922.1"/>
    <n v="4524.75"/>
    <n v="1397.35"/>
  </r>
  <r>
    <n v="100700"/>
    <n v="2954"/>
    <x v="0"/>
    <x v="0"/>
    <x v="3"/>
    <s v="Jeans"/>
    <x v="151"/>
    <d v="2023-01-14T00:00:00"/>
    <d v="2023-02-07T00:00:00"/>
    <n v="29"/>
    <n v="5"/>
    <n v="1"/>
    <n v="641.70000000000005"/>
    <n v="641.70000000000005"/>
    <n v="7.0000000000000007E-2"/>
    <n v="44.92"/>
    <n v="596.78"/>
    <n v="429.94"/>
    <n v="166.84"/>
  </r>
  <r>
    <n v="100701"/>
    <n v="1183"/>
    <x v="3"/>
    <x v="2"/>
    <x v="0"/>
    <s v="Sofa"/>
    <x v="309"/>
    <d v="2023-03-08T00:00:00"/>
    <d v="2023-03-18T00:00:00"/>
    <n v="11"/>
    <n v="1"/>
    <n v="10"/>
    <n v="486.51"/>
    <n v="4865.1000000000004"/>
    <n v="7.0000000000000007E-2"/>
    <n v="340.56"/>
    <n v="4524.54"/>
    <n v="3162.32"/>
    <n v="1362.22"/>
  </r>
  <r>
    <n v="100702"/>
    <n v="2474"/>
    <x v="2"/>
    <x v="1"/>
    <x v="1"/>
    <s v="Pasta"/>
    <x v="257"/>
    <d v="2023-01-23T00:00:00"/>
    <d v="2023-02-10T00:00:00"/>
    <n v="20"/>
    <n v="2"/>
    <n v="9"/>
    <n v="221.53"/>
    <n v="1993.77"/>
    <n v="0.06"/>
    <n v="119.63"/>
    <n v="1874.14"/>
    <n v="1116.51"/>
    <n v="757.63"/>
  </r>
  <r>
    <n v="100703"/>
    <n v="4362"/>
    <x v="0"/>
    <x v="2"/>
    <x v="1"/>
    <s v="Beverage"/>
    <x v="255"/>
    <d v="2023-09-20T00:00:00"/>
    <d v="2023-09-24T00:00:00"/>
    <n v="8"/>
    <n v="4"/>
    <n v="2"/>
    <n v="422.96"/>
    <n v="845.92"/>
    <n v="0.2"/>
    <n v="169.18"/>
    <n v="676.74"/>
    <n v="448.34"/>
    <n v="228.4"/>
  </r>
  <r>
    <n v="100704"/>
    <n v="4424"/>
    <x v="3"/>
    <x v="1"/>
    <x v="2"/>
    <s v="Tablet"/>
    <x v="247"/>
    <d v="2023-06-26T00:00:00"/>
    <d v="2023-07-04T00:00:00"/>
    <n v="10"/>
    <n v="2"/>
    <n v="8"/>
    <n v="291.14999999999998"/>
    <n v="2329.1999999999998"/>
    <n v="0.05"/>
    <n v="116.46"/>
    <n v="2212.7399999999998"/>
    <n v="1397.52"/>
    <n v="815.22"/>
  </r>
  <r>
    <n v="100705"/>
    <n v="1167"/>
    <x v="3"/>
    <x v="0"/>
    <x v="0"/>
    <s v="Table"/>
    <x v="128"/>
    <d v="2023-03-22T00:00:00"/>
    <d v="2023-04-08T00:00:00"/>
    <n v="20"/>
    <n v="3"/>
    <n v="13"/>
    <n v="103.13"/>
    <n v="1340.69"/>
    <n v="0.08"/>
    <n v="107.26"/>
    <n v="1233.43"/>
    <n v="898.26"/>
    <n v="335.17"/>
  </r>
  <r>
    <n v="100706"/>
    <n v="4329"/>
    <x v="1"/>
    <x v="1"/>
    <x v="3"/>
    <s v="Jacket"/>
    <x v="226"/>
    <d v="2023-09-23T00:00:00"/>
    <d v="2023-09-27T00:00:00"/>
    <n v="5"/>
    <n v="1"/>
    <n v="13"/>
    <n v="322.31"/>
    <n v="4190.03"/>
    <n v="7.0000000000000007E-2"/>
    <n v="293.3"/>
    <n v="3896.73"/>
    <n v="2681.62"/>
    <n v="1215.1099999999999"/>
  </r>
  <r>
    <n v="100707"/>
    <n v="4271"/>
    <x v="0"/>
    <x v="0"/>
    <x v="3"/>
    <s v="Shirt"/>
    <x v="218"/>
    <d v="2023-05-22T00:00:00"/>
    <d v="2023-05-23T00:00:00"/>
    <n v="3"/>
    <n v="2"/>
    <n v="13"/>
    <n v="105.53"/>
    <n v="1371.89"/>
    <n v="0.12"/>
    <n v="164.63"/>
    <n v="1207.26"/>
    <n v="823.13"/>
    <n v="384.13"/>
  </r>
  <r>
    <n v="100708"/>
    <n v="1518"/>
    <x v="1"/>
    <x v="1"/>
    <x v="3"/>
    <s v="Jeans"/>
    <x v="146"/>
    <d v="2023-03-09T00:00:00"/>
    <d v="2023-04-05T00:00:00"/>
    <n v="30"/>
    <n v="3"/>
    <n v="12"/>
    <n v="305.26"/>
    <n v="3663.12"/>
    <n v="0.01"/>
    <n v="36.630000000000003"/>
    <n v="3626.49"/>
    <n v="2454.29"/>
    <n v="1172.2"/>
  </r>
  <r>
    <n v="100709"/>
    <n v="3276"/>
    <x v="2"/>
    <x v="1"/>
    <x v="1"/>
    <s v="Rice"/>
    <x v="45"/>
    <d v="2023-01-14T00:00:00"/>
    <d v="2023-02-04T00:00:00"/>
    <n v="24"/>
    <n v="3"/>
    <n v="1"/>
    <n v="706.9"/>
    <n v="706.9"/>
    <n v="0.08"/>
    <n v="56.55"/>
    <n v="650.35"/>
    <n v="402.93"/>
    <n v="247.42"/>
  </r>
  <r>
    <n v="100710"/>
    <n v="3576"/>
    <x v="1"/>
    <x v="1"/>
    <x v="1"/>
    <s v="Beverage"/>
    <x v="134"/>
    <d v="2023-12-30T00:00:00"/>
    <d v="2024-01-26T00:00:00"/>
    <n v="29"/>
    <n v="2"/>
    <n v="14"/>
    <n v="489.6"/>
    <n v="6854.4"/>
    <n v="0"/>
    <n v="0"/>
    <n v="6854.4"/>
    <n v="4249.7299999999996"/>
    <n v="2604.67"/>
  </r>
  <r>
    <n v="100711"/>
    <n v="3820"/>
    <x v="1"/>
    <x v="0"/>
    <x v="0"/>
    <s v="Lamp"/>
    <x v="299"/>
    <d v="2023-05-03T00:00:00"/>
    <d v="2023-05-10T00:00:00"/>
    <n v="9"/>
    <n v="2"/>
    <n v="7"/>
    <n v="10.29"/>
    <n v="72.03"/>
    <n v="0.17"/>
    <n v="12.25"/>
    <n v="59.78"/>
    <n v="43.22"/>
    <n v="16.559999999999999"/>
  </r>
  <r>
    <n v="100712"/>
    <n v="4825"/>
    <x v="1"/>
    <x v="1"/>
    <x v="1"/>
    <s v="Beverage"/>
    <x v="319"/>
    <d v="2023-10-14T00:00:00"/>
    <d v="2023-11-07T00:00:00"/>
    <n v="27"/>
    <n v="3"/>
    <n v="14"/>
    <n v="643.38"/>
    <n v="9007.32"/>
    <n v="0.08"/>
    <n v="720.59"/>
    <n v="8286.73"/>
    <n v="5314.32"/>
    <n v="2972.41"/>
  </r>
  <r>
    <n v="100713"/>
    <n v="2731"/>
    <x v="2"/>
    <x v="2"/>
    <x v="3"/>
    <s v="Shirt"/>
    <x v="258"/>
    <d v="2023-02-02T00:00:00"/>
    <d v="2023-02-14T00:00:00"/>
    <n v="13"/>
    <n v="1"/>
    <n v="8"/>
    <n v="503.02"/>
    <n v="4024.16"/>
    <n v="0.09"/>
    <n v="362.17"/>
    <n v="3661.99"/>
    <n v="2012.08"/>
    <n v="1649.91"/>
  </r>
  <r>
    <n v="100714"/>
    <n v="2132"/>
    <x v="3"/>
    <x v="0"/>
    <x v="3"/>
    <s v="Jeans"/>
    <x v="258"/>
    <d v="2023-02-02T00:00:00"/>
    <d v="2023-02-15T00:00:00"/>
    <n v="14"/>
    <n v="1"/>
    <n v="14"/>
    <n v="772.58"/>
    <n v="10816.12"/>
    <n v="7.0000000000000007E-2"/>
    <n v="757.13"/>
    <n v="10058.99"/>
    <n v="7138.64"/>
    <n v="2920.35"/>
  </r>
  <r>
    <n v="100715"/>
    <n v="1358"/>
    <x v="1"/>
    <x v="2"/>
    <x v="1"/>
    <s v="Rice"/>
    <x v="320"/>
    <d v="2023-10-20T00:00:00"/>
    <d v="2023-11-11T00:00:00"/>
    <n v="25"/>
    <n v="3"/>
    <n v="14"/>
    <n v="655.16999999999996"/>
    <n v="9172.3799999999992"/>
    <n v="7.0000000000000007E-2"/>
    <n v="642.07000000000005"/>
    <n v="8530.31"/>
    <n v="4769.6400000000003"/>
    <n v="3760.67"/>
  </r>
  <r>
    <n v="100716"/>
    <n v="4084"/>
    <x v="2"/>
    <x v="0"/>
    <x v="1"/>
    <s v="Beverage"/>
    <x v="137"/>
    <d v="2023-09-27T00:00:00"/>
    <d v="2023-10-16T00:00:00"/>
    <n v="23"/>
    <n v="4"/>
    <n v="7"/>
    <n v="60.39"/>
    <n v="422.73"/>
    <n v="0.04"/>
    <n v="16.91"/>
    <n v="405.82"/>
    <n v="295.91000000000003"/>
    <n v="109.91"/>
  </r>
  <r>
    <n v="100717"/>
    <n v="4296"/>
    <x v="3"/>
    <x v="1"/>
    <x v="1"/>
    <s v="Snacks"/>
    <x v="295"/>
    <d v="2023-08-14T00:00:00"/>
    <d v="2023-08-16T00:00:00"/>
    <n v="6"/>
    <n v="4"/>
    <n v="4"/>
    <n v="500.91"/>
    <n v="2003.64"/>
    <n v="0.01"/>
    <n v="20.04"/>
    <n v="1983.6"/>
    <n v="1362.48"/>
    <n v="621.12"/>
  </r>
  <r>
    <n v="100718"/>
    <n v="2456"/>
    <x v="3"/>
    <x v="2"/>
    <x v="1"/>
    <s v="Pasta"/>
    <x v="175"/>
    <d v="2023-12-06T00:00:00"/>
    <d v="2023-12-15T00:00:00"/>
    <n v="14"/>
    <n v="5"/>
    <n v="7"/>
    <n v="425.59"/>
    <n v="2979.13"/>
    <n v="7.0000000000000007E-2"/>
    <n v="208.54"/>
    <n v="2770.59"/>
    <n v="1817.27"/>
    <n v="953.32"/>
  </r>
  <r>
    <n v="100719"/>
    <n v="2673"/>
    <x v="3"/>
    <x v="2"/>
    <x v="2"/>
    <s v="Tablet"/>
    <x v="321"/>
    <d v="2023-03-10T00:00:00"/>
    <d v="2023-03-12T00:00:00"/>
    <n v="4"/>
    <n v="2"/>
    <n v="3"/>
    <n v="658.54"/>
    <n v="1975.62"/>
    <n v="0.14000000000000001"/>
    <n v="276.58999999999997"/>
    <n v="1699.03"/>
    <n v="1264.4000000000001"/>
    <n v="434.63"/>
  </r>
  <r>
    <n v="100720"/>
    <n v="4734"/>
    <x v="1"/>
    <x v="0"/>
    <x v="2"/>
    <s v="Phone"/>
    <x v="61"/>
    <d v="2023-11-28T00:00:00"/>
    <d v="2023-12-23T00:00:00"/>
    <n v="27"/>
    <n v="2"/>
    <n v="7"/>
    <n v="455.08"/>
    <n v="3185.56"/>
    <n v="0.04"/>
    <n v="127.42"/>
    <n v="3058.14"/>
    <n v="1752.06"/>
    <n v="1306.08"/>
  </r>
  <r>
    <n v="100721"/>
    <n v="3506"/>
    <x v="0"/>
    <x v="0"/>
    <x v="1"/>
    <s v="Beverage"/>
    <x v="66"/>
    <d v="2023-07-27T00:00:00"/>
    <d v="2023-08-05T00:00:00"/>
    <n v="13"/>
    <n v="4"/>
    <n v="7"/>
    <n v="685.01"/>
    <n v="4795.07"/>
    <n v="0.03"/>
    <n v="143.85"/>
    <n v="4651.22"/>
    <n v="3068.84"/>
    <n v="1582.38"/>
  </r>
  <r>
    <n v="100722"/>
    <n v="2468"/>
    <x v="2"/>
    <x v="1"/>
    <x v="1"/>
    <s v="Rice"/>
    <x v="121"/>
    <d v="2023-05-04T00:00:00"/>
    <d v="2023-05-13T00:00:00"/>
    <n v="11"/>
    <n v="2"/>
    <n v="5"/>
    <n v="776.16"/>
    <n v="3880.8"/>
    <n v="0.08"/>
    <n v="310.45999999999998"/>
    <n v="3570.34"/>
    <n v="2212.06"/>
    <n v="1358.28"/>
  </r>
  <r>
    <n v="100723"/>
    <n v="4569"/>
    <x v="2"/>
    <x v="1"/>
    <x v="3"/>
    <s v="Jeans"/>
    <x v="277"/>
    <d v="2023-11-23T00:00:00"/>
    <d v="2023-11-23T00:00:00"/>
    <n v="5"/>
    <n v="5"/>
    <n v="14"/>
    <n v="587.26"/>
    <n v="8221.64"/>
    <n v="7.0000000000000007E-2"/>
    <n v="575.51"/>
    <n v="7646.13"/>
    <n v="5179.63"/>
    <n v="2466.5"/>
  </r>
  <r>
    <n v="100724"/>
    <n v="3606"/>
    <x v="2"/>
    <x v="0"/>
    <x v="3"/>
    <s v="Jeans"/>
    <x v="22"/>
    <d v="2023-07-14T00:00:00"/>
    <d v="2023-07-23T00:00:00"/>
    <n v="12"/>
    <n v="3"/>
    <n v="6"/>
    <n v="382.91"/>
    <n v="2297.46"/>
    <n v="0.14000000000000001"/>
    <n v="321.64"/>
    <n v="1975.82"/>
    <n v="1608.22"/>
    <n v="367.6"/>
  </r>
  <r>
    <n v="100725"/>
    <n v="3283"/>
    <x v="2"/>
    <x v="0"/>
    <x v="2"/>
    <s v="Headphones"/>
    <x v="227"/>
    <d v="2023-03-28T00:00:00"/>
    <d v="2023-04-18T00:00:00"/>
    <n v="26"/>
    <n v="5"/>
    <n v="8"/>
    <n v="417.71"/>
    <n v="3341.68"/>
    <n v="0.09"/>
    <n v="300.75"/>
    <n v="3040.93"/>
    <n v="2105.2600000000002"/>
    <n v="935.67"/>
  </r>
  <r>
    <n v="100726"/>
    <n v="4968"/>
    <x v="2"/>
    <x v="1"/>
    <x v="0"/>
    <s v="Sofa"/>
    <x v="195"/>
    <d v="2023-05-16T00:00:00"/>
    <d v="2023-06-06T00:00:00"/>
    <n v="23"/>
    <n v="2"/>
    <n v="11"/>
    <n v="281.3"/>
    <n v="3094.3"/>
    <n v="0.05"/>
    <n v="154.72"/>
    <n v="2939.58"/>
    <n v="1887.52"/>
    <n v="1052.06"/>
  </r>
  <r>
    <n v="100727"/>
    <n v="4268"/>
    <x v="2"/>
    <x v="0"/>
    <x v="2"/>
    <s v="Phone"/>
    <x v="234"/>
    <d v="2023-04-23T00:00:00"/>
    <d v="2023-05-07T00:00:00"/>
    <n v="15"/>
    <n v="1"/>
    <n v="14"/>
    <n v="200.64"/>
    <n v="2808.96"/>
    <n v="0.09"/>
    <n v="252.81"/>
    <n v="2556.15"/>
    <n v="1741.56"/>
    <n v="814.59"/>
  </r>
  <r>
    <n v="100728"/>
    <n v="1097"/>
    <x v="0"/>
    <x v="2"/>
    <x v="1"/>
    <s v="Pasta"/>
    <x v="90"/>
    <d v="2023-06-17T00:00:00"/>
    <d v="2023-06-30T00:00:00"/>
    <n v="14"/>
    <n v="1"/>
    <n v="13"/>
    <n v="520.62"/>
    <n v="6768.06"/>
    <n v="0.1"/>
    <n v="676.81"/>
    <n v="6091.25"/>
    <n v="3451.71"/>
    <n v="2639.54"/>
  </r>
  <r>
    <n v="100729"/>
    <n v="4253"/>
    <x v="3"/>
    <x v="2"/>
    <x v="3"/>
    <s v="Shoes"/>
    <x v="322"/>
    <d v="2023-12-20T00:00:00"/>
    <d v="2023-12-25T00:00:00"/>
    <n v="7"/>
    <n v="2"/>
    <n v="6"/>
    <n v="484"/>
    <n v="2904"/>
    <n v="0.08"/>
    <n v="232.32"/>
    <n v="2671.68"/>
    <n v="1800.48"/>
    <n v="871.2"/>
  </r>
  <r>
    <n v="100730"/>
    <n v="3628"/>
    <x v="3"/>
    <x v="2"/>
    <x v="0"/>
    <s v="Sofa"/>
    <x v="323"/>
    <d v="2023-02-21T00:00:00"/>
    <d v="2023-03-18T00:00:00"/>
    <n v="26"/>
    <n v="1"/>
    <n v="13"/>
    <n v="399.01"/>
    <n v="5187.13"/>
    <n v="0.08"/>
    <n v="414.97"/>
    <n v="4772.16"/>
    <n v="3164.15"/>
    <n v="1608.01"/>
  </r>
  <r>
    <n v="100731"/>
    <n v="4907"/>
    <x v="2"/>
    <x v="2"/>
    <x v="2"/>
    <s v="Tablet"/>
    <x v="74"/>
    <d v="2023-05-27T00:00:00"/>
    <d v="2023-06-11T00:00:00"/>
    <n v="19"/>
    <n v="4"/>
    <n v="1"/>
    <n v="314.33"/>
    <n v="314.33"/>
    <n v="0.14000000000000001"/>
    <n v="44.01"/>
    <n v="270.32"/>
    <n v="185.45"/>
    <n v="84.87"/>
  </r>
  <r>
    <n v="100732"/>
    <n v="3392"/>
    <x v="2"/>
    <x v="2"/>
    <x v="0"/>
    <s v="Cookware"/>
    <x v="299"/>
    <d v="2023-05-04T00:00:00"/>
    <d v="2023-05-30T00:00:00"/>
    <n v="29"/>
    <n v="3"/>
    <n v="1"/>
    <n v="685.09"/>
    <n v="685.09"/>
    <n v="0.06"/>
    <n v="41.11"/>
    <n v="643.98"/>
    <n v="445.31"/>
    <n v="198.67"/>
  </r>
  <r>
    <n v="100733"/>
    <n v="2817"/>
    <x v="2"/>
    <x v="1"/>
    <x v="2"/>
    <s v="Tablet"/>
    <x v="93"/>
    <d v="2023-08-01T00:00:00"/>
    <d v="2023-08-11T00:00:00"/>
    <n v="13"/>
    <n v="3"/>
    <n v="3"/>
    <n v="116.88"/>
    <n v="350.64"/>
    <n v="0.08"/>
    <n v="28.05"/>
    <n v="322.58999999999997"/>
    <n v="192.85"/>
    <n v="129.74"/>
  </r>
  <r>
    <n v="100734"/>
    <n v="3746"/>
    <x v="3"/>
    <x v="2"/>
    <x v="0"/>
    <s v="Sofa"/>
    <x v="318"/>
    <d v="2023-09-20T00:00:00"/>
    <d v="2023-10-08T00:00:00"/>
    <n v="19"/>
    <n v="1"/>
    <n v="9"/>
    <n v="246.41"/>
    <n v="2217.69"/>
    <n v="0.03"/>
    <n v="66.53"/>
    <n v="2151.16"/>
    <n v="1153.2"/>
    <n v="997.96"/>
  </r>
  <r>
    <n v="100735"/>
    <n v="2285"/>
    <x v="2"/>
    <x v="0"/>
    <x v="1"/>
    <s v="Snacks"/>
    <x v="75"/>
    <d v="2023-05-06T00:00:00"/>
    <d v="2023-05-29T00:00:00"/>
    <n v="24"/>
    <n v="1"/>
    <n v="8"/>
    <n v="679.66"/>
    <n v="5437.28"/>
    <n v="7.0000000000000007E-2"/>
    <n v="380.61"/>
    <n v="5056.67"/>
    <n v="3425.49"/>
    <n v="1631.18"/>
  </r>
  <r>
    <n v="100736"/>
    <n v="3814"/>
    <x v="2"/>
    <x v="0"/>
    <x v="0"/>
    <s v="Cookware"/>
    <x v="232"/>
    <d v="2023-12-10T00:00:00"/>
    <d v="2023-12-15T00:00:00"/>
    <n v="8"/>
    <n v="3"/>
    <n v="9"/>
    <n v="221.66"/>
    <n v="1994.94"/>
    <n v="0"/>
    <n v="0"/>
    <n v="1994.94"/>
    <n v="1376.51"/>
    <n v="618.42999999999995"/>
  </r>
  <r>
    <n v="100737"/>
    <n v="2525"/>
    <x v="0"/>
    <x v="0"/>
    <x v="1"/>
    <s v="Snacks"/>
    <x v="75"/>
    <d v="2023-05-07T00:00:00"/>
    <d v="2023-06-02T00:00:00"/>
    <n v="28"/>
    <n v="2"/>
    <n v="9"/>
    <n v="174.72"/>
    <n v="1572.48"/>
    <n v="0.04"/>
    <n v="62.9"/>
    <n v="1509.58"/>
    <n v="1006.39"/>
    <n v="503.19"/>
  </r>
  <r>
    <n v="100738"/>
    <n v="1891"/>
    <x v="2"/>
    <x v="0"/>
    <x v="1"/>
    <s v="Snacks"/>
    <x v="324"/>
    <d v="2023-01-26T00:00:00"/>
    <d v="2023-02-06T00:00:00"/>
    <n v="14"/>
    <n v="3"/>
    <n v="9"/>
    <n v="201.74"/>
    <n v="1815.66"/>
    <n v="0.15"/>
    <n v="272.35000000000002"/>
    <n v="1543.31"/>
    <n v="1053.08"/>
    <n v="490.23"/>
  </r>
  <r>
    <n v="100739"/>
    <n v="3999"/>
    <x v="3"/>
    <x v="0"/>
    <x v="2"/>
    <s v="Headphones"/>
    <x v="199"/>
    <d v="2023-09-01T00:00:00"/>
    <d v="2023-08-30T00:00:00"/>
    <n v="3"/>
    <n v="5"/>
    <n v="12"/>
    <n v="173.47"/>
    <n v="2081.64"/>
    <n v="0.08"/>
    <n v="166.53"/>
    <n v="1915.11"/>
    <n v="1623.68"/>
    <n v="291.43"/>
  </r>
  <r>
    <n v="100740"/>
    <n v="3003"/>
    <x v="3"/>
    <x v="0"/>
    <x v="0"/>
    <s v="Cookware"/>
    <x v="116"/>
    <d v="2023-08-19T00:00:00"/>
    <d v="2023-08-23T00:00:00"/>
    <n v="9"/>
    <n v="5"/>
    <n v="8"/>
    <n v="595.79999999999995"/>
    <n v="4766.3999999999996"/>
    <n v="0.06"/>
    <n v="285.98"/>
    <n v="4480.42"/>
    <n v="2716.85"/>
    <n v="1763.57"/>
  </r>
  <r>
    <n v="100741"/>
    <n v="4768"/>
    <x v="2"/>
    <x v="1"/>
    <x v="2"/>
    <s v="Headphones"/>
    <x v="194"/>
    <d v="2023-12-28T00:00:00"/>
    <d v="2024-01-02T00:00:00"/>
    <n v="7"/>
    <n v="2"/>
    <n v="3"/>
    <n v="117.46"/>
    <n v="352.38"/>
    <n v="0.12"/>
    <n v="42.29"/>
    <n v="310.08999999999997"/>
    <n v="218.48"/>
    <n v="91.61"/>
  </r>
  <r>
    <n v="100742"/>
    <n v="1385"/>
    <x v="3"/>
    <x v="0"/>
    <x v="2"/>
    <s v="Headphones"/>
    <x v="325"/>
    <d v="2023-02-23T00:00:00"/>
    <d v="2023-03-18T00:00:00"/>
    <n v="25"/>
    <n v="2"/>
    <n v="3"/>
    <n v="312.20999999999998"/>
    <n v="936.63"/>
    <n v="0.12"/>
    <n v="112.4"/>
    <n v="824.23"/>
    <n v="608.80999999999995"/>
    <n v="215.42"/>
  </r>
  <r>
    <n v="100743"/>
    <n v="4982"/>
    <x v="3"/>
    <x v="2"/>
    <x v="2"/>
    <s v="Laptop"/>
    <x v="135"/>
    <d v="2023-12-20T00:00:00"/>
    <d v="2023-12-28T00:00:00"/>
    <n v="9"/>
    <n v="1"/>
    <n v="14"/>
    <n v="609.48"/>
    <n v="8532.7199999999993"/>
    <n v="0.04"/>
    <n v="341.31"/>
    <n v="8191.41"/>
    <n v="4863.6499999999996"/>
    <n v="3327.76"/>
  </r>
  <r>
    <n v="100744"/>
    <n v="4047"/>
    <x v="1"/>
    <x v="1"/>
    <x v="0"/>
    <s v="Sofa"/>
    <x v="228"/>
    <d v="2023-07-01T00:00:00"/>
    <d v="2023-07-25T00:00:00"/>
    <n v="28"/>
    <n v="4"/>
    <n v="5"/>
    <n v="795.45"/>
    <n v="3977.25"/>
    <n v="0.02"/>
    <n v="79.540000000000006"/>
    <n v="3897.7"/>
    <n v="2386.35"/>
    <n v="1511.35"/>
  </r>
  <r>
    <n v="100745"/>
    <n v="2077"/>
    <x v="0"/>
    <x v="2"/>
    <x v="3"/>
    <s v="Shoes"/>
    <x v="153"/>
    <d v="2023-11-09T00:00:00"/>
    <d v="2023-11-16T00:00:00"/>
    <n v="9"/>
    <n v="2"/>
    <n v="9"/>
    <n v="311.72000000000003"/>
    <n v="2805.48"/>
    <n v="0.08"/>
    <n v="224.44"/>
    <n v="2581.04"/>
    <n v="1683.29"/>
    <n v="897.75"/>
  </r>
  <r>
    <n v="100746"/>
    <n v="1381"/>
    <x v="1"/>
    <x v="2"/>
    <x v="0"/>
    <s v="Table"/>
    <x v="204"/>
    <d v="2023-01-18T00:00:00"/>
    <d v="2023-01-26T00:00:00"/>
    <n v="9"/>
    <n v="1"/>
    <n v="8"/>
    <n v="49.28"/>
    <n v="394.24"/>
    <n v="0.05"/>
    <n v="19.71"/>
    <n v="374.53"/>
    <n v="264.14"/>
    <n v="110.39"/>
  </r>
  <r>
    <n v="100747"/>
    <n v="3310"/>
    <x v="3"/>
    <x v="2"/>
    <x v="3"/>
    <s v="Shirt"/>
    <x v="312"/>
    <d v="2023-04-28T00:00:00"/>
    <d v="2023-05-15T00:00:00"/>
    <n v="19"/>
    <n v="2"/>
    <n v="13"/>
    <n v="95.57"/>
    <n v="1242.4100000000001"/>
    <n v="0.01"/>
    <n v="12.42"/>
    <n v="1229.99"/>
    <n v="745.45"/>
    <n v="484.54"/>
  </r>
  <r>
    <n v="100748"/>
    <n v="4801"/>
    <x v="0"/>
    <x v="2"/>
    <x v="0"/>
    <s v="Lamp"/>
    <x v="81"/>
    <d v="2023-11-01T00:00:00"/>
    <d v="2023-11-02T00:00:00"/>
    <n v="6"/>
    <n v="5"/>
    <n v="1"/>
    <n v="247.64"/>
    <n v="247.64"/>
    <n v="0.1"/>
    <n v="24.76"/>
    <n v="222.88"/>
    <n v="148.58000000000001"/>
    <n v="74.3"/>
  </r>
  <r>
    <n v="100749"/>
    <n v="2768"/>
    <x v="0"/>
    <x v="2"/>
    <x v="0"/>
    <s v="Lamp"/>
    <x v="249"/>
    <d v="2023-06-02T00:00:00"/>
    <d v="2023-06-22T00:00:00"/>
    <n v="25"/>
    <n v="5"/>
    <n v="7"/>
    <n v="794.2"/>
    <n v="5559.4"/>
    <n v="7.0000000000000007E-2"/>
    <n v="389.16"/>
    <n v="5170.24"/>
    <n v="3891.58"/>
    <n v="1278.6600000000001"/>
  </r>
  <r>
    <n v="100750"/>
    <n v="3112"/>
    <x v="3"/>
    <x v="1"/>
    <x v="3"/>
    <s v="Jeans"/>
    <x v="192"/>
    <d v="2023-10-07T00:00:00"/>
    <d v="2023-10-23T00:00:00"/>
    <n v="21"/>
    <n v="5"/>
    <n v="7"/>
    <n v="346.15"/>
    <n v="2423.0500000000002"/>
    <n v="0.05"/>
    <n v="121.15"/>
    <n v="2301.9"/>
    <n v="1550.75"/>
    <n v="751.15"/>
  </r>
  <r>
    <n v="100751"/>
    <n v="3211"/>
    <x v="3"/>
    <x v="2"/>
    <x v="3"/>
    <s v="Jacket"/>
    <x v="159"/>
    <d v="2023-08-02T00:00:00"/>
    <d v="2023-08-12T00:00:00"/>
    <n v="13"/>
    <n v="3"/>
    <n v="11"/>
    <n v="171.95"/>
    <n v="1891.45"/>
    <n v="7.0000000000000007E-2"/>
    <n v="132.4"/>
    <n v="1759.05"/>
    <n v="1286.19"/>
    <n v="472.86"/>
  </r>
  <r>
    <n v="100752"/>
    <n v="3825"/>
    <x v="1"/>
    <x v="1"/>
    <x v="3"/>
    <s v="Jacket"/>
    <x v="15"/>
    <d v="2023-01-02T00:00:00"/>
    <d v="2023-01-10T00:00:00"/>
    <n v="9"/>
    <n v="1"/>
    <n v="12"/>
    <n v="268.39999999999998"/>
    <n v="3220.8"/>
    <n v="0.04"/>
    <n v="128.83000000000001"/>
    <n v="3091.97"/>
    <n v="2061.31"/>
    <n v="1030.6600000000001"/>
  </r>
  <r>
    <n v="100753"/>
    <n v="4828"/>
    <x v="3"/>
    <x v="1"/>
    <x v="1"/>
    <s v="Snacks"/>
    <x v="69"/>
    <d v="2023-01-14T00:00:00"/>
    <d v="2023-01-20T00:00:00"/>
    <n v="7"/>
    <n v="1"/>
    <n v="5"/>
    <n v="585.41999999999996"/>
    <n v="2927.1"/>
    <n v="0.09"/>
    <n v="263.44"/>
    <n v="2663.66"/>
    <n v="1639.18"/>
    <n v="1024.48"/>
  </r>
  <r>
    <n v="100754"/>
    <n v="4859"/>
    <x v="3"/>
    <x v="0"/>
    <x v="2"/>
    <s v="Phone"/>
    <x v="132"/>
    <d v="2023-02-20T00:00:00"/>
    <d v="2023-03-01T00:00:00"/>
    <n v="14"/>
    <n v="5"/>
    <n v="12"/>
    <n v="353.91"/>
    <n v="4246.92"/>
    <n v="0.08"/>
    <n v="339.75"/>
    <n v="3907.17"/>
    <n v="2505.6799999999998"/>
    <n v="1401.49"/>
  </r>
  <r>
    <n v="100755"/>
    <n v="2029"/>
    <x v="1"/>
    <x v="2"/>
    <x v="2"/>
    <s v="Laptop"/>
    <x v="326"/>
    <d v="2023-10-07T00:00:00"/>
    <d v="2023-11-03T00:00:00"/>
    <n v="29"/>
    <n v="2"/>
    <n v="4"/>
    <n v="216.98"/>
    <n v="867.92"/>
    <n v="0.09"/>
    <n v="78.11"/>
    <n v="789.81"/>
    <n v="486.04"/>
    <n v="303.77"/>
  </r>
  <r>
    <n v="100756"/>
    <n v="1829"/>
    <x v="0"/>
    <x v="1"/>
    <x v="1"/>
    <s v="Beverage"/>
    <x v="68"/>
    <d v="2023-10-03T00:00:00"/>
    <d v="2023-10-12T00:00:00"/>
    <n v="12"/>
    <n v="3"/>
    <n v="7"/>
    <n v="471.32"/>
    <n v="3299.24"/>
    <n v="0.14000000000000001"/>
    <n v="461.89"/>
    <n v="2837.35"/>
    <n v="2012.54"/>
    <n v="824.81"/>
  </r>
  <r>
    <n v="100757"/>
    <n v="1653"/>
    <x v="2"/>
    <x v="2"/>
    <x v="3"/>
    <s v="Shoes"/>
    <x v="247"/>
    <d v="2023-06-27T00:00:00"/>
    <d v="2023-07-06T00:00:00"/>
    <n v="12"/>
    <n v="3"/>
    <n v="3"/>
    <n v="277.52"/>
    <n v="832.56"/>
    <n v="0.06"/>
    <n v="49.95"/>
    <n v="782.61"/>
    <n v="549.49"/>
    <n v="233.12"/>
  </r>
  <r>
    <n v="100758"/>
    <n v="3995"/>
    <x v="0"/>
    <x v="1"/>
    <x v="1"/>
    <s v="Snacks"/>
    <x v="327"/>
    <d v="2023-10-04T00:00:00"/>
    <d v="2023-10-14T00:00:00"/>
    <n v="15"/>
    <n v="5"/>
    <n v="2"/>
    <n v="136.99"/>
    <n v="273.98"/>
    <n v="0.06"/>
    <n v="16.440000000000001"/>
    <n v="257.54000000000002"/>
    <n v="158.91"/>
    <n v="98.63"/>
  </r>
  <r>
    <n v="100759"/>
    <n v="3290"/>
    <x v="2"/>
    <x v="2"/>
    <x v="3"/>
    <s v="Jacket"/>
    <x v="167"/>
    <d v="2023-12-30T00:00:00"/>
    <d v="2024-01-16T00:00:00"/>
    <n v="18"/>
    <n v="1"/>
    <n v="9"/>
    <n v="104.34"/>
    <n v="939.06"/>
    <n v="0.04"/>
    <n v="37.56"/>
    <n v="901.5"/>
    <n v="582.22"/>
    <n v="319.27999999999997"/>
  </r>
  <r>
    <n v="100760"/>
    <n v="2384"/>
    <x v="1"/>
    <x v="0"/>
    <x v="0"/>
    <s v="Table"/>
    <x v="18"/>
    <d v="2023-09-13T00:00:00"/>
    <d v="2023-09-25T00:00:00"/>
    <n v="17"/>
    <n v="5"/>
    <n v="10"/>
    <n v="624.45000000000005"/>
    <n v="6244.5"/>
    <n v="0.09"/>
    <n v="562"/>
    <n v="5682.5"/>
    <n v="4058.92"/>
    <n v="1623.58"/>
  </r>
  <r>
    <n v="100761"/>
    <n v="4742"/>
    <x v="3"/>
    <x v="1"/>
    <x v="2"/>
    <s v="Headphones"/>
    <x v="306"/>
    <d v="2023-07-25T00:00:00"/>
    <d v="2023-08-06T00:00:00"/>
    <n v="15"/>
    <n v="3"/>
    <n v="2"/>
    <n v="590.07000000000005"/>
    <n v="1180.1400000000001"/>
    <n v="0.01"/>
    <n v="11.8"/>
    <n v="1168.3399999999999"/>
    <n v="755.29"/>
    <n v="413.05"/>
  </r>
  <r>
    <n v="100762"/>
    <n v="1521"/>
    <x v="1"/>
    <x v="0"/>
    <x v="0"/>
    <s v="Lamp"/>
    <x v="279"/>
    <d v="2023-04-05T00:00:00"/>
    <d v="2023-04-07T00:00:00"/>
    <n v="7"/>
    <n v="5"/>
    <n v="14"/>
    <n v="781.45"/>
    <n v="10940.3"/>
    <n v="7.0000000000000007E-2"/>
    <n v="765.82"/>
    <n v="10174.48"/>
    <n v="6345.37"/>
    <n v="3829.11"/>
  </r>
  <r>
    <n v="100763"/>
    <n v="3343"/>
    <x v="1"/>
    <x v="0"/>
    <x v="1"/>
    <s v="Pasta"/>
    <x v="100"/>
    <d v="2023-11-21T00:00:00"/>
    <d v="2023-12-12T00:00:00"/>
    <n v="25"/>
    <n v="4"/>
    <n v="12"/>
    <n v="600.91999999999996"/>
    <n v="7211.04"/>
    <n v="7.0000000000000007E-2"/>
    <n v="504.77"/>
    <n v="6706.27"/>
    <n v="4254.51"/>
    <n v="2451.7600000000002"/>
  </r>
  <r>
    <n v="100764"/>
    <n v="2097"/>
    <x v="0"/>
    <x v="2"/>
    <x v="1"/>
    <s v="Rice"/>
    <x v="202"/>
    <d v="2023-04-02T00:00:00"/>
    <d v="2023-04-24T00:00:00"/>
    <n v="25"/>
    <n v="3"/>
    <n v="10"/>
    <n v="384.14"/>
    <n v="3841.4"/>
    <n v="0.09"/>
    <n v="345.73"/>
    <n v="3495.67"/>
    <n v="2765.81"/>
    <n v="729.86"/>
  </r>
  <r>
    <n v="100765"/>
    <n v="3187"/>
    <x v="1"/>
    <x v="0"/>
    <x v="3"/>
    <s v="Shoes"/>
    <x v="281"/>
    <d v="2023-02-06T00:00:00"/>
    <d v="2023-03-02T00:00:00"/>
    <n v="28"/>
    <n v="4"/>
    <n v="2"/>
    <n v="140.71"/>
    <n v="281.42"/>
    <n v="0.04"/>
    <n v="11.26"/>
    <n v="270.16000000000003"/>
    <n v="182.92"/>
    <n v="87.24"/>
  </r>
  <r>
    <n v="100766"/>
    <n v="3891"/>
    <x v="1"/>
    <x v="1"/>
    <x v="2"/>
    <s v="Headphones"/>
    <x v="85"/>
    <d v="2023-02-10T00:00:00"/>
    <d v="2023-03-06T00:00:00"/>
    <n v="25"/>
    <n v="1"/>
    <n v="2"/>
    <n v="689.77"/>
    <n v="1379.54"/>
    <n v="0.09"/>
    <n v="124.16"/>
    <n v="1255.3800000000001"/>
    <n v="827.72"/>
    <n v="427.66"/>
  </r>
  <r>
    <n v="100767"/>
    <n v="2884"/>
    <x v="2"/>
    <x v="1"/>
    <x v="3"/>
    <s v="Shoes"/>
    <x v="161"/>
    <d v="2023-07-01T00:00:00"/>
    <d v="2023-07-18T00:00:00"/>
    <n v="22"/>
    <n v="5"/>
    <n v="9"/>
    <n v="340.54"/>
    <n v="3064.86"/>
    <n v="0.13"/>
    <n v="398.43"/>
    <n v="2666.43"/>
    <n v="2114.75"/>
    <n v="551.67999999999995"/>
  </r>
  <r>
    <n v="100768"/>
    <n v="2305"/>
    <x v="0"/>
    <x v="1"/>
    <x v="3"/>
    <s v="Shoes"/>
    <x v="184"/>
    <d v="2023-05-06T00:00:00"/>
    <d v="2023-05-05T00:00:00"/>
    <n v="2"/>
    <n v="3"/>
    <n v="6"/>
    <n v="573.84"/>
    <n v="3443.04"/>
    <n v="0.1"/>
    <n v="344.3"/>
    <n v="3098.74"/>
    <n v="2100.25"/>
    <n v="998.49"/>
  </r>
  <r>
    <n v="100769"/>
    <n v="2454"/>
    <x v="1"/>
    <x v="0"/>
    <x v="3"/>
    <s v="Jeans"/>
    <x v="85"/>
    <d v="2023-02-13T00:00:00"/>
    <d v="2023-03-04T00:00:00"/>
    <n v="23"/>
    <n v="4"/>
    <n v="13"/>
    <n v="139.18"/>
    <n v="1809.34"/>
    <n v="0"/>
    <n v="0"/>
    <n v="1809.34"/>
    <n v="1157.98"/>
    <n v="651.36"/>
  </r>
  <r>
    <n v="100770"/>
    <n v="4470"/>
    <x v="1"/>
    <x v="1"/>
    <x v="1"/>
    <s v="Rice"/>
    <x v="149"/>
    <d v="2023-02-01T00:00:00"/>
    <d v="2023-02-02T00:00:00"/>
    <n v="5"/>
    <n v="4"/>
    <n v="13"/>
    <n v="639.98"/>
    <n v="8319.74"/>
    <n v="0.08"/>
    <n v="665.58"/>
    <n v="7654.16"/>
    <n v="5657.42"/>
    <n v="1996.74"/>
  </r>
  <r>
    <n v="100771"/>
    <n v="4832"/>
    <x v="3"/>
    <x v="2"/>
    <x v="0"/>
    <s v="Sofa"/>
    <x v="156"/>
    <d v="2023-09-04T00:00:00"/>
    <d v="2023-09-25T00:00:00"/>
    <n v="26"/>
    <n v="5"/>
    <n v="10"/>
    <n v="607.84"/>
    <n v="6078.4"/>
    <n v="0.08"/>
    <n v="486.27"/>
    <n v="5592.13"/>
    <n v="3525.47"/>
    <n v="2066.66"/>
  </r>
  <r>
    <n v="100772"/>
    <n v="1653"/>
    <x v="0"/>
    <x v="1"/>
    <x v="2"/>
    <s v="Tablet"/>
    <x v="271"/>
    <d v="2023-08-31T00:00:00"/>
    <d v="2023-09-06T00:00:00"/>
    <n v="8"/>
    <n v="2"/>
    <n v="10"/>
    <n v="595.04"/>
    <n v="5950.4"/>
    <n v="0.06"/>
    <n v="357.02"/>
    <n v="5593.38"/>
    <n v="3629.74"/>
    <n v="1963.64"/>
  </r>
  <r>
    <n v="100773"/>
    <n v="1563"/>
    <x v="3"/>
    <x v="1"/>
    <x v="3"/>
    <s v="Jacket"/>
    <x v="255"/>
    <d v="2023-09-20T00:00:00"/>
    <d v="2023-09-19T00:00:00"/>
    <n v="3"/>
    <n v="4"/>
    <n v="5"/>
    <n v="11.82"/>
    <n v="59.1"/>
    <n v="0.08"/>
    <n v="4.7300000000000004"/>
    <n v="54.37"/>
    <n v="32.51"/>
    <n v="21.86"/>
  </r>
  <r>
    <n v="100774"/>
    <n v="3352"/>
    <x v="0"/>
    <x v="0"/>
    <x v="0"/>
    <s v="Lamp"/>
    <x v="93"/>
    <d v="2023-07-30T00:00:00"/>
    <d v="2023-08-17T00:00:00"/>
    <n v="19"/>
    <n v="1"/>
    <n v="13"/>
    <n v="707.22"/>
    <n v="9193.86"/>
    <n v="0.05"/>
    <n v="459.69"/>
    <n v="8734.17"/>
    <n v="5976.01"/>
    <n v="2758.16"/>
  </r>
  <r>
    <n v="100775"/>
    <n v="1980"/>
    <x v="3"/>
    <x v="2"/>
    <x v="1"/>
    <s v="Snacks"/>
    <x v="188"/>
    <d v="2023-07-07T00:00:00"/>
    <d v="2023-07-19T00:00:00"/>
    <n v="15"/>
    <n v="3"/>
    <n v="4"/>
    <n v="310.02"/>
    <n v="1240.08"/>
    <n v="0.06"/>
    <n v="74.400000000000006"/>
    <n v="1165.68"/>
    <n v="620.04"/>
    <n v="545.64"/>
  </r>
  <r>
    <n v="100776"/>
    <n v="2212"/>
    <x v="1"/>
    <x v="0"/>
    <x v="0"/>
    <s v="Lamp"/>
    <x v="230"/>
    <d v="2023-05-12T00:00:00"/>
    <d v="2023-05-23T00:00:00"/>
    <n v="13"/>
    <n v="2"/>
    <n v="3"/>
    <n v="189.87"/>
    <n v="569.61"/>
    <n v="0.06"/>
    <n v="34.18"/>
    <n v="535.42999999999995"/>
    <n v="318.98"/>
    <n v="216.45"/>
  </r>
  <r>
    <n v="100777"/>
    <n v="3845"/>
    <x v="3"/>
    <x v="0"/>
    <x v="1"/>
    <s v="Rice"/>
    <x v="215"/>
    <d v="2023-11-23T00:00:00"/>
    <d v="2023-12-09T00:00:00"/>
    <n v="20"/>
    <n v="4"/>
    <n v="1"/>
    <n v="174.73"/>
    <n v="174.73"/>
    <n v="0.1"/>
    <n v="17.47"/>
    <n v="157.26"/>
    <n v="113.57"/>
    <n v="43.69"/>
  </r>
  <r>
    <n v="100778"/>
    <n v="1519"/>
    <x v="0"/>
    <x v="1"/>
    <x v="0"/>
    <s v="Cookware"/>
    <x v="328"/>
    <d v="2023-09-04T00:00:00"/>
    <d v="2023-09-07T00:00:00"/>
    <n v="7"/>
    <n v="4"/>
    <n v="14"/>
    <n v="132.46"/>
    <n v="1854.44"/>
    <n v="0.04"/>
    <n v="74.180000000000007"/>
    <n v="1780.26"/>
    <n v="945.76"/>
    <n v="834.5"/>
  </r>
  <r>
    <n v="100779"/>
    <n v="3923"/>
    <x v="0"/>
    <x v="1"/>
    <x v="2"/>
    <s v="Headphones"/>
    <x v="288"/>
    <d v="2023-02-01T00:00:00"/>
    <d v="2023-02-08T00:00:00"/>
    <n v="8"/>
    <n v="1"/>
    <n v="11"/>
    <n v="123.39"/>
    <n v="1357.29"/>
    <n v="0.02"/>
    <n v="27.15"/>
    <n v="1330.14"/>
    <n v="800.8"/>
    <n v="529.34"/>
  </r>
  <r>
    <n v="100780"/>
    <n v="1162"/>
    <x v="0"/>
    <x v="1"/>
    <x v="1"/>
    <s v="Pasta"/>
    <x v="61"/>
    <d v="2023-11-29T00:00:00"/>
    <d v="2023-12-06T00:00:00"/>
    <n v="10"/>
    <n v="3"/>
    <n v="2"/>
    <n v="792.89"/>
    <n v="1585.78"/>
    <n v="0"/>
    <n v="0"/>
    <n v="1585.78"/>
    <n v="856.32"/>
    <n v="729.46"/>
  </r>
  <r>
    <n v="100781"/>
    <n v="2659"/>
    <x v="1"/>
    <x v="0"/>
    <x v="2"/>
    <s v="Phone"/>
    <x v="84"/>
    <d v="2023-08-08T00:00:00"/>
    <d v="2023-08-17T00:00:00"/>
    <n v="13"/>
    <n v="4"/>
    <n v="10"/>
    <n v="463.62"/>
    <n v="4636.2"/>
    <n v="0.03"/>
    <n v="139.09"/>
    <n v="4497.1099999999997"/>
    <n v="2920.81"/>
    <n v="1576.3"/>
  </r>
  <r>
    <n v="100782"/>
    <n v="1542"/>
    <x v="3"/>
    <x v="2"/>
    <x v="3"/>
    <s v="Jeans"/>
    <x v="271"/>
    <d v="2023-09-01T00:00:00"/>
    <d v="2023-09-14T00:00:00"/>
    <n v="16"/>
    <n v="3"/>
    <n v="4"/>
    <n v="103.61"/>
    <n v="414.44"/>
    <n v="0.05"/>
    <n v="20.72"/>
    <n v="393.72"/>
    <n v="273.52999999999997"/>
    <n v="120.19"/>
  </r>
  <r>
    <n v="100783"/>
    <n v="4829"/>
    <x v="0"/>
    <x v="0"/>
    <x v="2"/>
    <s v="Tablet"/>
    <x v="254"/>
    <d v="2023-11-24T00:00:00"/>
    <d v="2023-11-27T00:00:00"/>
    <n v="6"/>
    <n v="3"/>
    <n v="5"/>
    <n v="532.99"/>
    <n v="2664.95"/>
    <n v="0.05"/>
    <n v="133.25"/>
    <n v="2531.6999999999998"/>
    <n v="1785.52"/>
    <n v="746.18"/>
  </r>
  <r>
    <n v="100784"/>
    <n v="4428"/>
    <x v="0"/>
    <x v="1"/>
    <x v="0"/>
    <s v="Sofa"/>
    <x v="223"/>
    <d v="2023-11-01T00:00:00"/>
    <d v="2023-10-31T00:00:00"/>
    <n v="2"/>
    <n v="3"/>
    <n v="10"/>
    <n v="454.63"/>
    <n v="4546.3"/>
    <n v="0.04"/>
    <n v="181.85"/>
    <n v="4364.45"/>
    <n v="2682.32"/>
    <n v="1682.13"/>
  </r>
  <r>
    <n v="100785"/>
    <n v="4389"/>
    <x v="3"/>
    <x v="2"/>
    <x v="1"/>
    <s v="Rice"/>
    <x v="307"/>
    <d v="2023-11-02T00:00:00"/>
    <d v="2023-11-10T00:00:00"/>
    <n v="13"/>
    <n v="5"/>
    <n v="3"/>
    <n v="655.04"/>
    <n v="1965.12"/>
    <n v="0.1"/>
    <n v="196.51"/>
    <n v="1768.61"/>
    <n v="1198.72"/>
    <n v="569.89"/>
  </r>
  <r>
    <n v="100786"/>
    <n v="4463"/>
    <x v="2"/>
    <x v="2"/>
    <x v="0"/>
    <s v="Table"/>
    <x v="95"/>
    <d v="2023-04-16T00:00:00"/>
    <d v="2023-05-08T00:00:00"/>
    <n v="27"/>
    <n v="5"/>
    <n v="11"/>
    <n v="313.62"/>
    <n v="3449.82"/>
    <n v="0.03"/>
    <n v="103.49"/>
    <n v="3346.33"/>
    <n v="2104.39"/>
    <n v="1241.94"/>
  </r>
  <r>
    <n v="100787"/>
    <n v="4720"/>
    <x v="0"/>
    <x v="2"/>
    <x v="2"/>
    <s v="Phone"/>
    <x v="252"/>
    <d v="2023-03-24T00:00:00"/>
    <d v="2023-04-02T00:00:00"/>
    <n v="11"/>
    <n v="2"/>
    <n v="4"/>
    <n v="455.75"/>
    <n v="1823"/>
    <n v="0.18"/>
    <n v="328.14"/>
    <n v="1494.86"/>
    <n v="1112.03"/>
    <n v="382.83"/>
  </r>
  <r>
    <n v="100788"/>
    <n v="3584"/>
    <x v="0"/>
    <x v="1"/>
    <x v="1"/>
    <s v="Rice"/>
    <x v="171"/>
    <d v="2023-03-13T00:00:00"/>
    <d v="2023-04-03T00:00:00"/>
    <n v="23"/>
    <n v="2"/>
    <n v="1"/>
    <n v="177.67"/>
    <n v="177.67"/>
    <n v="0.04"/>
    <n v="7.11"/>
    <n v="170.56"/>
    <n v="115.49"/>
    <n v="55.07"/>
  </r>
  <r>
    <n v="100789"/>
    <n v="2573"/>
    <x v="1"/>
    <x v="1"/>
    <x v="3"/>
    <s v="Shoes"/>
    <x v="96"/>
    <d v="2023-07-01T00:00:00"/>
    <d v="2023-07-10T00:00:00"/>
    <n v="10"/>
    <n v="1"/>
    <n v="9"/>
    <n v="404.65"/>
    <n v="3641.85"/>
    <n v="0.09"/>
    <n v="327.77"/>
    <n v="3314.08"/>
    <n v="2148.69"/>
    <n v="1165.3900000000001"/>
  </r>
  <r>
    <n v="100790"/>
    <n v="4499"/>
    <x v="1"/>
    <x v="0"/>
    <x v="2"/>
    <s v="Tablet"/>
    <x v="13"/>
    <d v="2023-06-21T00:00:00"/>
    <d v="2023-06-29T00:00:00"/>
    <n v="12"/>
    <n v="4"/>
    <n v="6"/>
    <n v="322.88"/>
    <n v="1937.28"/>
    <n v="0.06"/>
    <n v="116.24"/>
    <n v="1821.04"/>
    <n v="1162.3699999999999"/>
    <n v="658.67"/>
  </r>
  <r>
    <n v="100791"/>
    <n v="4919"/>
    <x v="1"/>
    <x v="1"/>
    <x v="1"/>
    <s v="Rice"/>
    <x v="219"/>
    <d v="2023-08-31T00:00:00"/>
    <d v="2023-09-20T00:00:00"/>
    <n v="25"/>
    <n v="5"/>
    <n v="4"/>
    <n v="578.92999999999995"/>
    <n v="2315.7199999999998"/>
    <n v="0.09"/>
    <n v="208.41"/>
    <n v="2107.31"/>
    <n v="1435.75"/>
    <n v="671.56"/>
  </r>
  <r>
    <n v="100792"/>
    <n v="3326"/>
    <x v="0"/>
    <x v="2"/>
    <x v="2"/>
    <s v="Headphones"/>
    <x v="12"/>
    <d v="2023-08-12T00:00:00"/>
    <d v="2023-08-22T00:00:00"/>
    <n v="15"/>
    <n v="5"/>
    <n v="10"/>
    <n v="625.65"/>
    <n v="6256.5"/>
    <n v="0.12"/>
    <n v="750.78"/>
    <n v="5505.72"/>
    <n v="3941.6"/>
    <n v="1564.12"/>
  </r>
  <r>
    <n v="100793"/>
    <n v="1236"/>
    <x v="2"/>
    <x v="0"/>
    <x v="1"/>
    <s v="Beverage"/>
    <x v="135"/>
    <d v="2023-12-21T00:00:00"/>
    <d v="2024-01-06T00:00:00"/>
    <n v="18"/>
    <n v="2"/>
    <n v="4"/>
    <n v="343.28"/>
    <n v="1373.12"/>
    <n v="0.11"/>
    <n v="151.04"/>
    <n v="1222.08"/>
    <n v="892.53"/>
    <n v="329.55"/>
  </r>
  <r>
    <n v="100794"/>
    <n v="2221"/>
    <x v="1"/>
    <x v="1"/>
    <x v="1"/>
    <s v="Snacks"/>
    <x v="217"/>
    <d v="2023-11-04T00:00:00"/>
    <d v="2023-11-27T00:00:00"/>
    <n v="27"/>
    <n v="4"/>
    <n v="10"/>
    <n v="69"/>
    <n v="690"/>
    <n v="0"/>
    <n v="0"/>
    <n v="690"/>
    <n v="441.6"/>
    <n v="248.4"/>
  </r>
  <r>
    <n v="100795"/>
    <n v="3444"/>
    <x v="1"/>
    <x v="1"/>
    <x v="2"/>
    <s v="Laptop"/>
    <x v="18"/>
    <d v="2023-09-13T00:00:00"/>
    <d v="2023-10-04T00:00:00"/>
    <n v="26"/>
    <n v="5"/>
    <n v="14"/>
    <n v="713.64"/>
    <n v="9990.9599999999991"/>
    <n v="0.1"/>
    <n v="999.1"/>
    <n v="8991.86"/>
    <n v="6693.94"/>
    <n v="2297.92"/>
  </r>
  <r>
    <n v="100796"/>
    <n v="1516"/>
    <x v="2"/>
    <x v="2"/>
    <x v="1"/>
    <s v="Pasta"/>
    <x v="164"/>
    <d v="2023-05-12T00:00:00"/>
    <d v="2023-05-28T00:00:00"/>
    <n v="20"/>
    <n v="4"/>
    <n v="6"/>
    <n v="51.56"/>
    <n v="309.36"/>
    <n v="0"/>
    <n v="0"/>
    <n v="309.36"/>
    <n v="194.9"/>
    <n v="114.46"/>
  </r>
  <r>
    <n v="100797"/>
    <n v="1571"/>
    <x v="2"/>
    <x v="1"/>
    <x v="3"/>
    <s v="Shirt"/>
    <x v="128"/>
    <d v="2023-03-23T00:00:00"/>
    <d v="2023-04-14T00:00:00"/>
    <n v="26"/>
    <n v="4"/>
    <n v="1"/>
    <n v="738.09"/>
    <n v="738.09"/>
    <n v="0.15"/>
    <n v="110.71"/>
    <n v="627.38"/>
    <n v="428.09"/>
    <n v="199.29"/>
  </r>
  <r>
    <n v="100798"/>
    <n v="3227"/>
    <x v="0"/>
    <x v="2"/>
    <x v="3"/>
    <s v="Shoes"/>
    <x v="207"/>
    <d v="2023-10-27T00:00:00"/>
    <d v="2023-11-16T00:00:00"/>
    <n v="24"/>
    <n v="4"/>
    <n v="10"/>
    <n v="411.22"/>
    <n v="4112.2"/>
    <n v="0.15"/>
    <n v="616.83000000000004"/>
    <n v="3495.37"/>
    <n v="2261.71"/>
    <n v="1233.6600000000001"/>
  </r>
  <r>
    <n v="100799"/>
    <n v="1911"/>
    <x v="2"/>
    <x v="0"/>
    <x v="1"/>
    <s v="Pasta"/>
    <x v="185"/>
    <d v="2023-12-21T00:00:00"/>
    <d v="2024-01-12T00:00:00"/>
    <n v="23"/>
    <n v="1"/>
    <n v="6"/>
    <n v="389.06"/>
    <n v="2334.36"/>
    <n v="0.06"/>
    <n v="140.06"/>
    <n v="2194.3000000000002"/>
    <n v="1190.52"/>
    <n v="1003.78"/>
  </r>
  <r>
    <n v="100800"/>
    <n v="4302"/>
    <x v="3"/>
    <x v="2"/>
    <x v="3"/>
    <s v="Shirt"/>
    <x v="231"/>
    <d v="2023-10-25T00:00:00"/>
    <d v="2023-11-19T00:00:00"/>
    <n v="29"/>
    <n v="4"/>
    <n v="4"/>
    <n v="210.56"/>
    <n v="842.24"/>
    <n v="0.11"/>
    <n v="92.65"/>
    <n v="749.59"/>
    <n v="572.72"/>
    <n v="176.87"/>
  </r>
  <r>
    <n v="100801"/>
    <n v="1491"/>
    <x v="1"/>
    <x v="0"/>
    <x v="3"/>
    <s v="Jacket"/>
    <x v="153"/>
    <d v="2023-11-08T00:00:00"/>
    <d v="2023-11-22T00:00:00"/>
    <n v="15"/>
    <n v="1"/>
    <n v="10"/>
    <n v="723.51"/>
    <n v="7235.1"/>
    <n v="7.0000000000000007E-2"/>
    <n v="506.46"/>
    <n v="6728.64"/>
    <n v="4124.01"/>
    <n v="2604.63"/>
  </r>
  <r>
    <n v="100802"/>
    <n v="4054"/>
    <x v="0"/>
    <x v="1"/>
    <x v="2"/>
    <s v="Headphones"/>
    <x v="202"/>
    <d v="2023-04-04T00:00:00"/>
    <d v="2023-04-06T00:00:00"/>
    <n v="7"/>
    <n v="5"/>
    <n v="8"/>
    <n v="555.97"/>
    <n v="4447.76"/>
    <n v="0.16"/>
    <n v="711.64"/>
    <n v="3736.12"/>
    <n v="2312.84"/>
    <n v="1423.28"/>
  </r>
  <r>
    <n v="100803"/>
    <n v="2353"/>
    <x v="2"/>
    <x v="0"/>
    <x v="3"/>
    <s v="Shirt"/>
    <x v="121"/>
    <d v="2023-05-06T00:00:00"/>
    <d v="2023-05-24T00:00:00"/>
    <n v="22"/>
    <n v="4"/>
    <n v="7"/>
    <n v="604.73"/>
    <n v="4233.1099999999997"/>
    <n v="0.12"/>
    <n v="507.97"/>
    <n v="3725.14"/>
    <n v="2793.85"/>
    <n v="931.29"/>
  </r>
  <r>
    <n v="100804"/>
    <n v="3110"/>
    <x v="0"/>
    <x v="1"/>
    <x v="0"/>
    <s v="Cookware"/>
    <x v="120"/>
    <d v="2023-11-07T00:00:00"/>
    <d v="2023-11-24T00:00:00"/>
    <n v="20"/>
    <n v="3"/>
    <n v="14"/>
    <n v="673.03"/>
    <n v="9422.42"/>
    <n v="0.04"/>
    <n v="376.9"/>
    <n v="9045.52"/>
    <n v="5841.9"/>
    <n v="3203.62"/>
  </r>
  <r>
    <n v="100805"/>
    <n v="2714"/>
    <x v="3"/>
    <x v="1"/>
    <x v="0"/>
    <s v="Sofa"/>
    <x v="126"/>
    <d v="2023-12-09T00:00:00"/>
    <d v="2023-12-18T00:00:00"/>
    <n v="13"/>
    <n v="4"/>
    <n v="8"/>
    <n v="70.45"/>
    <n v="563.6"/>
    <n v="7.0000000000000007E-2"/>
    <n v="39.450000000000003"/>
    <n v="524.15"/>
    <n v="343.8"/>
    <n v="180.35"/>
  </r>
  <r>
    <n v="100806"/>
    <n v="3718"/>
    <x v="1"/>
    <x v="0"/>
    <x v="1"/>
    <s v="Rice"/>
    <x v="27"/>
    <d v="2023-04-28T00:00:00"/>
    <d v="2023-05-04T00:00:00"/>
    <n v="11"/>
    <n v="5"/>
    <n v="10"/>
    <n v="642.12"/>
    <n v="6421.2"/>
    <n v="7.0000000000000007E-2"/>
    <n v="449.48"/>
    <n v="5971.72"/>
    <n v="3467.45"/>
    <n v="2504.27"/>
  </r>
  <r>
    <n v="100807"/>
    <n v="2475"/>
    <x v="1"/>
    <x v="1"/>
    <x v="0"/>
    <s v="Cookware"/>
    <x v="230"/>
    <d v="2023-05-11T00:00:00"/>
    <d v="2023-05-31T00:00:00"/>
    <n v="21"/>
    <n v="1"/>
    <n v="11"/>
    <n v="311.36"/>
    <n v="3424.96"/>
    <n v="0"/>
    <n v="0"/>
    <n v="3424.96"/>
    <n v="2157.7199999999998"/>
    <n v="1267.24"/>
  </r>
  <r>
    <n v="100808"/>
    <n v="2882"/>
    <x v="0"/>
    <x v="0"/>
    <x v="2"/>
    <s v="Laptop"/>
    <x v="253"/>
    <d v="2023-12-01T00:00:00"/>
    <d v="2023-12-09T00:00:00"/>
    <n v="12"/>
    <n v="4"/>
    <n v="7"/>
    <n v="47.36"/>
    <n v="331.52"/>
    <n v="0.1"/>
    <n v="33.15"/>
    <n v="298.37"/>
    <n v="215.49"/>
    <n v="82.88"/>
  </r>
  <r>
    <n v="100809"/>
    <n v="2865"/>
    <x v="3"/>
    <x v="1"/>
    <x v="1"/>
    <s v="Pasta"/>
    <x v="306"/>
    <d v="2023-07-26T00:00:00"/>
    <d v="2023-08-06T00:00:00"/>
    <n v="15"/>
    <n v="4"/>
    <n v="9"/>
    <n v="350.32"/>
    <n v="3152.88"/>
    <n v="0.03"/>
    <n v="94.59"/>
    <n v="3058.29"/>
    <n v="2143.96"/>
    <n v="914.33"/>
  </r>
  <r>
    <n v="100810"/>
    <n v="4466"/>
    <x v="2"/>
    <x v="1"/>
    <x v="3"/>
    <s v="Jacket"/>
    <x v="143"/>
    <d v="2023-02-19T00:00:00"/>
    <d v="2023-02-23T00:00:00"/>
    <n v="5"/>
    <n v="1"/>
    <n v="1"/>
    <n v="616.96"/>
    <n v="616.96"/>
    <n v="0.05"/>
    <n v="30.85"/>
    <n v="586.11"/>
    <n v="407.19"/>
    <n v="178.92"/>
  </r>
  <r>
    <n v="100811"/>
    <n v="2657"/>
    <x v="2"/>
    <x v="0"/>
    <x v="1"/>
    <s v="Snacks"/>
    <x v="329"/>
    <d v="2023-12-31T00:00:00"/>
    <d v="2024-01-08T00:00:00"/>
    <n v="12"/>
    <n v="4"/>
    <n v="12"/>
    <n v="537.15"/>
    <n v="6445.8"/>
    <n v="0.17"/>
    <n v="1095.79"/>
    <n v="5350.01"/>
    <n v="3803.02"/>
    <n v="1546.99"/>
  </r>
  <r>
    <n v="100812"/>
    <n v="2623"/>
    <x v="1"/>
    <x v="0"/>
    <x v="0"/>
    <s v="Lamp"/>
    <x v="310"/>
    <d v="2023-01-08T00:00:00"/>
    <d v="2023-01-12T00:00:00"/>
    <n v="9"/>
    <n v="5"/>
    <n v="8"/>
    <n v="288.89999999999998"/>
    <n v="2311.1999999999998"/>
    <n v="0.1"/>
    <n v="231.12"/>
    <n v="2080.08"/>
    <n v="1571.62"/>
    <n v="508.46"/>
  </r>
  <r>
    <n v="100813"/>
    <n v="2286"/>
    <x v="3"/>
    <x v="0"/>
    <x v="1"/>
    <s v="Beverage"/>
    <x v="141"/>
    <d v="2023-10-18T00:00:00"/>
    <d v="2023-10-17T00:00:00"/>
    <n v="2"/>
    <n v="3"/>
    <n v="2"/>
    <n v="152.88"/>
    <n v="305.76"/>
    <n v="0.14000000000000001"/>
    <n v="42.81"/>
    <n v="262.95"/>
    <n v="201.8"/>
    <n v="61.15"/>
  </r>
  <r>
    <n v="100814"/>
    <n v="4948"/>
    <x v="0"/>
    <x v="2"/>
    <x v="2"/>
    <s v="Tablet"/>
    <x v="330"/>
    <d v="2023-06-11T00:00:00"/>
    <d v="2023-06-20T00:00:00"/>
    <n v="11"/>
    <n v="2"/>
    <n v="11"/>
    <n v="670.3"/>
    <n v="7373.3"/>
    <n v="0.03"/>
    <n v="221.2"/>
    <n v="7152.1"/>
    <n v="4497.71"/>
    <n v="2654.39"/>
  </r>
  <r>
    <n v="100815"/>
    <n v="3105"/>
    <x v="1"/>
    <x v="0"/>
    <x v="0"/>
    <s v="Sofa"/>
    <x v="212"/>
    <d v="2023-01-18T00:00:00"/>
    <d v="2023-02-07T00:00:00"/>
    <n v="22"/>
    <n v="2"/>
    <n v="6"/>
    <n v="740.65"/>
    <n v="4443.8999999999996"/>
    <n v="0.03"/>
    <n v="133.32"/>
    <n v="4310.58"/>
    <n v="3110.73"/>
    <n v="1199.8499999999999"/>
  </r>
  <r>
    <n v="100816"/>
    <n v="1052"/>
    <x v="2"/>
    <x v="2"/>
    <x v="2"/>
    <s v="Laptop"/>
    <x v="263"/>
    <d v="2023-06-27T00:00:00"/>
    <d v="2023-07-11T00:00:00"/>
    <n v="18"/>
    <n v="4"/>
    <n v="13"/>
    <n v="223.55"/>
    <n v="2906.15"/>
    <n v="0.04"/>
    <n v="116.25"/>
    <n v="2789.9"/>
    <n v="1976.18"/>
    <n v="813.72"/>
  </r>
  <r>
    <n v="100817"/>
    <n v="2785"/>
    <x v="1"/>
    <x v="2"/>
    <x v="3"/>
    <s v="Jeans"/>
    <x v="290"/>
    <d v="2023-09-10T00:00:00"/>
    <d v="2023-09-12T00:00:00"/>
    <n v="5"/>
    <n v="3"/>
    <n v="5"/>
    <n v="192.91"/>
    <n v="964.55"/>
    <n v="0.09"/>
    <n v="86.81"/>
    <n v="877.74"/>
    <n v="588.38"/>
    <n v="289.36"/>
  </r>
  <r>
    <n v="100818"/>
    <n v="3417"/>
    <x v="0"/>
    <x v="0"/>
    <x v="3"/>
    <s v="Jacket"/>
    <x v="236"/>
    <d v="2023-03-31T00:00:00"/>
    <d v="2023-04-08T00:00:00"/>
    <n v="13"/>
    <n v="5"/>
    <n v="14"/>
    <n v="335.29"/>
    <n v="4694.0600000000004"/>
    <n v="0"/>
    <n v="0"/>
    <n v="4694.0600000000004"/>
    <n v="2957.26"/>
    <n v="1736.8"/>
  </r>
  <r>
    <n v="100819"/>
    <n v="2324"/>
    <x v="2"/>
    <x v="1"/>
    <x v="1"/>
    <s v="Snacks"/>
    <x v="259"/>
    <d v="2023-06-04T00:00:00"/>
    <d v="2023-06-20T00:00:00"/>
    <n v="20"/>
    <n v="4"/>
    <n v="11"/>
    <n v="610.5"/>
    <n v="6715.5"/>
    <n v="0.06"/>
    <n v="402.93"/>
    <n v="6312.57"/>
    <n v="4029.3"/>
    <n v="2283.27"/>
  </r>
  <r>
    <n v="100820"/>
    <n v="4367"/>
    <x v="1"/>
    <x v="2"/>
    <x v="3"/>
    <s v="Shirt"/>
    <x v="258"/>
    <d v="2023-02-06T00:00:00"/>
    <d v="2023-02-16T00:00:00"/>
    <n v="15"/>
    <n v="5"/>
    <n v="14"/>
    <n v="793.08"/>
    <n v="11103.12"/>
    <n v="0.08"/>
    <n v="888.25"/>
    <n v="10214.870000000001"/>
    <n v="7661.15"/>
    <n v="2553.7199999999998"/>
  </r>
  <r>
    <n v="100821"/>
    <n v="2811"/>
    <x v="3"/>
    <x v="0"/>
    <x v="3"/>
    <s v="Shoes"/>
    <x v="154"/>
    <d v="2023-10-28T00:00:00"/>
    <d v="2023-10-28T00:00:00"/>
    <n v="2"/>
    <n v="2"/>
    <n v="11"/>
    <n v="651.70000000000005"/>
    <n v="7168.7"/>
    <n v="0.06"/>
    <n v="430.12"/>
    <n v="6738.58"/>
    <n v="4587.97"/>
    <n v="2150.61"/>
  </r>
  <r>
    <n v="100822"/>
    <n v="2686"/>
    <x v="1"/>
    <x v="1"/>
    <x v="2"/>
    <s v="Headphones"/>
    <x v="61"/>
    <d v="2023-11-27T00:00:00"/>
    <d v="2023-12-13T00:00:00"/>
    <n v="17"/>
    <n v="1"/>
    <n v="10"/>
    <n v="586.36"/>
    <n v="5863.6"/>
    <n v="0.06"/>
    <n v="351.82"/>
    <n v="5511.78"/>
    <n v="3400.89"/>
    <n v="2110.89"/>
  </r>
  <r>
    <n v="100823"/>
    <n v="1768"/>
    <x v="2"/>
    <x v="1"/>
    <x v="0"/>
    <s v="Lamp"/>
    <x v="178"/>
    <d v="2023-12-19T00:00:00"/>
    <d v="2023-12-27T00:00:00"/>
    <n v="13"/>
    <n v="5"/>
    <n v="2"/>
    <n v="69.95"/>
    <n v="139.9"/>
    <n v="0.11"/>
    <n v="15.39"/>
    <n v="124.51"/>
    <n v="99.33"/>
    <n v="25.18"/>
  </r>
  <r>
    <n v="100824"/>
    <n v="3676"/>
    <x v="3"/>
    <x v="1"/>
    <x v="3"/>
    <s v="Shoes"/>
    <x v="331"/>
    <d v="2023-12-25T00:00:00"/>
    <d v="2023-12-28T00:00:00"/>
    <n v="4"/>
    <n v="1"/>
    <n v="9"/>
    <n v="78.599999999999994"/>
    <n v="707.4"/>
    <n v="0.13"/>
    <n v="91.96"/>
    <n v="615.44000000000005"/>
    <n v="452.74"/>
    <n v="162.69999999999999"/>
  </r>
  <r>
    <n v="100825"/>
    <n v="4905"/>
    <x v="0"/>
    <x v="1"/>
    <x v="1"/>
    <s v="Beverage"/>
    <x v="147"/>
    <d v="2023-11-12T00:00:00"/>
    <d v="2023-11-27T00:00:00"/>
    <n v="16"/>
    <n v="1"/>
    <n v="13"/>
    <n v="156.74"/>
    <n v="2037.62"/>
    <n v="0.05"/>
    <n v="101.88"/>
    <n v="1935.74"/>
    <n v="1263.32"/>
    <n v="672.42"/>
  </r>
  <r>
    <n v="100826"/>
    <n v="3343"/>
    <x v="2"/>
    <x v="0"/>
    <x v="3"/>
    <s v="Jacket"/>
    <x v="332"/>
    <d v="2023-11-27T00:00:00"/>
    <d v="2023-12-14T00:00:00"/>
    <n v="19"/>
    <n v="2"/>
    <n v="3"/>
    <n v="536.84"/>
    <n v="1610.52"/>
    <n v="0.06"/>
    <n v="96.63"/>
    <n v="1513.89"/>
    <n v="934.1"/>
    <n v="579.79"/>
  </r>
  <r>
    <n v="100827"/>
    <n v="3161"/>
    <x v="0"/>
    <x v="2"/>
    <x v="2"/>
    <s v="Tablet"/>
    <x v="228"/>
    <d v="2023-06-30T00:00:00"/>
    <d v="2023-07-19T00:00:00"/>
    <n v="22"/>
    <n v="3"/>
    <n v="10"/>
    <n v="216.02"/>
    <n v="2160.1999999999998"/>
    <n v="0.14000000000000001"/>
    <n v="302.43"/>
    <n v="1857.77"/>
    <n v="1231.31"/>
    <n v="626.46"/>
  </r>
  <r>
    <n v="100828"/>
    <n v="1495"/>
    <x v="2"/>
    <x v="0"/>
    <x v="3"/>
    <s v="Shoes"/>
    <x v="199"/>
    <d v="2023-08-30T00:00:00"/>
    <d v="2023-09-25T00:00:00"/>
    <n v="29"/>
    <n v="3"/>
    <n v="4"/>
    <n v="499.53"/>
    <n v="1998.12"/>
    <n v="0.13"/>
    <n v="259.76"/>
    <n v="1738.36"/>
    <n v="1298.78"/>
    <n v="439.58"/>
  </r>
  <r>
    <n v="100829"/>
    <n v="1671"/>
    <x v="3"/>
    <x v="1"/>
    <x v="0"/>
    <s v="Lamp"/>
    <x v="141"/>
    <d v="2023-10-19T00:00:00"/>
    <d v="2023-10-28T00:00:00"/>
    <n v="13"/>
    <n v="4"/>
    <n v="5"/>
    <n v="649.15"/>
    <n v="3245.75"/>
    <n v="0.13"/>
    <n v="421.95"/>
    <n v="2823.8"/>
    <n v="1979.91"/>
    <n v="843.89"/>
  </r>
  <r>
    <n v="100830"/>
    <n v="3424"/>
    <x v="1"/>
    <x v="1"/>
    <x v="1"/>
    <s v="Pasta"/>
    <x v="44"/>
    <d v="2023-10-11T00:00:00"/>
    <d v="2023-10-12T00:00:00"/>
    <n v="5"/>
    <n v="4"/>
    <n v="13"/>
    <n v="9.14"/>
    <n v="118.82"/>
    <n v="0"/>
    <n v="0"/>
    <n v="118.82"/>
    <n v="77.23"/>
    <n v="41.59"/>
  </r>
  <r>
    <n v="100831"/>
    <n v="2476"/>
    <x v="1"/>
    <x v="0"/>
    <x v="1"/>
    <s v="Rice"/>
    <x v="229"/>
    <d v="2023-04-12T00:00:00"/>
    <d v="2023-04-19T00:00:00"/>
    <n v="12"/>
    <n v="5"/>
    <n v="7"/>
    <n v="564.62"/>
    <n v="3952.34"/>
    <n v="0.02"/>
    <n v="79.05"/>
    <n v="3873.29"/>
    <n v="2015.69"/>
    <n v="1857.6"/>
  </r>
  <r>
    <n v="100832"/>
    <n v="2888"/>
    <x v="3"/>
    <x v="1"/>
    <x v="2"/>
    <s v="Tablet"/>
    <x v="155"/>
    <d v="2023-01-13T00:00:00"/>
    <d v="2023-02-03T00:00:00"/>
    <n v="26"/>
    <n v="5"/>
    <n v="4"/>
    <n v="166.91"/>
    <n v="667.64"/>
    <n v="0.06"/>
    <n v="40.06"/>
    <n v="627.58000000000004"/>
    <n v="413.94"/>
    <n v="213.64"/>
  </r>
  <r>
    <n v="100833"/>
    <n v="2904"/>
    <x v="0"/>
    <x v="2"/>
    <x v="2"/>
    <s v="Headphones"/>
    <x v="333"/>
    <d v="2023-09-19T00:00:00"/>
    <d v="2023-10-12T00:00:00"/>
    <n v="28"/>
    <n v="5"/>
    <n v="12"/>
    <n v="330.61"/>
    <n v="3967.32"/>
    <n v="0.03"/>
    <n v="119.02"/>
    <n v="3848.3"/>
    <n v="2340.7199999999998"/>
    <n v="1507.58"/>
  </r>
  <r>
    <n v="100834"/>
    <n v="1699"/>
    <x v="0"/>
    <x v="2"/>
    <x v="3"/>
    <s v="Shoes"/>
    <x v="78"/>
    <d v="2023-11-17T00:00:00"/>
    <d v="2023-12-01T00:00:00"/>
    <n v="19"/>
    <n v="5"/>
    <n v="12"/>
    <n v="500.75"/>
    <n v="6009"/>
    <n v="0"/>
    <n v="0"/>
    <n v="6009"/>
    <n v="4086.12"/>
    <n v="1922.88"/>
  </r>
  <r>
    <n v="100835"/>
    <n v="1606"/>
    <x v="3"/>
    <x v="2"/>
    <x v="2"/>
    <s v="Headphones"/>
    <x v="118"/>
    <d v="2023-06-12T00:00:00"/>
    <d v="2023-06-12T00:00:00"/>
    <n v="4"/>
    <n v="4"/>
    <n v="5"/>
    <n v="100.07"/>
    <n v="500.35"/>
    <n v="0"/>
    <n v="0"/>
    <n v="500.35"/>
    <n v="325.23"/>
    <n v="175.12"/>
  </r>
  <r>
    <n v="100836"/>
    <n v="2286"/>
    <x v="1"/>
    <x v="1"/>
    <x v="1"/>
    <s v="Beverage"/>
    <x v="18"/>
    <d v="2023-09-13T00:00:00"/>
    <d v="2023-09-29T00:00:00"/>
    <n v="21"/>
    <n v="5"/>
    <n v="8"/>
    <n v="578.04999999999995"/>
    <n v="4624.3999999999996"/>
    <n v="0.06"/>
    <n v="277.45999999999998"/>
    <n v="4346.9399999999996"/>
    <n v="2589.66"/>
    <n v="1757.28"/>
  </r>
  <r>
    <n v="100837"/>
    <n v="1240"/>
    <x v="0"/>
    <x v="1"/>
    <x v="3"/>
    <s v="Jacket"/>
    <x v="39"/>
    <d v="2023-07-16T00:00:00"/>
    <d v="2023-08-09T00:00:00"/>
    <n v="28"/>
    <n v="4"/>
    <n v="11"/>
    <n v="288.45999999999998"/>
    <n v="3173.06"/>
    <n v="0.03"/>
    <n v="95.19"/>
    <n v="3077.87"/>
    <n v="1967.3"/>
    <n v="1110.57"/>
  </r>
  <r>
    <n v="100838"/>
    <n v="3997"/>
    <x v="3"/>
    <x v="1"/>
    <x v="1"/>
    <s v="Rice"/>
    <x v="78"/>
    <d v="2023-11-17T00:00:00"/>
    <d v="2023-12-10T00:00:00"/>
    <n v="28"/>
    <n v="5"/>
    <n v="6"/>
    <n v="44.97"/>
    <n v="269.82"/>
    <n v="0.02"/>
    <n v="5.4"/>
    <n v="264.42"/>
    <n v="169.99"/>
    <n v="94.43"/>
  </r>
  <r>
    <n v="100839"/>
    <n v="4518"/>
    <x v="3"/>
    <x v="1"/>
    <x v="3"/>
    <s v="Shirt"/>
    <x v="334"/>
    <d v="2023-08-23T00:00:00"/>
    <d v="2023-08-28T00:00:00"/>
    <n v="7"/>
    <n v="2"/>
    <n v="12"/>
    <n v="669.52"/>
    <n v="8034.24"/>
    <n v="0.04"/>
    <n v="321.37"/>
    <n v="7712.87"/>
    <n v="4981.2299999999996"/>
    <n v="2731.64"/>
  </r>
  <r>
    <n v="100840"/>
    <n v="1320"/>
    <x v="1"/>
    <x v="2"/>
    <x v="1"/>
    <s v="Snacks"/>
    <x v="255"/>
    <d v="2023-09-21T00:00:00"/>
    <d v="2023-10-02T00:00:00"/>
    <n v="16"/>
    <n v="5"/>
    <n v="2"/>
    <n v="250.62"/>
    <n v="501.24"/>
    <n v="0.01"/>
    <n v="5.01"/>
    <n v="496.23"/>
    <n v="310.77"/>
    <n v="185.46"/>
  </r>
  <r>
    <n v="100841"/>
    <n v="4298"/>
    <x v="1"/>
    <x v="0"/>
    <x v="2"/>
    <s v="Tablet"/>
    <x v="91"/>
    <d v="2023-07-23T00:00:00"/>
    <d v="2023-07-31T00:00:00"/>
    <n v="13"/>
    <n v="5"/>
    <n v="9"/>
    <n v="789.58"/>
    <n v="7106.22"/>
    <n v="0.05"/>
    <n v="355.31"/>
    <n v="6750.91"/>
    <n v="4405.8599999999997"/>
    <n v="2345.0500000000002"/>
  </r>
  <r>
    <n v="100842"/>
    <n v="2611"/>
    <x v="0"/>
    <x v="0"/>
    <x v="3"/>
    <s v="Shoes"/>
    <x v="261"/>
    <d v="2023-06-16T00:00:00"/>
    <d v="2023-07-09T00:00:00"/>
    <n v="27"/>
    <n v="4"/>
    <n v="6"/>
    <n v="420.17"/>
    <n v="2521.02"/>
    <n v="0.08"/>
    <n v="201.68"/>
    <n v="2319.34"/>
    <n v="1588.24"/>
    <n v="731.1"/>
  </r>
  <r>
    <n v="100843"/>
    <n v="4290"/>
    <x v="1"/>
    <x v="0"/>
    <x v="3"/>
    <s v="Jeans"/>
    <x v="228"/>
    <d v="2023-07-01T00:00:00"/>
    <d v="2023-07-22T00:00:00"/>
    <n v="25"/>
    <n v="4"/>
    <n v="5"/>
    <n v="400.51"/>
    <n v="2002.55"/>
    <n v="0.16"/>
    <n v="320.41000000000003"/>
    <n v="1682.14"/>
    <n v="1141.45"/>
    <n v="540.69000000000005"/>
  </r>
  <r>
    <n v="100844"/>
    <n v="1643"/>
    <x v="3"/>
    <x v="2"/>
    <x v="1"/>
    <s v="Snacks"/>
    <x v="128"/>
    <d v="2023-03-23T00:00:00"/>
    <d v="2023-03-27T00:00:00"/>
    <n v="8"/>
    <n v="4"/>
    <n v="2"/>
    <n v="54.17"/>
    <n v="108.34"/>
    <n v="0.08"/>
    <n v="8.67"/>
    <n v="99.67"/>
    <n v="66.09"/>
    <n v="33.58"/>
  </r>
  <r>
    <n v="100845"/>
    <n v="2234"/>
    <x v="3"/>
    <x v="2"/>
    <x v="3"/>
    <s v="Shoes"/>
    <x v="198"/>
    <d v="2023-09-05T00:00:00"/>
    <d v="2023-09-11T00:00:00"/>
    <n v="7"/>
    <n v="1"/>
    <n v="11"/>
    <n v="566.24"/>
    <n v="6228.64"/>
    <n v="0.09"/>
    <n v="560.58000000000004"/>
    <n v="5668.06"/>
    <n v="3986.33"/>
    <n v="1681.73"/>
  </r>
  <r>
    <n v="100846"/>
    <n v="4817"/>
    <x v="1"/>
    <x v="1"/>
    <x v="2"/>
    <s v="Laptop"/>
    <x v="238"/>
    <d v="2023-02-01T00:00:00"/>
    <d v="2023-02-19T00:00:00"/>
    <n v="21"/>
    <n v="3"/>
    <n v="12"/>
    <n v="484.96"/>
    <n v="5819.52"/>
    <n v="7.0000000000000007E-2"/>
    <n v="407.37"/>
    <n v="5412.15"/>
    <n v="3608.1"/>
    <n v="1804.05"/>
  </r>
  <r>
    <n v="100847"/>
    <n v="2570"/>
    <x v="2"/>
    <x v="1"/>
    <x v="1"/>
    <s v="Pasta"/>
    <x v="101"/>
    <d v="2023-07-14T00:00:00"/>
    <d v="2023-07-24T00:00:00"/>
    <n v="14"/>
    <n v="4"/>
    <n v="6"/>
    <n v="262.82"/>
    <n v="1576.92"/>
    <n v="0.08"/>
    <n v="126.15"/>
    <n v="1450.77"/>
    <n v="1025"/>
    <n v="425.77"/>
  </r>
  <r>
    <n v="100848"/>
    <n v="3948"/>
    <x v="1"/>
    <x v="1"/>
    <x v="2"/>
    <s v="Laptop"/>
    <x v="217"/>
    <d v="2023-11-02T00:00:00"/>
    <d v="2023-11-09T00:00:00"/>
    <n v="9"/>
    <n v="2"/>
    <n v="6"/>
    <n v="222.14"/>
    <n v="1332.84"/>
    <n v="0.08"/>
    <n v="106.63"/>
    <n v="1226.21"/>
    <n v="786.38"/>
    <n v="439.83"/>
  </r>
  <r>
    <n v="100849"/>
    <n v="4942"/>
    <x v="2"/>
    <x v="0"/>
    <x v="0"/>
    <s v="Lamp"/>
    <x v="335"/>
    <d v="2023-06-03T00:00:00"/>
    <d v="2023-06-07T00:00:00"/>
    <n v="9"/>
    <n v="5"/>
    <n v="9"/>
    <n v="593.37"/>
    <n v="5340.33"/>
    <n v="0.08"/>
    <n v="427.23"/>
    <n v="4913.1000000000004"/>
    <n v="3524.62"/>
    <n v="1388.48"/>
  </r>
  <r>
    <n v="100850"/>
    <n v="3230"/>
    <x v="3"/>
    <x v="2"/>
    <x v="2"/>
    <s v="Headphones"/>
    <x v="268"/>
    <d v="2023-05-29T00:00:00"/>
    <d v="2023-06-18T00:00:00"/>
    <n v="23"/>
    <n v="3"/>
    <n v="2"/>
    <n v="17.170000000000002"/>
    <n v="34.340000000000003"/>
    <n v="0.03"/>
    <n v="1.03"/>
    <n v="33.31"/>
    <n v="21.63"/>
    <n v="11.68"/>
  </r>
  <r>
    <n v="100851"/>
    <n v="4783"/>
    <x v="3"/>
    <x v="1"/>
    <x v="1"/>
    <s v="Pasta"/>
    <x v="207"/>
    <d v="2023-10-26T00:00:00"/>
    <d v="2023-10-31T00:00:00"/>
    <n v="8"/>
    <n v="3"/>
    <n v="14"/>
    <n v="185.58"/>
    <n v="2598.12"/>
    <n v="7.0000000000000007E-2"/>
    <n v="181.87"/>
    <n v="2416.25"/>
    <n v="1636.82"/>
    <n v="779.43"/>
  </r>
  <r>
    <n v="100852"/>
    <n v="2640"/>
    <x v="0"/>
    <x v="2"/>
    <x v="1"/>
    <s v="Rice"/>
    <x v="126"/>
    <d v="2023-12-07T00:00:00"/>
    <d v="2023-12-22T00:00:00"/>
    <n v="17"/>
    <n v="2"/>
    <n v="5"/>
    <n v="283.52999999999997"/>
    <n v="1417.65"/>
    <n v="0.19"/>
    <n v="269.35000000000002"/>
    <n v="1148.3"/>
    <n v="864.77"/>
    <n v="283.52999999999997"/>
  </r>
  <r>
    <n v="100853"/>
    <n v="4285"/>
    <x v="2"/>
    <x v="1"/>
    <x v="0"/>
    <s v="Table"/>
    <x v="112"/>
    <d v="2023-04-01T00:00:00"/>
    <d v="2023-04-16T00:00:00"/>
    <n v="18"/>
    <n v="3"/>
    <n v="7"/>
    <n v="209.43"/>
    <n v="1466.01"/>
    <n v="0.05"/>
    <n v="73.3"/>
    <n v="1392.71"/>
    <n v="820.97"/>
    <n v="571.74"/>
  </r>
  <r>
    <n v="100854"/>
    <n v="2170"/>
    <x v="1"/>
    <x v="2"/>
    <x v="3"/>
    <s v="Jeans"/>
    <x v="248"/>
    <d v="2023-01-16T00:00:00"/>
    <d v="2023-01-27T00:00:00"/>
    <n v="12"/>
    <n v="1"/>
    <n v="7"/>
    <n v="677.78"/>
    <n v="4744.46"/>
    <n v="7.0000000000000007E-2"/>
    <n v="332.11"/>
    <n v="4412.3500000000004"/>
    <n v="2609.4499999999998"/>
    <n v="1802.9"/>
  </r>
  <r>
    <n v="100855"/>
    <n v="4903"/>
    <x v="2"/>
    <x v="1"/>
    <x v="1"/>
    <s v="Snacks"/>
    <x v="204"/>
    <d v="2023-01-19T00:00:00"/>
    <d v="2023-02-15T00:00:00"/>
    <n v="29"/>
    <n v="2"/>
    <n v="14"/>
    <n v="292.17"/>
    <n v="4090.38"/>
    <n v="0.02"/>
    <n v="81.81"/>
    <n v="4008.57"/>
    <n v="2617.84"/>
    <n v="1390.73"/>
  </r>
  <r>
    <n v="100856"/>
    <n v="1036"/>
    <x v="2"/>
    <x v="1"/>
    <x v="3"/>
    <s v="Shirt"/>
    <x v="268"/>
    <d v="2023-05-28T00:00:00"/>
    <d v="2023-06-22T00:00:00"/>
    <n v="27"/>
    <n v="2"/>
    <n v="6"/>
    <n v="521.75"/>
    <n v="3130.5"/>
    <n v="0.03"/>
    <n v="93.92"/>
    <n v="3036.58"/>
    <n v="1784.38"/>
    <n v="1252.2"/>
  </r>
  <r>
    <n v="100857"/>
    <n v="3981"/>
    <x v="1"/>
    <x v="2"/>
    <x v="2"/>
    <s v="Phone"/>
    <x v="92"/>
    <d v="2023-05-21T00:00:00"/>
    <d v="2023-05-20T00:00:00"/>
    <n v="4"/>
    <n v="5"/>
    <n v="9"/>
    <n v="686.64"/>
    <n v="6179.76"/>
    <n v="0.02"/>
    <n v="123.6"/>
    <n v="6056.16"/>
    <n v="3831.45"/>
    <n v="2224.71"/>
  </r>
  <r>
    <n v="100858"/>
    <n v="1927"/>
    <x v="1"/>
    <x v="2"/>
    <x v="2"/>
    <s v="Laptop"/>
    <x v="48"/>
    <d v="2023-11-16T00:00:00"/>
    <d v="2023-11-24T00:00:00"/>
    <n v="10"/>
    <n v="2"/>
    <n v="12"/>
    <n v="432.06"/>
    <n v="5184.72"/>
    <n v="0.18"/>
    <n v="933.25"/>
    <n v="4251.47"/>
    <n v="3058.98"/>
    <n v="1192.49"/>
  </r>
  <r>
    <n v="100859"/>
    <n v="4757"/>
    <x v="2"/>
    <x v="2"/>
    <x v="1"/>
    <s v="Snacks"/>
    <x v="313"/>
    <d v="2023-11-26T00:00:00"/>
    <d v="2023-12-15T00:00:00"/>
    <n v="21"/>
    <n v="2"/>
    <n v="2"/>
    <n v="298.8"/>
    <n v="597.6"/>
    <n v="0.05"/>
    <n v="29.88"/>
    <n v="567.72"/>
    <n v="400.39"/>
    <n v="167.33"/>
  </r>
  <r>
    <n v="100860"/>
    <n v="4527"/>
    <x v="2"/>
    <x v="1"/>
    <x v="3"/>
    <s v="Shirt"/>
    <x v="328"/>
    <d v="2023-09-05T00:00:00"/>
    <d v="2023-09-19T00:00:00"/>
    <n v="19"/>
    <n v="5"/>
    <n v="11"/>
    <n v="43.72"/>
    <n v="480.92"/>
    <n v="0.12"/>
    <n v="57.71"/>
    <n v="423.21"/>
    <n v="302.98"/>
    <n v="120.23"/>
  </r>
  <r>
    <n v="100861"/>
    <n v="1211"/>
    <x v="2"/>
    <x v="0"/>
    <x v="2"/>
    <s v="Tablet"/>
    <x v="79"/>
    <d v="2023-02-08T00:00:00"/>
    <d v="2023-02-19T00:00:00"/>
    <n v="14"/>
    <n v="3"/>
    <n v="10"/>
    <n v="38.15"/>
    <n v="381.5"/>
    <n v="0.11"/>
    <n v="41.96"/>
    <n v="339.54"/>
    <n v="228.9"/>
    <n v="110.64"/>
  </r>
  <r>
    <n v="100862"/>
    <n v="2125"/>
    <x v="1"/>
    <x v="2"/>
    <x v="0"/>
    <s v="Cookware"/>
    <x v="40"/>
    <d v="2023-12-21T00:00:00"/>
    <d v="2023-12-29T00:00:00"/>
    <n v="13"/>
    <n v="5"/>
    <n v="12"/>
    <n v="225.01"/>
    <n v="2700.12"/>
    <n v="0.16"/>
    <n v="432.02"/>
    <n v="2268.1"/>
    <n v="1620.07"/>
    <n v="648.03"/>
  </r>
  <r>
    <n v="100863"/>
    <n v="3679"/>
    <x v="0"/>
    <x v="0"/>
    <x v="0"/>
    <s v="Lamp"/>
    <x v="118"/>
    <d v="2023-06-09T00:00:00"/>
    <d v="2023-06-14T00:00:00"/>
    <n v="6"/>
    <n v="1"/>
    <n v="10"/>
    <n v="281.82"/>
    <n v="2818.2"/>
    <n v="0.09"/>
    <n v="253.64"/>
    <n v="2564.56"/>
    <n v="1888.19"/>
    <n v="676.37"/>
  </r>
  <r>
    <n v="100864"/>
    <n v="2554"/>
    <x v="0"/>
    <x v="1"/>
    <x v="0"/>
    <s v="Table"/>
    <x v="206"/>
    <d v="2023-03-20T00:00:00"/>
    <d v="2023-04-10T00:00:00"/>
    <n v="26"/>
    <n v="5"/>
    <n v="2"/>
    <n v="538.1"/>
    <n v="1076.2"/>
    <n v="0.1"/>
    <n v="107.62"/>
    <n v="968.58"/>
    <n v="656.48"/>
    <n v="312.10000000000002"/>
  </r>
  <r>
    <n v="100865"/>
    <n v="3785"/>
    <x v="3"/>
    <x v="0"/>
    <x v="1"/>
    <s v="Beverage"/>
    <x v="7"/>
    <d v="2023-07-10T00:00:00"/>
    <d v="2023-07-19T00:00:00"/>
    <n v="14"/>
    <n v="5"/>
    <n v="9"/>
    <n v="464.46"/>
    <n v="4180.1400000000003"/>
    <n v="0.14000000000000001"/>
    <n v="585.22"/>
    <n v="3594.92"/>
    <n v="2633.49"/>
    <n v="961.43"/>
  </r>
  <r>
    <n v="100866"/>
    <n v="4518"/>
    <x v="1"/>
    <x v="0"/>
    <x v="2"/>
    <s v="Tablet"/>
    <x v="132"/>
    <d v="2023-02-20T00:00:00"/>
    <d v="2023-03-07T00:00:00"/>
    <n v="20"/>
    <n v="5"/>
    <n v="7"/>
    <n v="64"/>
    <n v="448"/>
    <n v="0.13"/>
    <n v="58.24"/>
    <n v="389.76"/>
    <n v="255.36"/>
    <n v="134.4"/>
  </r>
  <r>
    <n v="100867"/>
    <n v="2398"/>
    <x v="3"/>
    <x v="2"/>
    <x v="0"/>
    <s v="Cookware"/>
    <x v="34"/>
    <d v="2023-05-20T00:00:00"/>
    <d v="2023-06-08T00:00:00"/>
    <n v="21"/>
    <n v="2"/>
    <n v="7"/>
    <n v="760.94"/>
    <n v="5326.58"/>
    <n v="0.11"/>
    <n v="585.91999999999996"/>
    <n v="4740.66"/>
    <n v="3249.21"/>
    <n v="1491.45"/>
  </r>
  <r>
    <n v="100868"/>
    <n v="4575"/>
    <x v="2"/>
    <x v="2"/>
    <x v="3"/>
    <s v="Jacket"/>
    <x v="230"/>
    <d v="2023-05-12T00:00:00"/>
    <d v="2023-06-09T00:00:00"/>
    <n v="30"/>
    <n v="2"/>
    <n v="10"/>
    <n v="150.68"/>
    <n v="1506.8"/>
    <n v="0.11"/>
    <n v="165.75"/>
    <n v="1341.05"/>
    <n v="1009.56"/>
    <n v="331.49"/>
  </r>
  <r>
    <n v="100869"/>
    <n v="4361"/>
    <x v="3"/>
    <x v="0"/>
    <x v="2"/>
    <s v="Laptop"/>
    <x v="204"/>
    <d v="2023-01-20T00:00:00"/>
    <d v="2023-02-02T00:00:00"/>
    <n v="16"/>
    <n v="3"/>
    <n v="11"/>
    <n v="257.11"/>
    <n v="2828.21"/>
    <n v="0"/>
    <n v="0"/>
    <n v="2828.21"/>
    <n v="1781.77"/>
    <n v="1046.44"/>
  </r>
  <r>
    <n v="100870"/>
    <n v="3653"/>
    <x v="0"/>
    <x v="1"/>
    <x v="1"/>
    <s v="Snacks"/>
    <x v="157"/>
    <d v="2023-05-28T00:00:00"/>
    <d v="2023-05-27T00:00:00"/>
    <n v="3"/>
    <n v="4"/>
    <n v="14"/>
    <n v="630.51"/>
    <n v="8827.14"/>
    <n v="0.04"/>
    <n v="353.09"/>
    <n v="8474.0499999999993"/>
    <n v="6002.46"/>
    <n v="2471.59"/>
  </r>
  <r>
    <n v="100871"/>
    <n v="4044"/>
    <x v="1"/>
    <x v="2"/>
    <x v="2"/>
    <s v="Laptop"/>
    <x v="105"/>
    <d v="2023-04-18T00:00:00"/>
    <d v="2023-05-03T00:00:00"/>
    <n v="16"/>
    <n v="1"/>
    <n v="2"/>
    <n v="413.48"/>
    <n v="826.96"/>
    <n v="0"/>
    <n v="0"/>
    <n v="826.96"/>
    <n v="471.37"/>
    <n v="355.59"/>
  </r>
  <r>
    <n v="100872"/>
    <n v="2127"/>
    <x v="0"/>
    <x v="0"/>
    <x v="0"/>
    <s v="Table"/>
    <x v="12"/>
    <d v="2023-08-09T00:00:00"/>
    <d v="2023-08-20T00:00:00"/>
    <n v="13"/>
    <n v="2"/>
    <n v="7"/>
    <n v="677.6"/>
    <n v="4743.2"/>
    <n v="0.04"/>
    <n v="189.73"/>
    <n v="4553.47"/>
    <n v="2561.33"/>
    <n v="1992.14"/>
  </r>
  <r>
    <n v="100873"/>
    <n v="2809"/>
    <x v="2"/>
    <x v="0"/>
    <x v="1"/>
    <s v="Beverage"/>
    <x v="121"/>
    <d v="2023-05-07T00:00:00"/>
    <d v="2023-05-20T00:00:00"/>
    <n v="18"/>
    <n v="5"/>
    <n v="7"/>
    <n v="321.23"/>
    <n v="2248.61"/>
    <n v="0.12"/>
    <n v="269.83"/>
    <n v="1978.78"/>
    <n v="1416.62"/>
    <n v="562.16"/>
  </r>
  <r>
    <n v="100874"/>
    <n v="1035"/>
    <x v="2"/>
    <x v="1"/>
    <x v="1"/>
    <s v="Snacks"/>
    <x v="79"/>
    <d v="2023-02-07T00:00:00"/>
    <d v="2023-03-01T00:00:00"/>
    <n v="24"/>
    <n v="2"/>
    <n v="2"/>
    <n v="333.67"/>
    <n v="667.34"/>
    <n v="0.06"/>
    <n v="40.04"/>
    <n v="627.29999999999995"/>
    <n v="447.12"/>
    <n v="180.18"/>
  </r>
  <r>
    <n v="100875"/>
    <n v="3255"/>
    <x v="1"/>
    <x v="0"/>
    <x v="1"/>
    <s v="Snacks"/>
    <x v="55"/>
    <d v="2023-01-24T00:00:00"/>
    <d v="2023-02-17T00:00:00"/>
    <n v="28"/>
    <n v="4"/>
    <n v="14"/>
    <n v="526.75"/>
    <n v="7374.5"/>
    <n v="7.0000000000000007E-2"/>
    <n v="516.22"/>
    <n v="6858.28"/>
    <n v="4719.68"/>
    <n v="2138.6"/>
  </r>
  <r>
    <n v="100876"/>
    <n v="2828"/>
    <x v="0"/>
    <x v="0"/>
    <x v="2"/>
    <s v="Tablet"/>
    <x v="171"/>
    <d v="2023-03-12T00:00:00"/>
    <d v="2023-03-28T00:00:00"/>
    <n v="17"/>
    <n v="1"/>
    <n v="7"/>
    <n v="552.58000000000004"/>
    <n v="3868.06"/>
    <n v="0.12"/>
    <n v="464.17"/>
    <n v="3403.89"/>
    <n v="2359.52"/>
    <n v="1044.3699999999999"/>
  </r>
  <r>
    <n v="100877"/>
    <n v="4344"/>
    <x v="0"/>
    <x v="0"/>
    <x v="3"/>
    <s v="Shirt"/>
    <x v="283"/>
    <d v="2023-12-04T00:00:00"/>
    <d v="2023-12-12T00:00:00"/>
    <n v="12"/>
    <n v="4"/>
    <n v="11"/>
    <n v="494.31"/>
    <n v="5437.41"/>
    <n v="0.09"/>
    <n v="489.37"/>
    <n v="4948.04"/>
    <n v="3262.45"/>
    <n v="1685.59"/>
  </r>
  <r>
    <n v="100878"/>
    <n v="3087"/>
    <x v="3"/>
    <x v="0"/>
    <x v="3"/>
    <s v="Jacket"/>
    <x v="321"/>
    <d v="2023-03-10T00:00:00"/>
    <d v="2023-04-03T00:00:00"/>
    <n v="26"/>
    <n v="2"/>
    <n v="6"/>
    <n v="226.87"/>
    <n v="1361.22"/>
    <n v="0.15"/>
    <n v="204.18"/>
    <n v="1157.04"/>
    <n v="830.34"/>
    <n v="326.7"/>
  </r>
  <r>
    <n v="100879"/>
    <n v="4927"/>
    <x v="2"/>
    <x v="0"/>
    <x v="1"/>
    <s v="Snacks"/>
    <x v="334"/>
    <d v="2023-08-24T00:00:00"/>
    <d v="2023-09-03T00:00:00"/>
    <n v="13"/>
    <n v="3"/>
    <n v="2"/>
    <n v="612.29999999999995"/>
    <n v="1224.5999999999999"/>
    <n v="7.0000000000000007E-2"/>
    <n v="85.72"/>
    <n v="1138.8800000000001"/>
    <n v="759.25"/>
    <n v="379.63"/>
  </r>
  <r>
    <n v="100880"/>
    <n v="2290"/>
    <x v="0"/>
    <x v="1"/>
    <x v="1"/>
    <s v="Beverage"/>
    <x v="336"/>
    <d v="2023-10-23T00:00:00"/>
    <d v="2023-11-09T00:00:00"/>
    <n v="18"/>
    <n v="1"/>
    <n v="14"/>
    <n v="683.82"/>
    <n v="9573.48"/>
    <n v="0.11"/>
    <n v="1053.08"/>
    <n v="8520.4"/>
    <n v="5744.09"/>
    <n v="2776.31"/>
  </r>
  <r>
    <n v="100881"/>
    <n v="2758"/>
    <x v="1"/>
    <x v="2"/>
    <x v="0"/>
    <s v="Lamp"/>
    <x v="258"/>
    <d v="2023-02-02T00:00:00"/>
    <d v="2023-02-19T00:00:00"/>
    <n v="18"/>
    <n v="1"/>
    <n v="9"/>
    <n v="656.04"/>
    <n v="5904.36"/>
    <n v="7.0000000000000007E-2"/>
    <n v="413.31"/>
    <n v="5491.05"/>
    <n v="3247.4"/>
    <n v="2243.65"/>
  </r>
  <r>
    <n v="100882"/>
    <n v="1213"/>
    <x v="3"/>
    <x v="2"/>
    <x v="1"/>
    <s v="Rice"/>
    <x v="166"/>
    <d v="2023-01-16T00:00:00"/>
    <d v="2023-02-01T00:00:00"/>
    <n v="20"/>
    <n v="4"/>
    <n v="14"/>
    <n v="502.06"/>
    <n v="7028.84"/>
    <n v="0.12"/>
    <n v="843.46"/>
    <n v="6185.38"/>
    <n v="4779.6099999999997"/>
    <n v="1405.77"/>
  </r>
  <r>
    <n v="100883"/>
    <n v="4866"/>
    <x v="2"/>
    <x v="0"/>
    <x v="0"/>
    <s v="Cookware"/>
    <x v="102"/>
    <d v="2023-08-04T00:00:00"/>
    <d v="2023-08-26T00:00:00"/>
    <n v="23"/>
    <n v="1"/>
    <n v="8"/>
    <n v="569.76"/>
    <n v="4558.08"/>
    <n v="0.18"/>
    <n v="820.45"/>
    <n v="3737.63"/>
    <n v="2415.7800000000002"/>
    <n v="1321.85"/>
  </r>
  <r>
    <n v="100884"/>
    <n v="4528"/>
    <x v="2"/>
    <x v="1"/>
    <x v="0"/>
    <s v="Sofa"/>
    <x v="282"/>
    <d v="2023-11-21T00:00:00"/>
    <d v="2023-12-05T00:00:00"/>
    <n v="19"/>
    <n v="5"/>
    <n v="4"/>
    <n v="469.73"/>
    <n v="1878.92"/>
    <n v="0.21"/>
    <n v="394.57"/>
    <n v="1484.35"/>
    <n v="1164.93"/>
    <n v="319.42"/>
  </r>
  <r>
    <n v="100885"/>
    <n v="2407"/>
    <x v="3"/>
    <x v="2"/>
    <x v="1"/>
    <s v="Beverage"/>
    <x v="64"/>
    <d v="2023-01-24T00:00:00"/>
    <d v="2023-01-27T00:00:00"/>
    <n v="5"/>
    <n v="2"/>
    <n v="12"/>
    <n v="546.71"/>
    <n v="6560.52"/>
    <n v="0.09"/>
    <n v="590.45000000000005"/>
    <n v="5970.07"/>
    <n v="3870.71"/>
    <n v="2099.36"/>
  </r>
  <r>
    <n v="100886"/>
    <n v="2732"/>
    <x v="2"/>
    <x v="1"/>
    <x v="0"/>
    <s v="Table"/>
    <x v="145"/>
    <d v="2023-09-17T00:00:00"/>
    <d v="2023-09-15T00:00:00"/>
    <n v="2"/>
    <n v="4"/>
    <n v="2"/>
    <n v="145.33000000000001"/>
    <n v="290.66000000000003"/>
    <n v="0.02"/>
    <n v="5.81"/>
    <n v="284.85000000000002"/>
    <n v="177.3"/>
    <n v="107.55"/>
  </r>
  <r>
    <n v="100887"/>
    <n v="3604"/>
    <x v="3"/>
    <x v="2"/>
    <x v="2"/>
    <s v="Tablet"/>
    <x v="83"/>
    <d v="2023-02-15T00:00:00"/>
    <d v="2023-02-17T00:00:00"/>
    <n v="4"/>
    <n v="2"/>
    <n v="10"/>
    <n v="301.27"/>
    <n v="3012.7"/>
    <n v="0.06"/>
    <n v="180.76"/>
    <n v="2831.94"/>
    <n v="1687.11"/>
    <n v="1144.83"/>
  </r>
  <r>
    <n v="100888"/>
    <n v="1077"/>
    <x v="2"/>
    <x v="2"/>
    <x v="3"/>
    <s v="Jeans"/>
    <x v="140"/>
    <d v="2023-01-03T00:00:00"/>
    <d v="2023-01-25T00:00:00"/>
    <n v="23"/>
    <n v="1"/>
    <n v="3"/>
    <n v="52.85"/>
    <n v="158.55000000000001"/>
    <n v="0.06"/>
    <n v="9.51"/>
    <n v="149.04"/>
    <n v="95.13"/>
    <n v="53.91"/>
  </r>
  <r>
    <n v="100889"/>
    <n v="4907"/>
    <x v="0"/>
    <x v="0"/>
    <x v="3"/>
    <s v="Jeans"/>
    <x v="74"/>
    <d v="2023-05-25T00:00:00"/>
    <d v="2023-05-27T00:00:00"/>
    <n v="4"/>
    <n v="2"/>
    <n v="9"/>
    <n v="515.25"/>
    <n v="4637.25"/>
    <n v="0.06"/>
    <n v="278.24"/>
    <n v="4359.0200000000004"/>
    <n v="2735.98"/>
    <n v="1623.04"/>
  </r>
  <r>
    <n v="100890"/>
    <n v="2135"/>
    <x v="3"/>
    <x v="2"/>
    <x v="1"/>
    <s v="Rice"/>
    <x v="284"/>
    <d v="2023-03-28T00:00:00"/>
    <d v="2023-04-13T00:00:00"/>
    <n v="20"/>
    <n v="4"/>
    <n v="10"/>
    <n v="430.38"/>
    <n v="4303.8"/>
    <n v="0.06"/>
    <n v="258.23"/>
    <n v="4045.57"/>
    <n v="2367.09"/>
    <n v="1678.48"/>
  </r>
  <r>
    <n v="100891"/>
    <n v="4223"/>
    <x v="1"/>
    <x v="0"/>
    <x v="2"/>
    <s v="Phone"/>
    <x v="211"/>
    <d v="2023-06-17T00:00:00"/>
    <d v="2023-06-28T00:00:00"/>
    <n v="15"/>
    <n v="4"/>
    <n v="5"/>
    <n v="601.63"/>
    <n v="3008.15"/>
    <n v="0.09"/>
    <n v="270.73"/>
    <n v="2737.42"/>
    <n v="1624.4"/>
    <n v="1113.02"/>
  </r>
  <r>
    <n v="100892"/>
    <n v="2397"/>
    <x v="3"/>
    <x v="2"/>
    <x v="0"/>
    <s v="Table"/>
    <x v="337"/>
    <d v="2023-05-21T00:00:00"/>
    <d v="2023-05-27T00:00:00"/>
    <n v="8"/>
    <n v="2"/>
    <n v="6"/>
    <n v="616.61"/>
    <n v="3699.66"/>
    <n v="0.02"/>
    <n v="73.989999999999995"/>
    <n v="3625.67"/>
    <n v="2330.79"/>
    <n v="1294.8800000000001"/>
  </r>
  <r>
    <n v="100893"/>
    <n v="3768"/>
    <x v="1"/>
    <x v="2"/>
    <x v="3"/>
    <s v="Shirt"/>
    <x v="103"/>
    <d v="2023-08-20T00:00:00"/>
    <d v="2023-08-31T00:00:00"/>
    <n v="16"/>
    <n v="5"/>
    <n v="14"/>
    <n v="207.57"/>
    <n v="2905.98"/>
    <n v="0.08"/>
    <n v="232.48"/>
    <n v="2673.5"/>
    <n v="1888.89"/>
    <n v="784.61"/>
  </r>
  <r>
    <n v="100894"/>
    <n v="2826"/>
    <x v="0"/>
    <x v="1"/>
    <x v="3"/>
    <s v="Jacket"/>
    <x v="184"/>
    <d v="2023-05-07T00:00:00"/>
    <d v="2023-05-24T00:00:00"/>
    <n v="21"/>
    <n v="4"/>
    <n v="2"/>
    <n v="75.040000000000006"/>
    <n v="150.08000000000001"/>
    <n v="0.12"/>
    <n v="18.010000000000002"/>
    <n v="132.07"/>
    <n v="90.05"/>
    <n v="42.02"/>
  </r>
  <r>
    <n v="100895"/>
    <n v="2877"/>
    <x v="1"/>
    <x v="1"/>
    <x v="3"/>
    <s v="Jacket"/>
    <x v="228"/>
    <d v="2023-06-30T00:00:00"/>
    <d v="2023-06-29T00:00:00"/>
    <n v="2"/>
    <n v="3"/>
    <n v="14"/>
    <n v="188"/>
    <n v="2632"/>
    <n v="0.05"/>
    <n v="131.6"/>
    <n v="2500.4"/>
    <n v="1868.72"/>
    <n v="631.67999999999995"/>
  </r>
  <r>
    <n v="100896"/>
    <n v="4404"/>
    <x v="2"/>
    <x v="1"/>
    <x v="0"/>
    <s v="Lamp"/>
    <x v="19"/>
    <d v="2023-01-11T00:00:00"/>
    <d v="2023-01-25T00:00:00"/>
    <n v="18"/>
    <n v="4"/>
    <n v="10"/>
    <n v="790.94"/>
    <n v="7909.4"/>
    <n v="0.09"/>
    <n v="711.85"/>
    <n v="7197.55"/>
    <n v="5220.2"/>
    <n v="1977.35"/>
  </r>
  <r>
    <n v="100897"/>
    <n v="3136"/>
    <x v="2"/>
    <x v="0"/>
    <x v="2"/>
    <s v="Headphones"/>
    <x v="148"/>
    <d v="2023-09-25T00:00:00"/>
    <d v="2023-10-17T00:00:00"/>
    <n v="23"/>
    <n v="1"/>
    <n v="3"/>
    <n v="346.62"/>
    <n v="1039.8599999999999"/>
    <n v="0.09"/>
    <n v="93.59"/>
    <n v="946.27"/>
    <n v="603.12"/>
    <n v="343.15"/>
  </r>
  <r>
    <n v="100898"/>
    <n v="1449"/>
    <x v="1"/>
    <x v="1"/>
    <x v="1"/>
    <s v="Snacks"/>
    <x v="247"/>
    <d v="2023-06-25T00:00:00"/>
    <d v="2023-07-12T00:00:00"/>
    <n v="18"/>
    <n v="1"/>
    <n v="1"/>
    <n v="250.97"/>
    <n v="250.97"/>
    <n v="0.13"/>
    <n v="32.630000000000003"/>
    <n v="218.34"/>
    <n v="175.68"/>
    <n v="42.66"/>
  </r>
  <r>
    <n v="100899"/>
    <n v="1004"/>
    <x v="1"/>
    <x v="0"/>
    <x v="1"/>
    <s v="Snacks"/>
    <x v="237"/>
    <d v="2023-11-11T00:00:00"/>
    <d v="2023-12-07T00:00:00"/>
    <n v="27"/>
    <n v="1"/>
    <n v="8"/>
    <n v="424.03"/>
    <n v="3392.24"/>
    <n v="0.11"/>
    <n v="373.15"/>
    <n v="3019.09"/>
    <n v="2340.65"/>
    <n v="678.44"/>
  </r>
  <r>
    <n v="100900"/>
    <n v="1676"/>
    <x v="1"/>
    <x v="1"/>
    <x v="1"/>
    <s v="Pasta"/>
    <x v="130"/>
    <d v="2023-04-30T00:00:00"/>
    <d v="2023-05-24T00:00:00"/>
    <n v="26"/>
    <n v="2"/>
    <n v="10"/>
    <n v="257.04000000000002"/>
    <n v="2570.4"/>
    <n v="0.02"/>
    <n v="51.41"/>
    <n v="2518.9899999999998"/>
    <n v="1567.94"/>
    <n v="951.05"/>
  </r>
  <r>
    <n v="100901"/>
    <n v="2501"/>
    <x v="0"/>
    <x v="0"/>
    <x v="0"/>
    <s v="Lamp"/>
    <x v="155"/>
    <d v="2023-01-10T00:00:00"/>
    <d v="2023-01-23T00:00:00"/>
    <n v="15"/>
    <n v="2"/>
    <n v="7"/>
    <n v="674.11"/>
    <n v="4718.7700000000004"/>
    <n v="7.0000000000000007E-2"/>
    <n v="330.31"/>
    <n v="4388.46"/>
    <n v="3208.76"/>
    <n v="1179.7"/>
  </r>
  <r>
    <n v="100902"/>
    <n v="2899"/>
    <x v="2"/>
    <x v="1"/>
    <x v="2"/>
    <s v="Laptop"/>
    <x v="282"/>
    <d v="2023-11-17T00:00:00"/>
    <d v="2023-11-21T00:00:00"/>
    <n v="5"/>
    <n v="1"/>
    <n v="6"/>
    <n v="38.67"/>
    <n v="232.02"/>
    <n v="0.11"/>
    <n v="25.52"/>
    <n v="206.5"/>
    <n v="143.85"/>
    <n v="62.65"/>
  </r>
  <r>
    <n v="100903"/>
    <n v="2465"/>
    <x v="0"/>
    <x v="0"/>
    <x v="2"/>
    <s v="Phone"/>
    <x v="295"/>
    <d v="2023-08-14T00:00:00"/>
    <d v="2023-08-18T00:00:00"/>
    <n v="8"/>
    <n v="4"/>
    <n v="2"/>
    <n v="564.71"/>
    <n v="1129.42"/>
    <n v="0.12"/>
    <n v="135.53"/>
    <n v="993.89"/>
    <n v="677.65"/>
    <n v="316.24"/>
  </r>
  <r>
    <n v="100904"/>
    <n v="3767"/>
    <x v="0"/>
    <x v="2"/>
    <x v="0"/>
    <s v="Table"/>
    <x v="105"/>
    <d v="2023-04-20T00:00:00"/>
    <d v="2023-05-10T00:00:00"/>
    <n v="23"/>
    <n v="3"/>
    <n v="6"/>
    <n v="6.7"/>
    <n v="40.200000000000003"/>
    <n v="0.06"/>
    <n v="2.41"/>
    <n v="37.79"/>
    <n v="23.72"/>
    <n v="14.07"/>
  </r>
  <r>
    <n v="100905"/>
    <n v="1751"/>
    <x v="0"/>
    <x v="0"/>
    <x v="0"/>
    <s v="Cookware"/>
    <x v="263"/>
    <d v="2023-06-27T00:00:00"/>
    <d v="2023-07-15T00:00:00"/>
    <n v="22"/>
    <n v="4"/>
    <n v="8"/>
    <n v="716.72"/>
    <n v="5733.76"/>
    <n v="0.1"/>
    <n v="573.38"/>
    <n v="5160.38"/>
    <n v="3612.27"/>
    <n v="1548.11"/>
  </r>
  <r>
    <n v="100906"/>
    <n v="4162"/>
    <x v="3"/>
    <x v="1"/>
    <x v="2"/>
    <s v="Tablet"/>
    <x v="264"/>
    <d v="2023-12-13T00:00:00"/>
    <d v="2024-01-05T00:00:00"/>
    <n v="25"/>
    <n v="2"/>
    <n v="4"/>
    <n v="520.16999999999996"/>
    <n v="2080.6799999999998"/>
    <n v="0.1"/>
    <n v="208.07"/>
    <n v="1872.61"/>
    <n v="1331.64"/>
    <n v="540.97"/>
  </r>
  <r>
    <n v="100907"/>
    <n v="3379"/>
    <x v="1"/>
    <x v="0"/>
    <x v="2"/>
    <s v="Phone"/>
    <x v="21"/>
    <d v="2023-02-17T00:00:00"/>
    <d v="2023-03-12T00:00:00"/>
    <n v="26"/>
    <n v="3"/>
    <n v="11"/>
    <n v="644.21"/>
    <n v="7086.31"/>
    <n v="0.03"/>
    <n v="212.59"/>
    <n v="6873.72"/>
    <n v="4606.1000000000004"/>
    <n v="2267.62"/>
  </r>
  <r>
    <n v="100908"/>
    <n v="3392"/>
    <x v="2"/>
    <x v="0"/>
    <x v="1"/>
    <s v="Pasta"/>
    <x v="287"/>
    <d v="2023-07-22T00:00:00"/>
    <d v="2023-08-18T00:00:00"/>
    <n v="29"/>
    <n v="2"/>
    <n v="4"/>
    <n v="562.34"/>
    <n v="2249.36"/>
    <n v="0.12"/>
    <n v="269.92"/>
    <n v="1979.44"/>
    <n v="1282.1400000000001"/>
    <n v="697.3"/>
  </r>
  <r>
    <n v="100909"/>
    <n v="1007"/>
    <x v="0"/>
    <x v="2"/>
    <x v="2"/>
    <s v="Tablet"/>
    <x v="304"/>
    <d v="2023-08-09T00:00:00"/>
    <d v="2023-08-16T00:00:00"/>
    <n v="10"/>
    <n v="3"/>
    <n v="2"/>
    <n v="769.59"/>
    <n v="1539.18"/>
    <n v="0.05"/>
    <n v="76.959999999999994"/>
    <n v="1462.22"/>
    <n v="954.29"/>
    <n v="507.93"/>
  </r>
  <r>
    <n v="100910"/>
    <n v="1328"/>
    <x v="1"/>
    <x v="1"/>
    <x v="1"/>
    <s v="Beverage"/>
    <x v="258"/>
    <d v="2023-02-04T00:00:00"/>
    <d v="2023-02-22T00:00:00"/>
    <n v="21"/>
    <n v="3"/>
    <n v="1"/>
    <n v="420.46"/>
    <n v="420.46"/>
    <n v="0.13"/>
    <n v="54.66"/>
    <n v="365.8"/>
    <n v="197.62"/>
    <n v="168.18"/>
  </r>
  <r>
    <n v="100911"/>
    <n v="2931"/>
    <x v="2"/>
    <x v="0"/>
    <x v="1"/>
    <s v="Rice"/>
    <x v="124"/>
    <d v="2023-10-30T00:00:00"/>
    <d v="2023-11-02T00:00:00"/>
    <n v="8"/>
    <n v="5"/>
    <n v="8"/>
    <n v="648.74"/>
    <n v="5189.92"/>
    <n v="0"/>
    <n v="0"/>
    <n v="5189.92"/>
    <n v="3529.15"/>
    <n v="1660.77"/>
  </r>
  <r>
    <n v="100912"/>
    <n v="2662"/>
    <x v="2"/>
    <x v="0"/>
    <x v="1"/>
    <s v="Pasta"/>
    <x v="167"/>
    <d v="2024-01-03T00:00:00"/>
    <d v="2024-01-15T00:00:00"/>
    <n v="17"/>
    <n v="5"/>
    <n v="4"/>
    <n v="479.72"/>
    <n v="1918.88"/>
    <n v="0.09"/>
    <n v="172.7"/>
    <n v="1746.18"/>
    <n v="1189.71"/>
    <n v="556.47"/>
  </r>
  <r>
    <n v="100913"/>
    <n v="4145"/>
    <x v="0"/>
    <x v="2"/>
    <x v="1"/>
    <s v="Beverage"/>
    <x v="202"/>
    <d v="2023-03-31T00:00:00"/>
    <d v="2023-04-11T00:00:00"/>
    <n v="12"/>
    <n v="1"/>
    <n v="7"/>
    <n v="741.69"/>
    <n v="5191.83"/>
    <n v="0.12"/>
    <n v="623.02"/>
    <n v="4568.8100000000004"/>
    <n v="3322.77"/>
    <n v="1246.04"/>
  </r>
  <r>
    <n v="100914"/>
    <n v="4656"/>
    <x v="0"/>
    <x v="0"/>
    <x v="1"/>
    <s v="Beverage"/>
    <x v="182"/>
    <d v="2023-03-22T00:00:00"/>
    <d v="2023-04-17T00:00:00"/>
    <n v="28"/>
    <n v="2"/>
    <n v="8"/>
    <n v="282.92"/>
    <n v="2263.36"/>
    <n v="0.05"/>
    <n v="113.17"/>
    <n v="2150.19"/>
    <n v="1380.65"/>
    <n v="769.54"/>
  </r>
  <r>
    <n v="100915"/>
    <n v="2535"/>
    <x v="3"/>
    <x v="0"/>
    <x v="3"/>
    <s v="Jeans"/>
    <x v="338"/>
    <d v="2023-03-03T00:00:00"/>
    <d v="2023-03-10T00:00:00"/>
    <n v="11"/>
    <n v="4"/>
    <n v="5"/>
    <n v="104.77"/>
    <n v="523.85"/>
    <n v="0.1"/>
    <n v="52.39"/>
    <n v="471.46"/>
    <n v="303.83"/>
    <n v="167.63"/>
  </r>
  <r>
    <n v="100916"/>
    <n v="3511"/>
    <x v="3"/>
    <x v="2"/>
    <x v="3"/>
    <s v="Shirt"/>
    <x v="87"/>
    <d v="2023-12-06T00:00:00"/>
    <d v="2023-12-19T00:00:00"/>
    <n v="17"/>
    <n v="4"/>
    <n v="8"/>
    <n v="83.25"/>
    <n v="666"/>
    <n v="0.12"/>
    <n v="79.92"/>
    <n v="586.08000000000004"/>
    <n v="392.94"/>
    <n v="193.14"/>
  </r>
  <r>
    <n v="100917"/>
    <n v="4154"/>
    <x v="2"/>
    <x v="2"/>
    <x v="0"/>
    <s v="Cookware"/>
    <x v="45"/>
    <d v="2023-01-13T00:00:00"/>
    <d v="2023-01-26T00:00:00"/>
    <n v="15"/>
    <n v="2"/>
    <n v="13"/>
    <n v="80.66"/>
    <n v="1048.58"/>
    <n v="0.01"/>
    <n v="10.49"/>
    <n v="1038.0899999999999"/>
    <n v="713.03"/>
    <n v="325.06"/>
  </r>
  <r>
    <n v="100918"/>
    <n v="3689"/>
    <x v="0"/>
    <x v="2"/>
    <x v="2"/>
    <s v="Phone"/>
    <x v="339"/>
    <d v="2023-03-20T00:00:00"/>
    <d v="2023-03-19T00:00:00"/>
    <n v="3"/>
    <n v="4"/>
    <n v="1"/>
    <n v="71.84"/>
    <n v="71.84"/>
    <n v="0.18"/>
    <n v="12.93"/>
    <n v="58.91"/>
    <n v="51.01"/>
    <n v="7.9"/>
  </r>
  <r>
    <n v="100919"/>
    <n v="2865"/>
    <x v="2"/>
    <x v="1"/>
    <x v="0"/>
    <s v="Sofa"/>
    <x v="164"/>
    <d v="2023-05-10T00:00:00"/>
    <d v="2023-06-01T00:00:00"/>
    <n v="24"/>
    <n v="2"/>
    <n v="3"/>
    <n v="322.32"/>
    <n v="966.96"/>
    <n v="0.12"/>
    <n v="116.04"/>
    <n v="850.92"/>
    <n v="589.85"/>
    <n v="261.07"/>
  </r>
  <r>
    <n v="100920"/>
    <n v="3711"/>
    <x v="0"/>
    <x v="2"/>
    <x v="1"/>
    <s v="Beverage"/>
    <x v="106"/>
    <d v="2023-08-24T00:00:00"/>
    <d v="2023-09-03T00:00:00"/>
    <n v="11"/>
    <n v="1"/>
    <n v="10"/>
    <n v="386.07"/>
    <n v="3860.7"/>
    <n v="0.08"/>
    <n v="308.86"/>
    <n v="3551.84"/>
    <n v="2161.9899999999998"/>
    <n v="1389.85"/>
  </r>
  <r>
    <n v="100921"/>
    <n v="1683"/>
    <x v="3"/>
    <x v="1"/>
    <x v="3"/>
    <s v="Shoes"/>
    <x v="80"/>
    <d v="2023-11-05T00:00:00"/>
    <d v="2023-11-21T00:00:00"/>
    <n v="20"/>
    <n v="4"/>
    <n v="14"/>
    <n v="426.99"/>
    <n v="5977.86"/>
    <n v="0.21"/>
    <n v="1255.3499999999999"/>
    <n v="4722.51"/>
    <n v="3885.61"/>
    <n v="836.9"/>
  </r>
  <r>
    <n v="100922"/>
    <n v="4990"/>
    <x v="0"/>
    <x v="0"/>
    <x v="3"/>
    <s v="Shirt"/>
    <x v="307"/>
    <d v="2023-10-30T00:00:00"/>
    <d v="2023-11-19T00:00:00"/>
    <n v="22"/>
    <n v="2"/>
    <n v="4"/>
    <n v="493.27"/>
    <n v="1973.08"/>
    <n v="0.08"/>
    <n v="157.85"/>
    <n v="1815.23"/>
    <n v="1045.73"/>
    <n v="769.5"/>
  </r>
  <r>
    <n v="100923"/>
    <n v="1941"/>
    <x v="2"/>
    <x v="0"/>
    <x v="2"/>
    <s v="Tablet"/>
    <x v="109"/>
    <d v="2023-02-24T00:00:00"/>
    <d v="2023-03-13T00:00:00"/>
    <n v="22"/>
    <n v="5"/>
    <n v="11"/>
    <n v="112.69"/>
    <n v="1239.5899999999999"/>
    <n v="0.08"/>
    <n v="99.17"/>
    <n v="1140.42"/>
    <n v="731.36"/>
    <n v="409.06"/>
  </r>
  <r>
    <n v="100924"/>
    <n v="2926"/>
    <x v="1"/>
    <x v="2"/>
    <x v="2"/>
    <s v="Headphones"/>
    <x v="98"/>
    <d v="2023-02-02T00:00:00"/>
    <d v="2023-02-04T00:00:00"/>
    <n v="5"/>
    <n v="3"/>
    <n v="7"/>
    <n v="66.36"/>
    <n v="464.52"/>
    <n v="0.12"/>
    <n v="55.74"/>
    <n v="408.78"/>
    <n v="246.2"/>
    <n v="162.58000000000001"/>
  </r>
  <r>
    <n v="100925"/>
    <n v="4265"/>
    <x v="1"/>
    <x v="1"/>
    <x v="0"/>
    <s v="Sofa"/>
    <x v="141"/>
    <d v="2023-10-16T00:00:00"/>
    <d v="2023-11-07T00:00:00"/>
    <n v="23"/>
    <n v="1"/>
    <n v="11"/>
    <n v="96.67"/>
    <n v="1063.3699999999999"/>
    <n v="0.09"/>
    <n v="95.7"/>
    <n v="967.67"/>
    <n v="669.92"/>
    <n v="297.75"/>
  </r>
  <r>
    <n v="100926"/>
    <n v="1703"/>
    <x v="2"/>
    <x v="2"/>
    <x v="1"/>
    <s v="Snacks"/>
    <x v="151"/>
    <d v="2023-01-14T00:00:00"/>
    <d v="2023-01-21T00:00:00"/>
    <n v="12"/>
    <n v="5"/>
    <n v="6"/>
    <n v="521.20000000000005"/>
    <n v="3127.2"/>
    <n v="0"/>
    <n v="0"/>
    <n v="3127.2"/>
    <n v="2095.2199999999998"/>
    <n v="1031.98"/>
  </r>
  <r>
    <n v="100927"/>
    <n v="2253"/>
    <x v="1"/>
    <x v="1"/>
    <x v="2"/>
    <s v="Headphones"/>
    <x v="152"/>
    <d v="2023-09-15T00:00:00"/>
    <d v="2023-10-01T00:00:00"/>
    <n v="19"/>
    <n v="3"/>
    <n v="13"/>
    <n v="615.29999999999995"/>
    <n v="7998.9"/>
    <n v="0.18"/>
    <n v="1439.8"/>
    <n v="6559.1"/>
    <n v="4719.3500000000004"/>
    <n v="1839.75"/>
  </r>
  <r>
    <n v="100928"/>
    <n v="2041"/>
    <x v="0"/>
    <x v="0"/>
    <x v="2"/>
    <s v="Tablet"/>
    <x v="27"/>
    <d v="2023-04-28T00:00:00"/>
    <d v="2023-05-11T00:00:00"/>
    <n v="18"/>
    <n v="5"/>
    <n v="9"/>
    <n v="84.42"/>
    <n v="759.78"/>
    <n v="0.04"/>
    <n v="30.39"/>
    <n v="729.39"/>
    <n v="516.65"/>
    <n v="212.74"/>
  </r>
  <r>
    <n v="100929"/>
    <n v="3807"/>
    <x v="0"/>
    <x v="1"/>
    <x v="3"/>
    <s v="Jacket"/>
    <x v="290"/>
    <d v="2023-09-09T00:00:00"/>
    <d v="2023-10-03T00:00:00"/>
    <n v="26"/>
    <n v="2"/>
    <n v="4"/>
    <n v="627.34"/>
    <n v="2509.36"/>
    <n v="0.09"/>
    <n v="225.84"/>
    <n v="2283.52"/>
    <n v="1405.24"/>
    <n v="878.28"/>
  </r>
  <r>
    <n v="100930"/>
    <n v="1231"/>
    <x v="2"/>
    <x v="2"/>
    <x v="0"/>
    <s v="Table"/>
    <x v="112"/>
    <d v="2023-04-03T00:00:00"/>
    <d v="2023-04-11T00:00:00"/>
    <n v="13"/>
    <n v="5"/>
    <n v="11"/>
    <n v="340.42"/>
    <n v="3744.62"/>
    <n v="0.05"/>
    <n v="187.23"/>
    <n v="3557.39"/>
    <n v="2621.23"/>
    <n v="936.16"/>
  </r>
  <r>
    <n v="100931"/>
    <n v="4193"/>
    <x v="1"/>
    <x v="0"/>
    <x v="0"/>
    <s v="Cookware"/>
    <x v="145"/>
    <d v="2023-09-18T00:00:00"/>
    <d v="2023-09-20T00:00:00"/>
    <n v="7"/>
    <n v="5"/>
    <n v="8"/>
    <n v="440.38"/>
    <n v="3523.04"/>
    <n v="7.0000000000000007E-2"/>
    <n v="246.61"/>
    <n v="3276.43"/>
    <n v="2289.98"/>
    <n v="986.45"/>
  </r>
  <r>
    <n v="100932"/>
    <n v="1296"/>
    <x v="1"/>
    <x v="0"/>
    <x v="0"/>
    <s v="Lamp"/>
    <x v="241"/>
    <d v="2023-10-23T00:00:00"/>
    <d v="2023-11-01T00:00:00"/>
    <n v="12"/>
    <n v="3"/>
    <n v="5"/>
    <n v="321.13"/>
    <n v="1605.65"/>
    <n v="0.01"/>
    <n v="16.059999999999999"/>
    <n v="1589.59"/>
    <n v="995.5"/>
    <n v="594.09"/>
  </r>
  <r>
    <n v="100933"/>
    <n v="3004"/>
    <x v="0"/>
    <x v="1"/>
    <x v="1"/>
    <s v="Snacks"/>
    <x v="235"/>
    <d v="2023-03-05T00:00:00"/>
    <d v="2023-03-06T00:00:00"/>
    <n v="2"/>
    <n v="1"/>
    <n v="3"/>
    <n v="511.67"/>
    <n v="1535.01"/>
    <n v="0.08"/>
    <n v="122.8"/>
    <n v="1412.21"/>
    <n v="951.71"/>
    <n v="460.5"/>
  </r>
  <r>
    <n v="100934"/>
    <n v="4724"/>
    <x v="0"/>
    <x v="1"/>
    <x v="0"/>
    <s v="Cookware"/>
    <x v="173"/>
    <d v="2023-08-16T00:00:00"/>
    <d v="2023-08-29T00:00:00"/>
    <n v="17"/>
    <n v="4"/>
    <n v="9"/>
    <n v="643.32000000000005"/>
    <n v="5789.88"/>
    <n v="0.05"/>
    <n v="289.49"/>
    <n v="5500.39"/>
    <n v="3763.42"/>
    <n v="1736.97"/>
  </r>
  <r>
    <n v="100935"/>
    <n v="4404"/>
    <x v="0"/>
    <x v="2"/>
    <x v="3"/>
    <s v="Shirt"/>
    <x v="154"/>
    <d v="2023-10-30T00:00:00"/>
    <d v="2023-11-16T00:00:00"/>
    <n v="21"/>
    <n v="4"/>
    <n v="4"/>
    <n v="64.42"/>
    <n v="257.68"/>
    <n v="0"/>
    <n v="0"/>
    <n v="257.68"/>
    <n v="152.03"/>
    <n v="105.65"/>
  </r>
  <r>
    <n v="100936"/>
    <n v="3775"/>
    <x v="0"/>
    <x v="0"/>
    <x v="0"/>
    <s v="Sofa"/>
    <x v="37"/>
    <d v="2023-12-08T00:00:00"/>
    <d v="2023-12-08T00:00:00"/>
    <n v="2"/>
    <n v="2"/>
    <n v="3"/>
    <n v="421.59"/>
    <n v="1264.77"/>
    <n v="0.01"/>
    <n v="12.65"/>
    <n v="1252.1199999999999"/>
    <n v="708.27"/>
    <n v="543.85"/>
  </r>
  <r>
    <n v="100937"/>
    <n v="3655"/>
    <x v="2"/>
    <x v="0"/>
    <x v="1"/>
    <s v="Beverage"/>
    <x v="71"/>
    <d v="2023-12-04T00:00:00"/>
    <d v="2023-12-08T00:00:00"/>
    <n v="9"/>
    <n v="5"/>
    <n v="2"/>
    <n v="259.24"/>
    <n v="518.48"/>
    <n v="0.06"/>
    <n v="31.11"/>
    <n v="487.37"/>
    <n v="342.2"/>
    <n v="145.16999999999999"/>
  </r>
  <r>
    <n v="100938"/>
    <n v="1119"/>
    <x v="0"/>
    <x v="2"/>
    <x v="3"/>
    <s v="Shoes"/>
    <x v="125"/>
    <d v="2023-08-20T00:00:00"/>
    <d v="2023-08-31T00:00:00"/>
    <n v="12"/>
    <n v="1"/>
    <n v="11"/>
    <n v="233.07"/>
    <n v="2563.77"/>
    <n v="0.13"/>
    <n v="333.29"/>
    <n v="2230.48"/>
    <n v="1410.07"/>
    <n v="820.41"/>
  </r>
  <r>
    <n v="100939"/>
    <n v="1207"/>
    <x v="1"/>
    <x v="2"/>
    <x v="1"/>
    <s v="Rice"/>
    <x v="109"/>
    <d v="2023-02-21T00:00:00"/>
    <d v="2023-03-19T00:00:00"/>
    <n v="28"/>
    <n v="2"/>
    <n v="4"/>
    <n v="107.56"/>
    <n v="430.24"/>
    <n v="0.04"/>
    <n v="17.21"/>
    <n v="413.03"/>
    <n v="283.95999999999998"/>
    <n v="129.07"/>
  </r>
  <r>
    <n v="100940"/>
    <n v="1783"/>
    <x v="2"/>
    <x v="0"/>
    <x v="3"/>
    <s v="Jacket"/>
    <x v="180"/>
    <d v="2023-03-04T00:00:00"/>
    <d v="2023-03-26T00:00:00"/>
    <n v="23"/>
    <n v="1"/>
    <n v="8"/>
    <n v="407.41"/>
    <n v="3259.28"/>
    <n v="0.12"/>
    <n v="391.11"/>
    <n v="2868.17"/>
    <n v="1955.57"/>
    <n v="912.6"/>
  </r>
  <r>
    <n v="100941"/>
    <n v="3233"/>
    <x v="1"/>
    <x v="1"/>
    <x v="3"/>
    <s v="Jacket"/>
    <x v="27"/>
    <d v="2023-04-24T00:00:00"/>
    <d v="2023-05-20T00:00:00"/>
    <n v="27"/>
    <n v="1"/>
    <n v="3"/>
    <n v="539.55999999999995"/>
    <n v="1618.68"/>
    <n v="0"/>
    <n v="0"/>
    <n v="1618.68"/>
    <n v="1084.52"/>
    <n v="534.16"/>
  </r>
  <r>
    <n v="100942"/>
    <n v="4170"/>
    <x v="3"/>
    <x v="1"/>
    <x v="0"/>
    <s v="Sofa"/>
    <x v="94"/>
    <d v="2023-07-22T00:00:00"/>
    <d v="2023-07-28T00:00:00"/>
    <n v="11"/>
    <n v="5"/>
    <n v="11"/>
    <n v="193.7"/>
    <n v="2130.6999999999998"/>
    <n v="0.19"/>
    <n v="404.83"/>
    <n v="1725.87"/>
    <n v="1470.18"/>
    <n v="255.69"/>
  </r>
  <r>
    <n v="100943"/>
    <n v="3761"/>
    <x v="0"/>
    <x v="0"/>
    <x v="0"/>
    <s v="Cookware"/>
    <x v="252"/>
    <d v="2023-03-24T00:00:00"/>
    <d v="2023-03-26T00:00:00"/>
    <n v="4"/>
    <n v="2"/>
    <n v="8"/>
    <n v="345.69"/>
    <n v="2765.52"/>
    <n v="0.08"/>
    <n v="221.24"/>
    <n v="2544.2800000000002"/>
    <n v="1852.9"/>
    <n v="691.38"/>
  </r>
  <r>
    <n v="100944"/>
    <n v="2011"/>
    <x v="2"/>
    <x v="1"/>
    <x v="0"/>
    <s v="Sofa"/>
    <x v="211"/>
    <d v="2023-06-17T00:00:00"/>
    <d v="2023-06-20T00:00:00"/>
    <n v="7"/>
    <n v="4"/>
    <n v="3"/>
    <n v="22.42"/>
    <n v="67.260000000000005"/>
    <n v="0.02"/>
    <n v="1.35"/>
    <n v="65.91"/>
    <n v="53.81"/>
    <n v="12.1"/>
  </r>
  <r>
    <n v="100945"/>
    <n v="3029"/>
    <x v="0"/>
    <x v="0"/>
    <x v="3"/>
    <s v="Shirt"/>
    <x v="254"/>
    <d v="2023-11-25T00:00:00"/>
    <d v="2023-12-09T00:00:00"/>
    <n v="18"/>
    <n v="4"/>
    <n v="4"/>
    <n v="474.11"/>
    <n v="1896.44"/>
    <n v="0.1"/>
    <n v="189.64"/>
    <n v="1706.8"/>
    <n v="1289.58"/>
    <n v="417.22"/>
  </r>
  <r>
    <n v="100946"/>
    <n v="1691"/>
    <x v="2"/>
    <x v="1"/>
    <x v="0"/>
    <s v="Table"/>
    <x v="251"/>
    <d v="2023-01-29T00:00:00"/>
    <d v="2023-02-09T00:00:00"/>
    <n v="13"/>
    <n v="2"/>
    <n v="6"/>
    <n v="352.27"/>
    <n v="2113.62"/>
    <n v="0.09"/>
    <n v="190.23"/>
    <n v="1923.39"/>
    <n v="1394.99"/>
    <n v="528.4"/>
  </r>
  <r>
    <n v="100947"/>
    <n v="4151"/>
    <x v="3"/>
    <x v="1"/>
    <x v="1"/>
    <s v="Pasta"/>
    <x v="308"/>
    <d v="2023-10-03T00:00:00"/>
    <d v="2023-10-19T00:00:00"/>
    <n v="18"/>
    <n v="2"/>
    <n v="5"/>
    <n v="157.66"/>
    <n v="788.3"/>
    <n v="0.03"/>
    <n v="23.65"/>
    <n v="764.65"/>
    <n v="520.28"/>
    <n v="244.37"/>
  </r>
  <r>
    <n v="100948"/>
    <n v="4554"/>
    <x v="1"/>
    <x v="2"/>
    <x v="3"/>
    <s v="Shoes"/>
    <x v="120"/>
    <d v="2023-11-08T00:00:00"/>
    <d v="2023-11-20T00:00:00"/>
    <n v="16"/>
    <n v="4"/>
    <n v="13"/>
    <n v="167.3"/>
    <n v="2174.9"/>
    <n v="0.22"/>
    <n v="478.48"/>
    <n v="1696.42"/>
    <n v="1283.19"/>
    <n v="413.23"/>
  </r>
  <r>
    <n v="100949"/>
    <n v="1921"/>
    <x v="2"/>
    <x v="2"/>
    <x v="1"/>
    <s v="Snacks"/>
    <x v="117"/>
    <d v="2023-03-31T00:00:00"/>
    <d v="2023-04-13T00:00:00"/>
    <n v="17"/>
    <n v="4"/>
    <n v="10"/>
    <n v="590.52"/>
    <n v="5905.2"/>
    <n v="0.16"/>
    <n v="944.83"/>
    <n v="4960.37"/>
    <n v="3838.38"/>
    <n v="1121.99"/>
  </r>
  <r>
    <n v="100950"/>
    <n v="1789"/>
    <x v="1"/>
    <x v="1"/>
    <x v="2"/>
    <s v="Headphones"/>
    <x v="1"/>
    <d v="2023-07-17T00:00:00"/>
    <d v="2023-07-28T00:00:00"/>
    <n v="12"/>
    <n v="1"/>
    <n v="10"/>
    <n v="718.95"/>
    <n v="7189.5"/>
    <n v="0.03"/>
    <n v="215.68"/>
    <n v="6973.82"/>
    <n v="4601.28"/>
    <n v="2372.54"/>
  </r>
  <r>
    <n v="100951"/>
    <n v="2325"/>
    <x v="2"/>
    <x v="2"/>
    <x v="3"/>
    <s v="Shirt"/>
    <x v="159"/>
    <d v="2023-07-31T00:00:00"/>
    <d v="2023-08-11T00:00:00"/>
    <n v="12"/>
    <n v="1"/>
    <n v="5"/>
    <n v="383"/>
    <n v="1915"/>
    <n v="0.09"/>
    <n v="172.35"/>
    <n v="1742.65"/>
    <n v="1302.2"/>
    <n v="440.45"/>
  </r>
  <r>
    <n v="100952"/>
    <n v="1595"/>
    <x v="2"/>
    <x v="2"/>
    <x v="1"/>
    <s v="Rice"/>
    <x v="116"/>
    <d v="2023-08-19T00:00:00"/>
    <d v="2023-09-08T00:00:00"/>
    <n v="25"/>
    <n v="5"/>
    <n v="2"/>
    <n v="98.13"/>
    <n v="196.26"/>
    <n v="0.14000000000000001"/>
    <n v="27.48"/>
    <n v="168.78"/>
    <n v="111.87"/>
    <n v="56.91"/>
  </r>
  <r>
    <n v="100953"/>
    <n v="4323"/>
    <x v="1"/>
    <x v="2"/>
    <x v="1"/>
    <s v="Rice"/>
    <x v="298"/>
    <d v="2023-01-09T00:00:00"/>
    <d v="2023-01-17T00:00:00"/>
    <n v="13"/>
    <n v="5"/>
    <n v="7"/>
    <n v="634.85"/>
    <n v="4443.95"/>
    <n v="0.11"/>
    <n v="488.83"/>
    <n v="3955.12"/>
    <n v="2399.73"/>
    <n v="1555.39"/>
  </r>
  <r>
    <n v="100954"/>
    <n v="3160"/>
    <x v="0"/>
    <x v="1"/>
    <x v="2"/>
    <s v="Phone"/>
    <x v="22"/>
    <d v="2023-07-13T00:00:00"/>
    <d v="2023-07-26T00:00:00"/>
    <n v="15"/>
    <n v="2"/>
    <n v="9"/>
    <n v="201.48"/>
    <n v="1813.32"/>
    <n v="0.18"/>
    <n v="326.39999999999998"/>
    <n v="1486.92"/>
    <n v="979.19"/>
    <n v="507.73"/>
  </r>
  <r>
    <n v="100955"/>
    <n v="1563"/>
    <x v="2"/>
    <x v="1"/>
    <x v="0"/>
    <s v="Sofa"/>
    <x v="175"/>
    <d v="2023-12-05T00:00:00"/>
    <d v="2023-12-18T00:00:00"/>
    <n v="17"/>
    <n v="4"/>
    <n v="1"/>
    <n v="472.3"/>
    <n v="472.3"/>
    <n v="0.21"/>
    <n v="99.18"/>
    <n v="373.12"/>
    <n v="302.27"/>
    <n v="70.849999999999994"/>
  </r>
  <r>
    <n v="100956"/>
    <n v="3891"/>
    <x v="0"/>
    <x v="2"/>
    <x v="0"/>
    <s v="Lamp"/>
    <x v="340"/>
    <d v="2023-09-21T00:00:00"/>
    <d v="2023-10-10T00:00:00"/>
    <n v="23"/>
    <n v="4"/>
    <n v="6"/>
    <n v="457.27"/>
    <n v="2743.62"/>
    <n v="0.13"/>
    <n v="356.67"/>
    <n v="2386.9499999999998"/>
    <n v="1591.3"/>
    <n v="795.65"/>
  </r>
  <r>
    <n v="100957"/>
    <n v="4425"/>
    <x v="3"/>
    <x v="1"/>
    <x v="3"/>
    <s v="Shoes"/>
    <x v="109"/>
    <d v="2023-02-22T00:00:00"/>
    <d v="2023-03-13T00:00:00"/>
    <n v="22"/>
    <n v="3"/>
    <n v="13"/>
    <n v="777.28"/>
    <n v="10104.64"/>
    <n v="0.05"/>
    <n v="505.23"/>
    <n v="9599.41"/>
    <n v="5557.55"/>
    <n v="4041.86"/>
  </r>
  <r>
    <n v="100958"/>
    <n v="4074"/>
    <x v="3"/>
    <x v="1"/>
    <x v="0"/>
    <s v="Cookware"/>
    <x v="104"/>
    <d v="2023-05-16T00:00:00"/>
    <d v="2023-06-09T00:00:00"/>
    <n v="25"/>
    <n v="1"/>
    <n v="7"/>
    <n v="670.7"/>
    <n v="4694.8999999999996"/>
    <n v="0.08"/>
    <n v="375.59"/>
    <n v="4319.3100000000004"/>
    <n v="2723.04"/>
    <n v="1596.27"/>
  </r>
  <r>
    <n v="100959"/>
    <n v="2802"/>
    <x v="2"/>
    <x v="2"/>
    <x v="3"/>
    <s v="Shoes"/>
    <x v="246"/>
    <d v="2023-03-30T00:00:00"/>
    <d v="2023-04-19T00:00:00"/>
    <n v="22"/>
    <n v="2"/>
    <n v="3"/>
    <n v="662.18"/>
    <n v="1986.54"/>
    <n v="7.0000000000000007E-2"/>
    <n v="139.06"/>
    <n v="1847.48"/>
    <n v="1311.12"/>
    <n v="536.36"/>
  </r>
  <r>
    <n v="100960"/>
    <n v="3409"/>
    <x v="1"/>
    <x v="0"/>
    <x v="1"/>
    <s v="Snacks"/>
    <x v="122"/>
    <d v="2023-07-20T00:00:00"/>
    <d v="2023-07-26T00:00:00"/>
    <n v="7"/>
    <n v="1"/>
    <n v="2"/>
    <n v="471.69"/>
    <n v="943.38"/>
    <n v="0.12"/>
    <n v="113.21"/>
    <n v="830.17"/>
    <n v="632.05999999999995"/>
    <n v="198.11"/>
  </r>
  <r>
    <n v="100961"/>
    <n v="1638"/>
    <x v="2"/>
    <x v="1"/>
    <x v="0"/>
    <s v="Sofa"/>
    <x v="277"/>
    <d v="2023-11-21T00:00:00"/>
    <d v="2023-12-07T00:00:00"/>
    <n v="19"/>
    <n v="3"/>
    <n v="11"/>
    <n v="706.36"/>
    <n v="7769.96"/>
    <n v="0.17"/>
    <n v="1320.89"/>
    <n v="6449.07"/>
    <n v="4351.18"/>
    <n v="2097.89"/>
  </r>
  <r>
    <n v="100962"/>
    <n v="4208"/>
    <x v="2"/>
    <x v="1"/>
    <x v="3"/>
    <s v="Shirt"/>
    <x v="128"/>
    <d v="2023-03-20T00:00:00"/>
    <d v="2023-03-27T00:00:00"/>
    <n v="8"/>
    <n v="1"/>
    <n v="6"/>
    <n v="25.29"/>
    <n v="151.74"/>
    <n v="0.06"/>
    <n v="9.1"/>
    <n v="142.63999999999999"/>
    <n v="103.18"/>
    <n v="39.46"/>
  </r>
  <r>
    <n v="100963"/>
    <n v="4007"/>
    <x v="0"/>
    <x v="1"/>
    <x v="0"/>
    <s v="Cookware"/>
    <x v="37"/>
    <d v="2023-12-10T00:00:00"/>
    <d v="2024-01-01T00:00:00"/>
    <n v="26"/>
    <n v="4"/>
    <n v="1"/>
    <n v="398.28"/>
    <n v="398.28"/>
    <n v="0"/>
    <n v="0"/>
    <n v="398.28"/>
    <n v="238.97"/>
    <n v="159.31"/>
  </r>
  <r>
    <n v="100964"/>
    <n v="1745"/>
    <x v="2"/>
    <x v="1"/>
    <x v="0"/>
    <s v="Cookware"/>
    <x v="200"/>
    <d v="2023-04-16T00:00:00"/>
    <d v="2023-05-02T00:00:00"/>
    <n v="19"/>
    <n v="3"/>
    <n v="9"/>
    <n v="363.9"/>
    <n v="3275.1"/>
    <n v="0.14000000000000001"/>
    <n v="458.51"/>
    <n v="2816.59"/>
    <n v="2128.8200000000002"/>
    <n v="687.77"/>
  </r>
  <r>
    <n v="100965"/>
    <n v="1788"/>
    <x v="2"/>
    <x v="2"/>
    <x v="2"/>
    <s v="Laptop"/>
    <x v="1"/>
    <d v="2023-07-19T00:00:00"/>
    <d v="2023-07-30T00:00:00"/>
    <n v="14"/>
    <n v="3"/>
    <n v="12"/>
    <n v="509.83"/>
    <n v="6117.96"/>
    <n v="7.0000000000000007E-2"/>
    <n v="428.26"/>
    <n v="5689.7"/>
    <n v="3731.96"/>
    <n v="1957.74"/>
  </r>
  <r>
    <n v="100966"/>
    <n v="1581"/>
    <x v="2"/>
    <x v="2"/>
    <x v="0"/>
    <s v="Lamp"/>
    <x v="338"/>
    <d v="2023-03-03T00:00:00"/>
    <d v="2023-03-17T00:00:00"/>
    <n v="18"/>
    <n v="4"/>
    <n v="9"/>
    <n v="728.57"/>
    <n v="6557.13"/>
    <n v="0.03"/>
    <n v="196.71"/>
    <n v="6360.42"/>
    <n v="3999.85"/>
    <n v="2360.5700000000002"/>
  </r>
  <r>
    <n v="100967"/>
    <n v="1791"/>
    <x v="1"/>
    <x v="0"/>
    <x v="3"/>
    <s v="Shirt"/>
    <x v="142"/>
    <d v="2023-07-29T00:00:00"/>
    <d v="2023-08-04T00:00:00"/>
    <n v="7"/>
    <n v="1"/>
    <n v="13"/>
    <n v="455.32"/>
    <n v="5919.16"/>
    <n v="0.1"/>
    <n v="591.91999999999996"/>
    <n v="5327.24"/>
    <n v="3729.07"/>
    <n v="1598.17"/>
  </r>
  <r>
    <n v="100968"/>
    <n v="3555"/>
    <x v="1"/>
    <x v="0"/>
    <x v="1"/>
    <s v="Pasta"/>
    <x v="170"/>
    <d v="2023-02-09T00:00:00"/>
    <d v="2023-02-15T00:00:00"/>
    <n v="9"/>
    <n v="3"/>
    <n v="1"/>
    <n v="667.68"/>
    <n v="667.68"/>
    <n v="0.14000000000000001"/>
    <n v="93.48"/>
    <n v="574.20000000000005"/>
    <n v="427.32"/>
    <n v="146.88"/>
  </r>
  <r>
    <n v="100969"/>
    <n v="2254"/>
    <x v="3"/>
    <x v="2"/>
    <x v="2"/>
    <s v="Tablet"/>
    <x v="16"/>
    <d v="2023-03-18T00:00:00"/>
    <d v="2023-04-06T00:00:00"/>
    <n v="20"/>
    <n v="1"/>
    <n v="12"/>
    <n v="292"/>
    <n v="3504"/>
    <n v="0.1"/>
    <n v="350.4"/>
    <n v="3153.6"/>
    <n v="1787.04"/>
    <n v="1366.56"/>
  </r>
  <r>
    <n v="100970"/>
    <n v="3003"/>
    <x v="0"/>
    <x v="1"/>
    <x v="0"/>
    <s v="Sofa"/>
    <x v="4"/>
    <d v="2023-08-04T00:00:00"/>
    <d v="2023-08-09T00:00:00"/>
    <n v="9"/>
    <n v="4"/>
    <n v="6"/>
    <n v="244.69"/>
    <n v="1468.14"/>
    <n v="0.06"/>
    <n v="88.09"/>
    <n v="1380.05"/>
    <n v="792.8"/>
    <n v="587.25"/>
  </r>
  <r>
    <n v="100971"/>
    <n v="1271"/>
    <x v="3"/>
    <x v="1"/>
    <x v="0"/>
    <s v="Lamp"/>
    <x v="287"/>
    <d v="2023-07-21T00:00:00"/>
    <d v="2023-07-23T00:00:00"/>
    <n v="3"/>
    <n v="1"/>
    <n v="6"/>
    <n v="229.86"/>
    <n v="1379.16"/>
    <n v="0.23"/>
    <n v="317.20999999999998"/>
    <n v="1061.95"/>
    <n v="786.12"/>
    <n v="275.83"/>
  </r>
  <r>
    <n v="100972"/>
    <n v="3196"/>
    <x v="1"/>
    <x v="1"/>
    <x v="3"/>
    <s v="Jacket"/>
    <x v="282"/>
    <d v="2023-11-20T00:00:00"/>
    <d v="2023-12-08T00:00:00"/>
    <n v="22"/>
    <n v="4"/>
    <n v="13"/>
    <n v="471.99"/>
    <n v="6135.87"/>
    <n v="7.0000000000000007E-2"/>
    <n v="429.51"/>
    <n v="5706.36"/>
    <n v="3804.24"/>
    <n v="1902.12"/>
  </r>
  <r>
    <n v="100973"/>
    <n v="2935"/>
    <x v="3"/>
    <x v="1"/>
    <x v="2"/>
    <s v="Tablet"/>
    <x v="242"/>
    <d v="2023-12-25T00:00:00"/>
    <d v="2024-01-08T00:00:00"/>
    <n v="18"/>
    <n v="4"/>
    <n v="14"/>
    <n v="672.16"/>
    <n v="9410.24"/>
    <n v="0.05"/>
    <n v="470.51"/>
    <n v="8939.73"/>
    <n v="6210.76"/>
    <n v="2728.97"/>
  </r>
  <r>
    <n v="100974"/>
    <n v="4731"/>
    <x v="1"/>
    <x v="2"/>
    <x v="0"/>
    <s v="Sofa"/>
    <x v="87"/>
    <d v="2023-12-05T00:00:00"/>
    <d v="2023-12-19T00:00:00"/>
    <n v="17"/>
    <n v="3"/>
    <n v="9"/>
    <n v="571.47"/>
    <n v="5143.2299999999996"/>
    <n v="0.08"/>
    <n v="411.46"/>
    <n v="4731.7700000000004"/>
    <n v="3240.23"/>
    <n v="1491.54"/>
  </r>
  <r>
    <n v="100975"/>
    <n v="4958"/>
    <x v="0"/>
    <x v="1"/>
    <x v="0"/>
    <s v="Cookware"/>
    <x v="205"/>
    <d v="2023-04-16T00:00:00"/>
    <d v="2023-05-05T00:00:00"/>
    <n v="20"/>
    <n v="1"/>
    <n v="12"/>
    <n v="273.73"/>
    <n v="3284.76"/>
    <n v="7.0000000000000007E-2"/>
    <n v="229.93"/>
    <n v="3054.83"/>
    <n v="1938.01"/>
    <n v="1116.82"/>
  </r>
  <r>
    <n v="100976"/>
    <n v="4625"/>
    <x v="2"/>
    <x v="0"/>
    <x v="3"/>
    <s v="Jeans"/>
    <x v="86"/>
    <d v="2023-05-16T00:00:00"/>
    <d v="2023-06-07T00:00:00"/>
    <n v="26"/>
    <n v="4"/>
    <n v="10"/>
    <n v="14.75"/>
    <n v="147.5"/>
    <n v="0.05"/>
    <n v="7.38"/>
    <n v="140.12"/>
    <n v="87.02"/>
    <n v="53.1"/>
  </r>
  <r>
    <n v="100977"/>
    <n v="3109"/>
    <x v="1"/>
    <x v="1"/>
    <x v="0"/>
    <s v="Sofa"/>
    <x v="144"/>
    <d v="2023-06-05T00:00:00"/>
    <d v="2023-06-05T00:00:00"/>
    <n v="2"/>
    <n v="2"/>
    <n v="9"/>
    <n v="171.2"/>
    <n v="1540.8"/>
    <n v="0.1"/>
    <n v="154.08000000000001"/>
    <n v="1386.72"/>
    <n v="878.26"/>
    <n v="508.46"/>
  </r>
  <r>
    <n v="100978"/>
    <n v="2276"/>
    <x v="1"/>
    <x v="1"/>
    <x v="3"/>
    <s v="Shirt"/>
    <x v="62"/>
    <d v="2023-05-12T00:00:00"/>
    <d v="2023-06-01T00:00:00"/>
    <n v="21"/>
    <n v="1"/>
    <n v="3"/>
    <n v="644.13"/>
    <n v="1932.39"/>
    <n v="7.0000000000000007E-2"/>
    <n v="135.27000000000001"/>
    <n v="1797.12"/>
    <n v="1140.1099999999999"/>
    <n v="657.01"/>
  </r>
  <r>
    <n v="100979"/>
    <n v="1713"/>
    <x v="2"/>
    <x v="2"/>
    <x v="3"/>
    <s v="Jeans"/>
    <x v="131"/>
    <d v="2023-06-15T00:00:00"/>
    <d v="2023-06-22T00:00:00"/>
    <n v="11"/>
    <n v="4"/>
    <n v="3"/>
    <n v="364.72"/>
    <n v="1094.1600000000001"/>
    <n v="0.1"/>
    <n v="109.42"/>
    <n v="984.74"/>
    <n v="645.54999999999995"/>
    <n v="339.19"/>
  </r>
  <r>
    <n v="100980"/>
    <n v="4100"/>
    <x v="3"/>
    <x v="2"/>
    <x v="2"/>
    <s v="Tablet"/>
    <x v="110"/>
    <d v="2023-04-18T00:00:00"/>
    <d v="2023-04-18T00:00:00"/>
    <n v="2"/>
    <n v="2"/>
    <n v="5"/>
    <n v="189.06"/>
    <n v="945.3"/>
    <n v="7.0000000000000007E-2"/>
    <n v="66.17"/>
    <n v="879.13"/>
    <n v="680.62"/>
    <n v="198.51"/>
  </r>
  <r>
    <n v="100981"/>
    <n v="2588"/>
    <x v="0"/>
    <x v="1"/>
    <x v="2"/>
    <s v="Tablet"/>
    <x v="70"/>
    <d v="2023-04-23T00:00:00"/>
    <d v="2023-05-03T00:00:00"/>
    <n v="15"/>
    <n v="5"/>
    <n v="1"/>
    <n v="599.04999999999995"/>
    <n v="599.04999999999995"/>
    <n v="0.13"/>
    <n v="77.88"/>
    <n v="521.16999999999996"/>
    <n v="377.4"/>
    <n v="143.77000000000001"/>
  </r>
  <r>
    <n v="100982"/>
    <n v="2303"/>
    <x v="1"/>
    <x v="1"/>
    <x v="3"/>
    <s v="Shirt"/>
    <x v="341"/>
    <d v="2023-08-15T00:00:00"/>
    <d v="2023-08-13T00:00:00"/>
    <n v="2"/>
    <n v="4"/>
    <n v="5"/>
    <n v="458.74"/>
    <n v="2293.6999999999998"/>
    <n v="0.01"/>
    <n v="22.94"/>
    <n v="2270.7600000000002"/>
    <n v="1376.22"/>
    <n v="894.54"/>
  </r>
  <r>
    <n v="100983"/>
    <n v="2636"/>
    <x v="3"/>
    <x v="1"/>
    <x v="2"/>
    <s v="Laptop"/>
    <x v="282"/>
    <d v="2023-11-18T00:00:00"/>
    <d v="2023-11-21T00:00:00"/>
    <n v="5"/>
    <n v="2"/>
    <n v="1"/>
    <n v="307.2"/>
    <n v="307.2"/>
    <n v="0.09"/>
    <n v="27.65"/>
    <n v="279.55"/>
    <n v="184.32"/>
    <n v="95.23"/>
  </r>
  <r>
    <n v="100984"/>
    <n v="1537"/>
    <x v="3"/>
    <x v="2"/>
    <x v="0"/>
    <s v="Lamp"/>
    <x v="210"/>
    <d v="2023-12-12T00:00:00"/>
    <d v="2024-01-08T00:00:00"/>
    <n v="30"/>
    <n v="3"/>
    <n v="2"/>
    <n v="112.58"/>
    <n v="225.16"/>
    <n v="0.08"/>
    <n v="18.010000000000002"/>
    <n v="207.15"/>
    <n v="153.11000000000001"/>
    <n v="54.04"/>
  </r>
  <r>
    <n v="100985"/>
    <n v="2517"/>
    <x v="0"/>
    <x v="2"/>
    <x v="0"/>
    <s v="Lamp"/>
    <x v="2"/>
    <d v="2023-01-27T00:00:00"/>
    <d v="2023-01-31T00:00:00"/>
    <n v="5"/>
    <n v="1"/>
    <n v="8"/>
    <n v="724.23"/>
    <n v="5793.84"/>
    <n v="0.09"/>
    <n v="521.45000000000005"/>
    <n v="5272.39"/>
    <n v="3302.49"/>
    <n v="1969.9"/>
  </r>
  <r>
    <n v="100986"/>
    <n v="3505"/>
    <x v="0"/>
    <x v="1"/>
    <x v="2"/>
    <s v="Laptop"/>
    <x v="342"/>
    <d v="2023-09-05T00:00:00"/>
    <d v="2023-10-02T00:00:00"/>
    <n v="30"/>
    <n v="3"/>
    <n v="1"/>
    <n v="558.30999999999995"/>
    <n v="558.30999999999995"/>
    <n v="0.08"/>
    <n v="44.66"/>
    <n v="513.65"/>
    <n v="329.4"/>
    <n v="184.25"/>
  </r>
  <r>
    <n v="100987"/>
    <n v="1641"/>
    <x v="1"/>
    <x v="1"/>
    <x v="3"/>
    <s v="Shoes"/>
    <x v="124"/>
    <d v="2023-10-30T00:00:00"/>
    <d v="2023-11-06T00:00:00"/>
    <n v="12"/>
    <n v="5"/>
    <n v="1"/>
    <n v="779.03"/>
    <n v="779.03"/>
    <n v="0.08"/>
    <n v="62.32"/>
    <n v="716.71"/>
    <n v="451.84"/>
    <n v="264.87"/>
  </r>
  <r>
    <n v="100988"/>
    <n v="2992"/>
    <x v="2"/>
    <x v="1"/>
    <x v="1"/>
    <s v="Snacks"/>
    <x v="210"/>
    <d v="2023-12-11T00:00:00"/>
    <d v="2024-01-06T00:00:00"/>
    <n v="28"/>
    <n v="2"/>
    <n v="1"/>
    <n v="396.58"/>
    <n v="396.58"/>
    <n v="0.09"/>
    <n v="35.69"/>
    <n v="360.89"/>
    <n v="265.70999999999998"/>
    <n v="95.18"/>
  </r>
  <r>
    <n v="100989"/>
    <n v="4536"/>
    <x v="1"/>
    <x v="1"/>
    <x v="2"/>
    <s v="Tablet"/>
    <x v="302"/>
    <d v="2023-08-29T00:00:00"/>
    <d v="2023-09-12T00:00:00"/>
    <n v="19"/>
    <n v="5"/>
    <n v="11"/>
    <n v="664.06"/>
    <n v="7304.66"/>
    <n v="7.0000000000000007E-2"/>
    <n v="511.33"/>
    <n v="6793.33"/>
    <n v="4894.12"/>
    <n v="1899.21"/>
  </r>
  <r>
    <n v="100990"/>
    <n v="4344"/>
    <x v="1"/>
    <x v="0"/>
    <x v="2"/>
    <s v="Laptop"/>
    <x v="177"/>
    <d v="2023-01-28T00:00:00"/>
    <d v="2023-02-18T00:00:00"/>
    <n v="24"/>
    <n v="3"/>
    <n v="8"/>
    <n v="92.44"/>
    <n v="739.52"/>
    <n v="0.04"/>
    <n v="29.58"/>
    <n v="709.94"/>
    <n v="451.11"/>
    <n v="258.83"/>
  </r>
  <r>
    <n v="100991"/>
    <n v="2674"/>
    <x v="2"/>
    <x v="2"/>
    <x v="2"/>
    <s v="Laptop"/>
    <x v="173"/>
    <d v="2023-08-15T00:00:00"/>
    <d v="2023-09-10T00:00:00"/>
    <n v="29"/>
    <n v="3"/>
    <n v="7"/>
    <n v="420.29"/>
    <n v="2942.03"/>
    <n v="0.02"/>
    <n v="58.84"/>
    <n v="2883.19"/>
    <n v="1794.64"/>
    <n v="1088.55"/>
  </r>
  <r>
    <n v="100992"/>
    <n v="3798"/>
    <x v="0"/>
    <x v="2"/>
    <x v="2"/>
    <s v="Phone"/>
    <x v="180"/>
    <d v="2023-03-06T00:00:00"/>
    <d v="2023-03-17T00:00:00"/>
    <n v="14"/>
    <n v="3"/>
    <n v="13"/>
    <n v="588.98"/>
    <n v="7656.74"/>
    <n v="0.11"/>
    <n v="842.24"/>
    <n v="6814.5"/>
    <n v="4747.18"/>
    <n v="2067.3200000000002"/>
  </r>
  <r>
    <n v="100993"/>
    <n v="2268"/>
    <x v="2"/>
    <x v="0"/>
    <x v="2"/>
    <s v="Phone"/>
    <x v="339"/>
    <d v="2023-03-20T00:00:00"/>
    <d v="2023-03-26T00:00:00"/>
    <n v="10"/>
    <n v="4"/>
    <n v="9"/>
    <n v="611.28"/>
    <n v="5501.52"/>
    <n v="0.04"/>
    <n v="220.06"/>
    <n v="5281.46"/>
    <n v="3686.02"/>
    <n v="1595.44"/>
  </r>
  <r>
    <n v="100994"/>
    <n v="1775"/>
    <x v="0"/>
    <x v="1"/>
    <x v="1"/>
    <s v="Snacks"/>
    <x v="297"/>
    <d v="2023-03-03T00:00:00"/>
    <d v="2023-03-03T00:00:00"/>
    <n v="3"/>
    <n v="3"/>
    <n v="4"/>
    <n v="685.42"/>
    <n v="2741.68"/>
    <n v="0.02"/>
    <n v="54.83"/>
    <n v="2686.85"/>
    <n v="1836.93"/>
    <n v="849.92"/>
  </r>
  <r>
    <n v="100995"/>
    <n v="4145"/>
    <x v="3"/>
    <x v="1"/>
    <x v="3"/>
    <s v="Jeans"/>
    <x v="316"/>
    <d v="2023-08-29T00:00:00"/>
    <d v="2023-09-14T00:00:00"/>
    <n v="17"/>
    <n v="1"/>
    <n v="3"/>
    <n v="89.76"/>
    <n v="269.27999999999997"/>
    <n v="0.09"/>
    <n v="24.24"/>
    <n v="245.04"/>
    <n v="180.42"/>
    <n v="64.62"/>
  </r>
  <r>
    <n v="100996"/>
    <n v="3642"/>
    <x v="2"/>
    <x v="0"/>
    <x v="1"/>
    <s v="Beverage"/>
    <x v="258"/>
    <d v="2023-02-03T00:00:00"/>
    <d v="2023-03-02T00:00:00"/>
    <n v="29"/>
    <n v="2"/>
    <n v="1"/>
    <n v="162.54"/>
    <n v="162.54"/>
    <n v="0.04"/>
    <n v="6.5"/>
    <n v="156.04"/>
    <n v="86.15"/>
    <n v="69.89"/>
  </r>
  <r>
    <n v="100997"/>
    <n v="2581"/>
    <x v="3"/>
    <x v="0"/>
    <x v="3"/>
    <s v="Shoes"/>
    <x v="144"/>
    <d v="2023-06-08T00:00:00"/>
    <d v="2023-06-17T00:00:00"/>
    <n v="14"/>
    <n v="5"/>
    <n v="5"/>
    <n v="727"/>
    <n v="3635"/>
    <n v="0.11"/>
    <n v="399.85"/>
    <n v="3235.15"/>
    <n v="2253.6999999999998"/>
    <n v="981.45"/>
  </r>
  <r>
    <n v="100998"/>
    <n v="4318"/>
    <x v="3"/>
    <x v="0"/>
    <x v="2"/>
    <s v="Tablet"/>
    <x v="246"/>
    <d v="2023-03-29T00:00:00"/>
    <d v="2023-04-23T00:00:00"/>
    <n v="26"/>
    <n v="1"/>
    <n v="3"/>
    <n v="287.02999999999997"/>
    <n v="861.09"/>
    <n v="0.09"/>
    <n v="77.5"/>
    <n v="783.59"/>
    <n v="594.15"/>
    <n v="189.44"/>
  </r>
  <r>
    <n v="100999"/>
    <n v="4487"/>
    <x v="0"/>
    <x v="2"/>
    <x v="3"/>
    <s v="Shirt"/>
    <x v="241"/>
    <d v="2023-10-22T00:00:00"/>
    <d v="2023-10-27T00:00:00"/>
    <n v="7"/>
    <n v="2"/>
    <n v="12"/>
    <n v="303.05"/>
    <n v="3636.6"/>
    <n v="0.01"/>
    <n v="36.369999999999997"/>
    <n v="3600.23"/>
    <n v="2291.06"/>
    <n v="1309.17"/>
  </r>
  <r>
    <n v="101000"/>
    <n v="2703"/>
    <x v="2"/>
    <x v="1"/>
    <x v="1"/>
    <s v="Pasta"/>
    <x v="210"/>
    <d v="2023-12-14T00:00:00"/>
    <d v="2023-12-14T00:00:00"/>
    <n v="5"/>
    <n v="5"/>
    <n v="9"/>
    <n v="447.87"/>
    <n v="4030.83"/>
    <n v="0.2"/>
    <n v="806.17"/>
    <n v="3224.66"/>
    <n v="2781.27"/>
    <n v="443.39"/>
  </r>
  <r>
    <n v="101001"/>
    <n v="4527"/>
    <x v="0"/>
    <x v="1"/>
    <x v="3"/>
    <s v="Shirt"/>
    <x v="136"/>
    <d v="2023-04-10T00:00:00"/>
    <d v="2023-04-21T00:00:00"/>
    <n v="15"/>
    <n v="4"/>
    <n v="11"/>
    <n v="23.05"/>
    <n v="253.55"/>
    <n v="0.08"/>
    <n v="20.28"/>
    <n v="233.27"/>
    <n v="174.95"/>
    <n v="58.32"/>
  </r>
  <r>
    <n v="101002"/>
    <n v="4800"/>
    <x v="1"/>
    <x v="2"/>
    <x v="0"/>
    <s v="Cookware"/>
    <x v="186"/>
    <d v="2023-04-06T00:00:00"/>
    <d v="2023-04-30T00:00:00"/>
    <n v="25"/>
    <n v="1"/>
    <n v="14"/>
    <n v="757.01"/>
    <n v="10598.14"/>
    <n v="0.1"/>
    <n v="1059.81"/>
    <n v="9538.33"/>
    <n v="5405.05"/>
    <n v="4133.28"/>
  </r>
  <r>
    <n v="101003"/>
    <n v="3079"/>
    <x v="3"/>
    <x v="0"/>
    <x v="0"/>
    <s v="Lamp"/>
    <x v="26"/>
    <d v="2023-07-04T00:00:00"/>
    <d v="2023-07-18T00:00:00"/>
    <n v="15"/>
    <n v="1"/>
    <n v="11"/>
    <n v="709.82"/>
    <n v="7808.02"/>
    <n v="0.08"/>
    <n v="624.64"/>
    <n v="7183.38"/>
    <n v="4294.41"/>
    <n v="2888.97"/>
  </r>
  <r>
    <n v="101004"/>
    <n v="4624"/>
    <x v="0"/>
    <x v="2"/>
    <x v="2"/>
    <s v="Headphones"/>
    <x v="150"/>
    <d v="2023-06-09T00:00:00"/>
    <d v="2023-06-17T00:00:00"/>
    <n v="11"/>
    <n v="3"/>
    <n v="2"/>
    <n v="36.340000000000003"/>
    <n v="72.680000000000007"/>
    <n v="0.05"/>
    <n v="3.63"/>
    <n v="69.05"/>
    <n v="39.97"/>
    <n v="29.08"/>
  </r>
  <r>
    <n v="101005"/>
    <n v="2921"/>
    <x v="1"/>
    <x v="2"/>
    <x v="1"/>
    <s v="Rice"/>
    <x v="170"/>
    <d v="2023-02-09T00:00:00"/>
    <d v="2023-02-17T00:00:00"/>
    <n v="11"/>
    <n v="3"/>
    <n v="10"/>
    <n v="59.56"/>
    <n v="595.6"/>
    <n v="0.24"/>
    <n v="142.94"/>
    <n v="452.66"/>
    <n v="363.32"/>
    <n v="89.34"/>
  </r>
  <r>
    <n v="101006"/>
    <n v="4519"/>
    <x v="3"/>
    <x v="1"/>
    <x v="1"/>
    <s v="Rice"/>
    <x v="327"/>
    <d v="2023-10-04T00:00:00"/>
    <d v="2023-10-04T00:00:00"/>
    <n v="5"/>
    <n v="5"/>
    <n v="10"/>
    <n v="688.76"/>
    <n v="6887.6"/>
    <n v="0.1"/>
    <n v="688.76"/>
    <n v="6198.84"/>
    <n v="3857.06"/>
    <n v="2341.7800000000002"/>
  </r>
  <r>
    <n v="101007"/>
    <n v="1138"/>
    <x v="0"/>
    <x v="2"/>
    <x v="0"/>
    <s v="Sofa"/>
    <x v="142"/>
    <d v="2023-08-02T00:00:00"/>
    <d v="2023-07-31T00:00:00"/>
    <n v="3"/>
    <n v="5"/>
    <n v="9"/>
    <n v="54.45"/>
    <n v="490.05"/>
    <n v="0"/>
    <n v="0"/>
    <n v="490.05"/>
    <n v="338.13"/>
    <n v="151.91999999999999"/>
  </r>
  <r>
    <n v="101008"/>
    <n v="4609"/>
    <x v="1"/>
    <x v="0"/>
    <x v="0"/>
    <s v="Table"/>
    <x v="263"/>
    <d v="2023-06-28T00:00:00"/>
    <d v="2023-06-28T00:00:00"/>
    <n v="5"/>
    <n v="5"/>
    <n v="2"/>
    <n v="469.27"/>
    <n v="938.54"/>
    <n v="0.13"/>
    <n v="122.01"/>
    <n v="816.53"/>
    <n v="478.66"/>
    <n v="337.87"/>
  </r>
  <r>
    <n v="101009"/>
    <n v="1536"/>
    <x v="1"/>
    <x v="2"/>
    <x v="0"/>
    <s v="Lamp"/>
    <x v="64"/>
    <d v="2023-01-27T00:00:00"/>
    <d v="2023-02-04T00:00:00"/>
    <n v="13"/>
    <n v="5"/>
    <n v="9"/>
    <n v="33.799999999999997"/>
    <n v="304.2"/>
    <n v="0.1"/>
    <n v="30.42"/>
    <n v="273.77999999999997"/>
    <n v="215.98"/>
    <n v="57.8"/>
  </r>
  <r>
    <n v="101010"/>
    <n v="2363"/>
    <x v="1"/>
    <x v="0"/>
    <x v="0"/>
    <s v="Lamp"/>
    <x v="255"/>
    <d v="2023-09-18T00:00:00"/>
    <d v="2023-10-11T00:00:00"/>
    <n v="25"/>
    <n v="2"/>
    <n v="3"/>
    <n v="200.58"/>
    <n v="601.74"/>
    <n v="0.03"/>
    <n v="18.05"/>
    <n v="583.69000000000005"/>
    <n v="391.13"/>
    <n v="192.56"/>
  </r>
  <r>
    <n v="101011"/>
    <n v="1396"/>
    <x v="1"/>
    <x v="1"/>
    <x v="0"/>
    <s v="Sofa"/>
    <x v="52"/>
    <d v="2023-06-03T00:00:00"/>
    <d v="2023-06-11T00:00:00"/>
    <n v="12"/>
    <n v="4"/>
    <n v="4"/>
    <n v="567.53"/>
    <n v="2270.12"/>
    <n v="0.08"/>
    <n v="181.61"/>
    <n v="2088.5100000000002"/>
    <n v="1021.55"/>
    <n v="1066.96"/>
  </r>
  <r>
    <n v="101012"/>
    <n v="4145"/>
    <x v="1"/>
    <x v="2"/>
    <x v="3"/>
    <s v="Shirt"/>
    <x v="98"/>
    <d v="2023-02-02T00:00:00"/>
    <d v="2023-02-05T00:00:00"/>
    <n v="6"/>
    <n v="3"/>
    <n v="14"/>
    <n v="255.95"/>
    <n v="3583.3"/>
    <n v="0.01"/>
    <n v="35.83"/>
    <n v="3547.47"/>
    <n v="2400.81"/>
    <n v="1146.6600000000001"/>
  </r>
  <r>
    <n v="101013"/>
    <n v="4147"/>
    <x v="2"/>
    <x v="2"/>
    <x v="3"/>
    <s v="Shoes"/>
    <x v="56"/>
    <d v="2023-01-10T00:00:00"/>
    <d v="2023-01-25T00:00:00"/>
    <n v="20"/>
    <n v="5"/>
    <n v="5"/>
    <n v="497.56"/>
    <n v="2487.8000000000002"/>
    <n v="0.12"/>
    <n v="298.54000000000002"/>
    <n v="2189.2600000000002"/>
    <n v="1592.19"/>
    <n v="597.07000000000005"/>
  </r>
  <r>
    <n v="101014"/>
    <n v="2105"/>
    <x v="0"/>
    <x v="2"/>
    <x v="0"/>
    <s v="Sofa"/>
    <x v="52"/>
    <d v="2023-05-31T00:00:00"/>
    <d v="2023-06-24T00:00:00"/>
    <n v="25"/>
    <n v="1"/>
    <n v="2"/>
    <n v="520.57000000000005"/>
    <n v="1041.1400000000001"/>
    <n v="0.08"/>
    <n v="83.29"/>
    <n v="957.85"/>
    <n v="707.98"/>
    <n v="249.87"/>
  </r>
  <r>
    <n v="101015"/>
    <n v="2464"/>
    <x v="3"/>
    <x v="1"/>
    <x v="3"/>
    <s v="Shirt"/>
    <x v="343"/>
    <d v="2023-11-18T00:00:00"/>
    <d v="2023-11-26T00:00:00"/>
    <n v="13"/>
    <n v="5"/>
    <n v="4"/>
    <n v="657.92"/>
    <n v="2631.68"/>
    <n v="0.13"/>
    <n v="342.12"/>
    <n v="2289.56"/>
    <n v="1789.54"/>
    <n v="500.02"/>
  </r>
  <r>
    <n v="101016"/>
    <n v="3389"/>
    <x v="1"/>
    <x v="1"/>
    <x v="2"/>
    <s v="Laptop"/>
    <x v="223"/>
    <d v="2023-11-03T00:00:00"/>
    <d v="2023-11-18T00:00:00"/>
    <n v="20"/>
    <n v="5"/>
    <n v="12"/>
    <n v="574.49"/>
    <n v="6893.88"/>
    <n v="0.11"/>
    <n v="758.33"/>
    <n v="6135.55"/>
    <n v="4687.84"/>
    <n v="1447.71"/>
  </r>
  <r>
    <n v="101017"/>
    <n v="1834"/>
    <x v="3"/>
    <x v="0"/>
    <x v="3"/>
    <s v="Jacket"/>
    <x v="109"/>
    <d v="2023-02-23T00:00:00"/>
    <d v="2023-02-24T00:00:00"/>
    <n v="5"/>
    <n v="4"/>
    <n v="8"/>
    <n v="449.55"/>
    <n v="3596.4"/>
    <n v="0.02"/>
    <n v="71.930000000000007"/>
    <n v="3524.47"/>
    <n v="2337.66"/>
    <n v="1186.81"/>
  </r>
  <r>
    <n v="101018"/>
    <n v="4570"/>
    <x v="3"/>
    <x v="0"/>
    <x v="1"/>
    <s v="Beverage"/>
    <x v="313"/>
    <d v="2023-11-28T00:00:00"/>
    <d v="2023-12-12T00:00:00"/>
    <n v="18"/>
    <n v="4"/>
    <n v="9"/>
    <n v="401.58"/>
    <n v="3614.22"/>
    <n v="0.06"/>
    <n v="216.85"/>
    <n v="3397.37"/>
    <n v="2349.2399999999998"/>
    <n v="1048.1300000000001"/>
  </r>
  <r>
    <n v="101019"/>
    <n v="4412"/>
    <x v="1"/>
    <x v="0"/>
    <x v="2"/>
    <s v="Headphones"/>
    <x v="76"/>
    <d v="2023-10-05T00:00:00"/>
    <d v="2023-10-24T00:00:00"/>
    <n v="20"/>
    <n v="1"/>
    <n v="6"/>
    <n v="146.80000000000001"/>
    <n v="880.8"/>
    <n v="0.1"/>
    <n v="88.08"/>
    <n v="792.72"/>
    <n v="537.29"/>
    <n v="255.43"/>
  </r>
  <r>
    <n v="101020"/>
    <n v="2678"/>
    <x v="1"/>
    <x v="0"/>
    <x v="3"/>
    <s v="Shoes"/>
    <x v="214"/>
    <d v="2023-08-02T00:00:00"/>
    <d v="2023-08-27T00:00:00"/>
    <n v="26"/>
    <n v="1"/>
    <n v="13"/>
    <n v="636.9"/>
    <n v="8279.7000000000007"/>
    <n v="0.08"/>
    <n v="662.38"/>
    <n v="7617.32"/>
    <n v="5795.79"/>
    <n v="1821.53"/>
  </r>
  <r>
    <n v="101021"/>
    <n v="4018"/>
    <x v="3"/>
    <x v="1"/>
    <x v="2"/>
    <s v="Phone"/>
    <x v="175"/>
    <d v="2023-12-03T00:00:00"/>
    <d v="2023-12-29T00:00:00"/>
    <n v="28"/>
    <n v="2"/>
    <n v="12"/>
    <n v="334.02"/>
    <n v="4008.24"/>
    <n v="0.12"/>
    <n v="480.99"/>
    <n v="3527.25"/>
    <n v="2204.5300000000002"/>
    <n v="1322.72"/>
  </r>
  <r>
    <n v="101022"/>
    <n v="4462"/>
    <x v="1"/>
    <x v="2"/>
    <x v="1"/>
    <s v="Beverage"/>
    <x v="215"/>
    <d v="2023-11-22T00:00:00"/>
    <d v="2023-11-24T00:00:00"/>
    <n v="5"/>
    <n v="3"/>
    <n v="1"/>
    <n v="395.27"/>
    <n v="395.27"/>
    <n v="0.03"/>
    <n v="11.86"/>
    <n v="383.41"/>
    <n v="241.11"/>
    <n v="142.30000000000001"/>
  </r>
  <r>
    <n v="101023"/>
    <n v="2721"/>
    <x v="1"/>
    <x v="1"/>
    <x v="0"/>
    <s v="Lamp"/>
    <x v="67"/>
    <d v="2023-02-19T00:00:00"/>
    <d v="2023-03-11T00:00:00"/>
    <n v="22"/>
    <n v="2"/>
    <n v="4"/>
    <n v="612.48"/>
    <n v="2449.92"/>
    <n v="0.1"/>
    <n v="244.99"/>
    <n v="2204.9299999999998"/>
    <n v="1543.45"/>
    <n v="661.48"/>
  </r>
  <r>
    <n v="101024"/>
    <n v="2665"/>
    <x v="0"/>
    <x v="2"/>
    <x v="1"/>
    <s v="Pasta"/>
    <x v="151"/>
    <d v="2023-01-11T00:00:00"/>
    <d v="2023-01-20T00:00:00"/>
    <n v="11"/>
    <n v="2"/>
    <n v="12"/>
    <n v="706.82"/>
    <n v="8481.84"/>
    <n v="0.03"/>
    <n v="254.46"/>
    <n v="8227.3799999999992"/>
    <n v="4495.38"/>
    <n v="3732"/>
  </r>
  <r>
    <n v="101025"/>
    <n v="3337"/>
    <x v="2"/>
    <x v="2"/>
    <x v="2"/>
    <s v="Phone"/>
    <x v="43"/>
    <d v="2023-03-16T00:00:00"/>
    <d v="2023-04-07T00:00:00"/>
    <n v="25"/>
    <n v="3"/>
    <n v="7"/>
    <n v="422.65"/>
    <n v="2958.55"/>
    <n v="7.0000000000000007E-2"/>
    <n v="207.1"/>
    <n v="2751.45"/>
    <n v="1597.62"/>
    <n v="1153.83"/>
  </r>
  <r>
    <n v="101026"/>
    <n v="1967"/>
    <x v="3"/>
    <x v="2"/>
    <x v="0"/>
    <s v="Table"/>
    <x v="324"/>
    <d v="2023-01-25T00:00:00"/>
    <d v="2023-01-30T00:00:00"/>
    <n v="7"/>
    <n v="2"/>
    <n v="12"/>
    <n v="207"/>
    <n v="2484"/>
    <n v="0.16"/>
    <n v="397.44"/>
    <n v="2086.56"/>
    <n v="1465.56"/>
    <n v="621"/>
  </r>
  <r>
    <n v="101027"/>
    <n v="2013"/>
    <x v="3"/>
    <x v="0"/>
    <x v="3"/>
    <s v="Shoes"/>
    <x v="90"/>
    <d v="2023-06-21T00:00:00"/>
    <d v="2023-07-05T00:00:00"/>
    <n v="19"/>
    <n v="5"/>
    <n v="1"/>
    <n v="143.88"/>
    <n v="143.88"/>
    <n v="0"/>
    <n v="0"/>
    <n v="143.88"/>
    <n v="82.01"/>
    <n v="61.87"/>
  </r>
  <r>
    <n v="101028"/>
    <n v="1438"/>
    <x v="2"/>
    <x v="1"/>
    <x v="1"/>
    <s v="Pasta"/>
    <x v="138"/>
    <d v="2023-09-29T00:00:00"/>
    <d v="2023-10-06T00:00:00"/>
    <n v="9"/>
    <n v="2"/>
    <n v="6"/>
    <n v="136.19999999999999"/>
    <n v="817.2"/>
    <n v="0.04"/>
    <n v="32.69"/>
    <n v="784.51"/>
    <n v="563.87"/>
    <n v="220.64"/>
  </r>
  <r>
    <n v="101029"/>
    <n v="3459"/>
    <x v="0"/>
    <x v="0"/>
    <x v="3"/>
    <s v="Jeans"/>
    <x v="138"/>
    <d v="2023-10-02T00:00:00"/>
    <d v="2023-10-13T00:00:00"/>
    <n v="16"/>
    <n v="5"/>
    <n v="3"/>
    <n v="615.66999999999996"/>
    <n v="1847.01"/>
    <n v="0.17"/>
    <n v="313.99"/>
    <n v="1533.02"/>
    <n v="1089.74"/>
    <n v="443.28"/>
  </r>
  <r>
    <n v="101030"/>
    <n v="4678"/>
    <x v="2"/>
    <x v="1"/>
    <x v="0"/>
    <s v="Sofa"/>
    <x v="344"/>
    <d v="2023-09-30T00:00:00"/>
    <d v="2023-10-16T00:00:00"/>
    <n v="18"/>
    <n v="2"/>
    <n v="14"/>
    <n v="206.43"/>
    <n v="2890.02"/>
    <n v="0.03"/>
    <n v="86.7"/>
    <n v="2803.32"/>
    <n v="1994.11"/>
    <n v="809.21"/>
  </r>
  <r>
    <n v="101031"/>
    <n v="4696"/>
    <x v="2"/>
    <x v="2"/>
    <x v="0"/>
    <s v="Lamp"/>
    <x v="252"/>
    <d v="2023-03-23T00:00:00"/>
    <d v="2023-04-19T00:00:00"/>
    <n v="28"/>
    <n v="1"/>
    <n v="13"/>
    <n v="440.91"/>
    <n v="5731.83"/>
    <n v="0.15"/>
    <n v="859.77"/>
    <n v="4872.0600000000004"/>
    <n v="3668.37"/>
    <n v="1203.69"/>
  </r>
  <r>
    <n v="101032"/>
    <n v="3751"/>
    <x v="1"/>
    <x v="1"/>
    <x v="0"/>
    <s v="Cookware"/>
    <x v="19"/>
    <d v="2023-01-08T00:00:00"/>
    <d v="2023-02-02T00:00:00"/>
    <n v="26"/>
    <n v="1"/>
    <n v="1"/>
    <n v="696.61"/>
    <n v="696.61"/>
    <n v="0.05"/>
    <n v="34.83"/>
    <n v="661.78"/>
    <n v="452.8"/>
    <n v="208.98"/>
  </r>
  <r>
    <n v="101033"/>
    <n v="4134"/>
    <x v="3"/>
    <x v="0"/>
    <x v="0"/>
    <s v="Table"/>
    <x v="150"/>
    <d v="2023-06-07T00:00:00"/>
    <d v="2023-07-06T00:00:00"/>
    <n v="30"/>
    <n v="1"/>
    <n v="3"/>
    <n v="422.9"/>
    <n v="1268.7"/>
    <n v="0.02"/>
    <n v="25.37"/>
    <n v="1243.33"/>
    <n v="888.09"/>
    <n v="355.24"/>
  </r>
  <r>
    <n v="101034"/>
    <n v="3895"/>
    <x v="1"/>
    <x v="0"/>
    <x v="2"/>
    <s v="Tablet"/>
    <x v="293"/>
    <d v="2023-11-07T00:00:00"/>
    <d v="2023-11-12T00:00:00"/>
    <n v="9"/>
    <n v="4"/>
    <n v="11"/>
    <n v="500.69"/>
    <n v="5507.59"/>
    <n v="0.06"/>
    <n v="330.46"/>
    <n v="5177.13"/>
    <n v="2698.72"/>
    <n v="2478.41"/>
  </r>
  <r>
    <n v="101035"/>
    <n v="4931"/>
    <x v="3"/>
    <x v="1"/>
    <x v="1"/>
    <s v="Pasta"/>
    <x v="32"/>
    <d v="2023-02-10T00:00:00"/>
    <d v="2023-02-20T00:00:00"/>
    <n v="12"/>
    <n v="2"/>
    <n v="5"/>
    <n v="593.12"/>
    <n v="2965.6"/>
    <n v="0.05"/>
    <n v="148.28"/>
    <n v="2817.32"/>
    <n v="1809.02"/>
    <n v="1008.3"/>
  </r>
  <r>
    <n v="101036"/>
    <n v="1954"/>
    <x v="0"/>
    <x v="2"/>
    <x v="0"/>
    <s v="Cookware"/>
    <x v="235"/>
    <d v="2023-03-07T00:00:00"/>
    <d v="2023-03-13T00:00:00"/>
    <n v="9"/>
    <n v="3"/>
    <n v="13"/>
    <n v="708.07"/>
    <n v="9204.91"/>
    <n v="0.06"/>
    <n v="552.29"/>
    <n v="8652.6200000000008"/>
    <n v="5615"/>
    <n v="3037.62"/>
  </r>
  <r>
    <n v="101037"/>
    <n v="1565"/>
    <x v="2"/>
    <x v="1"/>
    <x v="0"/>
    <s v="Lamp"/>
    <x v="315"/>
    <d v="2023-05-15T00:00:00"/>
    <d v="2023-06-01T00:00:00"/>
    <n v="19"/>
    <n v="2"/>
    <n v="9"/>
    <n v="497.61"/>
    <n v="4478.49"/>
    <n v="0.13"/>
    <n v="582.20000000000005"/>
    <n v="3896.29"/>
    <n v="2866.23"/>
    <n v="1030.06"/>
  </r>
  <r>
    <n v="101038"/>
    <n v="2389"/>
    <x v="1"/>
    <x v="2"/>
    <x v="1"/>
    <s v="Beverage"/>
    <x v="217"/>
    <d v="2023-11-02T00:00:00"/>
    <d v="2023-11-14T00:00:00"/>
    <n v="14"/>
    <n v="2"/>
    <n v="9"/>
    <n v="95.44"/>
    <n v="858.96"/>
    <n v="0.09"/>
    <n v="77.31"/>
    <n v="781.65"/>
    <n v="489.61"/>
    <n v="292.04000000000002"/>
  </r>
  <r>
    <n v="101039"/>
    <n v="3566"/>
    <x v="2"/>
    <x v="2"/>
    <x v="1"/>
    <s v="Snacks"/>
    <x v="5"/>
    <d v="2023-04-16T00:00:00"/>
    <d v="2023-05-13T00:00:00"/>
    <n v="29"/>
    <n v="2"/>
    <n v="9"/>
    <n v="745.27"/>
    <n v="6707.43"/>
    <n v="0.12"/>
    <n v="804.89"/>
    <n v="5902.54"/>
    <n v="4628.13"/>
    <n v="1274.4100000000001"/>
  </r>
  <r>
    <n v="101040"/>
    <n v="2361"/>
    <x v="3"/>
    <x v="1"/>
    <x v="3"/>
    <s v="Jacket"/>
    <x v="269"/>
    <d v="2023-02-27T00:00:00"/>
    <d v="2023-03-15T00:00:00"/>
    <n v="17"/>
    <n v="1"/>
    <n v="14"/>
    <n v="749.86"/>
    <n v="10498.04"/>
    <n v="0.13"/>
    <n v="1364.75"/>
    <n v="9133.2900000000009"/>
    <n v="6508.78"/>
    <n v="2624.51"/>
  </r>
  <r>
    <n v="101041"/>
    <n v="2598"/>
    <x v="2"/>
    <x v="2"/>
    <x v="0"/>
    <s v="Sofa"/>
    <x v="11"/>
    <d v="2023-02-13T00:00:00"/>
    <d v="2023-02-18T00:00:00"/>
    <n v="6"/>
    <n v="1"/>
    <n v="7"/>
    <n v="454.97"/>
    <n v="3184.79"/>
    <n v="0.2"/>
    <n v="636.96"/>
    <n v="2547.83"/>
    <n v="1656.09"/>
    <n v="891.74"/>
  </r>
  <r>
    <n v="101042"/>
    <n v="4030"/>
    <x v="3"/>
    <x v="2"/>
    <x v="0"/>
    <s v="Cookware"/>
    <x v="36"/>
    <d v="2023-07-18T00:00:00"/>
    <d v="2023-07-27T00:00:00"/>
    <n v="12"/>
    <n v="3"/>
    <n v="11"/>
    <n v="794.75"/>
    <n v="8742.25"/>
    <n v="0.05"/>
    <n v="437.11"/>
    <n v="8305.14"/>
    <n v="5332.77"/>
    <n v="2972.37"/>
  </r>
  <r>
    <n v="101043"/>
    <n v="2714"/>
    <x v="3"/>
    <x v="0"/>
    <x v="0"/>
    <s v="Lamp"/>
    <x v="4"/>
    <d v="2023-08-02T00:00:00"/>
    <d v="2023-08-07T00:00:00"/>
    <n v="7"/>
    <n v="2"/>
    <n v="11"/>
    <n v="658.38"/>
    <n v="7242.18"/>
    <n v="0.13"/>
    <n v="941.48"/>
    <n v="6300.7"/>
    <n v="4490.1499999999996"/>
    <n v="1810.55"/>
  </r>
  <r>
    <n v="101044"/>
    <n v="2935"/>
    <x v="0"/>
    <x v="0"/>
    <x v="1"/>
    <s v="Beverage"/>
    <x v="114"/>
    <d v="2023-11-30T00:00:00"/>
    <d v="2023-12-15T00:00:00"/>
    <n v="17"/>
    <n v="2"/>
    <n v="12"/>
    <n v="10.57"/>
    <n v="126.84"/>
    <n v="0.1"/>
    <n v="12.68"/>
    <n v="114.16"/>
    <n v="79.91"/>
    <n v="34.25"/>
  </r>
  <r>
    <n v="101045"/>
    <n v="2301"/>
    <x v="2"/>
    <x v="2"/>
    <x v="3"/>
    <s v="Jeans"/>
    <x v="186"/>
    <d v="2023-04-06T00:00:00"/>
    <d v="2023-04-17T00:00:00"/>
    <n v="12"/>
    <n v="1"/>
    <n v="1"/>
    <n v="666.79"/>
    <n v="666.79"/>
    <n v="0.13"/>
    <n v="86.68"/>
    <n v="580.11"/>
    <n v="393.41"/>
    <n v="186.7"/>
  </r>
  <r>
    <n v="101046"/>
    <n v="2951"/>
    <x v="0"/>
    <x v="0"/>
    <x v="3"/>
    <s v="Shirt"/>
    <x v="22"/>
    <d v="2023-07-16T00:00:00"/>
    <d v="2023-07-14T00:00:00"/>
    <n v="3"/>
    <n v="5"/>
    <n v="11"/>
    <n v="294.2"/>
    <n v="3236.2"/>
    <n v="0.01"/>
    <n v="32.36"/>
    <n v="3203.84"/>
    <n v="2135.89"/>
    <n v="1067.95"/>
  </r>
  <r>
    <n v="101047"/>
    <n v="1672"/>
    <x v="3"/>
    <x v="2"/>
    <x v="1"/>
    <s v="Rice"/>
    <x v="68"/>
    <d v="2023-10-02T00:00:00"/>
    <d v="2023-10-10T00:00:00"/>
    <n v="10"/>
    <n v="2"/>
    <n v="2"/>
    <n v="460.23"/>
    <n v="920.46"/>
    <n v="0.15"/>
    <n v="138.07"/>
    <n v="782.39"/>
    <n v="671.94"/>
    <n v="110.45"/>
  </r>
  <r>
    <n v="101048"/>
    <n v="4911"/>
    <x v="3"/>
    <x v="0"/>
    <x v="0"/>
    <s v="Table"/>
    <x v="215"/>
    <d v="2023-11-20T00:00:00"/>
    <d v="2023-12-19T00:00:00"/>
    <n v="30"/>
    <n v="1"/>
    <n v="11"/>
    <n v="521.44000000000005"/>
    <n v="5735.84"/>
    <n v="0.12"/>
    <n v="688.3"/>
    <n v="5047.54"/>
    <n v="3613.58"/>
    <n v="1433.96"/>
  </r>
  <r>
    <n v="101049"/>
    <n v="4031"/>
    <x v="1"/>
    <x v="0"/>
    <x v="1"/>
    <s v="Snacks"/>
    <x v="339"/>
    <d v="2023-03-18T00:00:00"/>
    <d v="2023-03-21T00:00:00"/>
    <n v="5"/>
    <n v="2"/>
    <n v="6"/>
    <n v="467.54"/>
    <n v="2805.24"/>
    <n v="0.12"/>
    <n v="336.63"/>
    <n v="2468.61"/>
    <n v="1795.35"/>
    <n v="673.26"/>
  </r>
  <r>
    <n v="101050"/>
    <n v="4046"/>
    <x v="3"/>
    <x v="1"/>
    <x v="0"/>
    <s v="Lamp"/>
    <x v="226"/>
    <d v="2023-09-27T00:00:00"/>
    <d v="2023-10-06T00:00:00"/>
    <n v="14"/>
    <n v="5"/>
    <n v="1"/>
    <n v="330.89"/>
    <n v="330.89"/>
    <n v="0.06"/>
    <n v="19.850000000000001"/>
    <n v="311.04000000000002"/>
    <n v="208.46"/>
    <n v="102.58"/>
  </r>
  <r>
    <n v="101051"/>
    <n v="1655"/>
    <x v="1"/>
    <x v="2"/>
    <x v="0"/>
    <s v="Cookware"/>
    <x v="345"/>
    <d v="2023-06-20T00:00:00"/>
    <d v="2023-07-12T00:00:00"/>
    <n v="24"/>
    <n v="2"/>
    <n v="4"/>
    <n v="468.11"/>
    <n v="1872.44"/>
    <n v="0.03"/>
    <n v="56.17"/>
    <n v="1816.27"/>
    <n v="1235.81"/>
    <n v="580.46"/>
  </r>
  <r>
    <n v="101052"/>
    <n v="2844"/>
    <x v="3"/>
    <x v="0"/>
    <x v="2"/>
    <s v="Laptop"/>
    <x v="62"/>
    <d v="2023-05-12T00:00:00"/>
    <d v="2023-05-28T00:00:00"/>
    <n v="17"/>
    <n v="1"/>
    <n v="2"/>
    <n v="194.52"/>
    <n v="389.04"/>
    <n v="0.08"/>
    <n v="31.12"/>
    <n v="357.92"/>
    <n v="256.77"/>
    <n v="101.15"/>
  </r>
  <r>
    <n v="101053"/>
    <n v="3509"/>
    <x v="0"/>
    <x v="2"/>
    <x v="3"/>
    <s v="Shirt"/>
    <x v="220"/>
    <d v="2023-06-24T00:00:00"/>
    <d v="2023-07-10T00:00:00"/>
    <n v="19"/>
    <n v="3"/>
    <n v="7"/>
    <n v="183"/>
    <n v="1281"/>
    <n v="0.02"/>
    <n v="25.62"/>
    <n v="1255.3800000000001"/>
    <n v="768.6"/>
    <n v="486.78"/>
  </r>
  <r>
    <n v="101054"/>
    <n v="3640"/>
    <x v="1"/>
    <x v="1"/>
    <x v="0"/>
    <s v="Cookware"/>
    <x v="258"/>
    <d v="2023-02-05T00:00:00"/>
    <d v="2023-02-11T00:00:00"/>
    <n v="10"/>
    <n v="4"/>
    <n v="12"/>
    <n v="145.38999999999999"/>
    <n v="1744.68"/>
    <n v="0.13"/>
    <n v="226.81"/>
    <n v="1517.87"/>
    <n v="977.02"/>
    <n v="540.85"/>
  </r>
  <r>
    <n v="101055"/>
    <n v="1878"/>
    <x v="0"/>
    <x v="1"/>
    <x v="1"/>
    <s v="Pasta"/>
    <x v="171"/>
    <d v="2023-03-15T00:00:00"/>
    <d v="2023-04-06T00:00:00"/>
    <n v="26"/>
    <n v="4"/>
    <n v="13"/>
    <n v="538.98"/>
    <n v="7006.74"/>
    <n v="0.13"/>
    <n v="910.88"/>
    <n v="6095.86"/>
    <n v="4484.3100000000004"/>
    <n v="1611.55"/>
  </r>
  <r>
    <n v="101056"/>
    <n v="4487"/>
    <x v="3"/>
    <x v="1"/>
    <x v="2"/>
    <s v="Phone"/>
    <x v="314"/>
    <d v="2023-03-14T00:00:00"/>
    <d v="2023-04-03T00:00:00"/>
    <n v="22"/>
    <n v="2"/>
    <n v="8"/>
    <n v="19.21"/>
    <n v="153.68"/>
    <n v="0.06"/>
    <n v="9.2200000000000006"/>
    <n v="144.46"/>
    <n v="89.13"/>
    <n v="55.33"/>
  </r>
  <r>
    <n v="101057"/>
    <n v="2702"/>
    <x v="1"/>
    <x v="2"/>
    <x v="1"/>
    <s v="Snacks"/>
    <x v="9"/>
    <d v="2023-03-19T00:00:00"/>
    <d v="2023-03-30T00:00:00"/>
    <n v="16"/>
    <n v="5"/>
    <n v="14"/>
    <n v="7.04"/>
    <n v="98.56"/>
    <n v="0"/>
    <n v="0"/>
    <n v="98.56"/>
    <n v="59.14"/>
    <n v="39.42"/>
  </r>
  <r>
    <n v="101058"/>
    <n v="4678"/>
    <x v="1"/>
    <x v="0"/>
    <x v="2"/>
    <s v="Laptop"/>
    <x v="13"/>
    <d v="2023-06-18T00:00:00"/>
    <d v="2023-07-09T00:00:00"/>
    <n v="22"/>
    <n v="1"/>
    <n v="13"/>
    <n v="762.71"/>
    <n v="9915.23"/>
    <n v="0.08"/>
    <n v="793.22"/>
    <n v="9122.01"/>
    <n v="5849.99"/>
    <n v="3272.02"/>
  </r>
  <r>
    <n v="101059"/>
    <n v="3157"/>
    <x v="1"/>
    <x v="0"/>
    <x v="0"/>
    <s v="Lamp"/>
    <x v="249"/>
    <d v="2023-06-01T00:00:00"/>
    <d v="2023-06-07T00:00:00"/>
    <n v="10"/>
    <n v="4"/>
    <n v="9"/>
    <n v="629.16999999999996"/>
    <n v="5662.53"/>
    <n v="0"/>
    <n v="0"/>
    <n v="5662.53"/>
    <n v="3114.39"/>
    <n v="2548.14"/>
  </r>
  <r>
    <n v="101060"/>
    <n v="4477"/>
    <x v="3"/>
    <x v="0"/>
    <x v="0"/>
    <s v="Sofa"/>
    <x v="160"/>
    <d v="2023-08-25T00:00:00"/>
    <d v="2023-09-08T00:00:00"/>
    <n v="19"/>
    <n v="5"/>
    <n v="12"/>
    <n v="356.91"/>
    <n v="4282.92"/>
    <n v="0.04"/>
    <n v="171.32"/>
    <n v="4111.6000000000004"/>
    <n v="2912.39"/>
    <n v="1199.21"/>
  </r>
  <r>
    <n v="101061"/>
    <n v="2884"/>
    <x v="3"/>
    <x v="2"/>
    <x v="2"/>
    <s v="Phone"/>
    <x v="220"/>
    <d v="2023-06-26T00:00:00"/>
    <d v="2023-07-14T00:00:00"/>
    <n v="23"/>
    <n v="5"/>
    <n v="1"/>
    <n v="163.80000000000001"/>
    <n v="163.80000000000001"/>
    <n v="0.06"/>
    <n v="9.83"/>
    <n v="153.97"/>
    <n v="119.57"/>
    <n v="34.4"/>
  </r>
  <r>
    <n v="101062"/>
    <n v="1168"/>
    <x v="0"/>
    <x v="2"/>
    <x v="2"/>
    <s v="Tablet"/>
    <x v="60"/>
    <d v="2023-08-21T00:00:00"/>
    <d v="2023-08-24T00:00:00"/>
    <n v="6"/>
    <n v="3"/>
    <n v="11"/>
    <n v="556.58000000000004"/>
    <n v="6122.38"/>
    <n v="0.06"/>
    <n v="367.34"/>
    <n v="5755.04"/>
    <n v="4163.22"/>
    <n v="1591.82"/>
  </r>
  <r>
    <n v="101063"/>
    <n v="4137"/>
    <x v="1"/>
    <x v="0"/>
    <x v="1"/>
    <s v="Snacks"/>
    <x v="117"/>
    <d v="2023-03-29T00:00:00"/>
    <d v="2023-04-04T00:00:00"/>
    <n v="8"/>
    <n v="2"/>
    <n v="1"/>
    <n v="594.49"/>
    <n v="594.49"/>
    <n v="0.05"/>
    <n v="29.72"/>
    <n v="564.77"/>
    <n v="362.64"/>
    <n v="202.13"/>
  </r>
  <r>
    <n v="101064"/>
    <n v="3465"/>
    <x v="1"/>
    <x v="0"/>
    <x v="0"/>
    <s v="Cookware"/>
    <x v="161"/>
    <d v="2023-06-28T00:00:00"/>
    <d v="2023-07-15T00:00:00"/>
    <n v="19"/>
    <n v="2"/>
    <n v="14"/>
    <n v="204.15"/>
    <n v="2858.1"/>
    <n v="0.15"/>
    <n v="428.72"/>
    <n v="2429.38"/>
    <n v="1886.35"/>
    <n v="543.03"/>
  </r>
  <r>
    <n v="101065"/>
    <n v="3685"/>
    <x v="3"/>
    <x v="0"/>
    <x v="0"/>
    <s v="Table"/>
    <x v="294"/>
    <d v="2023-02-23T00:00:00"/>
    <d v="2023-03-22T00:00:00"/>
    <n v="28"/>
    <n v="1"/>
    <n v="10"/>
    <n v="687.4"/>
    <n v="6874"/>
    <n v="0.09"/>
    <n v="618.66"/>
    <n v="6255.34"/>
    <n v="4330.62"/>
    <n v="1924.72"/>
  </r>
  <r>
    <n v="101066"/>
    <n v="1773"/>
    <x v="2"/>
    <x v="2"/>
    <x v="0"/>
    <s v="Sofa"/>
    <x v="131"/>
    <d v="2023-06-16T00:00:00"/>
    <d v="2023-06-23T00:00:00"/>
    <n v="12"/>
    <n v="5"/>
    <n v="5"/>
    <n v="180.04"/>
    <n v="900.2"/>
    <n v="0.04"/>
    <n v="36.01"/>
    <n v="864.19"/>
    <n v="459.1"/>
    <n v="405.09"/>
  </r>
  <r>
    <n v="101067"/>
    <n v="3864"/>
    <x v="0"/>
    <x v="2"/>
    <x v="2"/>
    <s v="Phone"/>
    <x v="295"/>
    <d v="2023-08-14T00:00:00"/>
    <d v="2023-08-15T00:00:00"/>
    <n v="5"/>
    <n v="4"/>
    <n v="6"/>
    <n v="206.46"/>
    <n v="1238.76"/>
    <n v="0.1"/>
    <n v="123.88"/>
    <n v="1114.8800000000001"/>
    <n v="706.09"/>
    <n v="408.79"/>
  </r>
  <r>
    <n v="101068"/>
    <n v="2162"/>
    <x v="2"/>
    <x v="0"/>
    <x v="0"/>
    <s v="Lamp"/>
    <x v="337"/>
    <d v="2023-05-20T00:00:00"/>
    <d v="2023-06-12T00:00:00"/>
    <n v="24"/>
    <n v="1"/>
    <n v="1"/>
    <n v="170.4"/>
    <n v="170.4"/>
    <n v="0.02"/>
    <n v="3.41"/>
    <n v="166.99"/>
    <n v="97.13"/>
    <n v="69.86"/>
  </r>
  <r>
    <n v="101069"/>
    <n v="1653"/>
    <x v="1"/>
    <x v="0"/>
    <x v="1"/>
    <s v="Snacks"/>
    <x v="291"/>
    <d v="2023-09-07T00:00:00"/>
    <d v="2023-10-05T00:00:00"/>
    <n v="29"/>
    <n v="1"/>
    <n v="9"/>
    <n v="795.7"/>
    <n v="7161.3"/>
    <n v="0.09"/>
    <n v="644.52"/>
    <n v="6516.78"/>
    <n v="4153.55"/>
    <n v="2363.23"/>
  </r>
  <r>
    <n v="101070"/>
    <n v="1198"/>
    <x v="0"/>
    <x v="2"/>
    <x v="3"/>
    <s v="Shirt"/>
    <x v="249"/>
    <d v="2023-05-29T00:00:00"/>
    <d v="2023-06-10T00:00:00"/>
    <n v="13"/>
    <n v="1"/>
    <n v="2"/>
    <n v="130.07"/>
    <n v="260.14"/>
    <n v="0.11"/>
    <n v="28.62"/>
    <n v="231.52"/>
    <n v="163.89"/>
    <n v="67.63"/>
  </r>
  <r>
    <n v="101071"/>
    <n v="2572"/>
    <x v="1"/>
    <x v="2"/>
    <x v="1"/>
    <s v="Snacks"/>
    <x v="279"/>
    <d v="2023-04-04T00:00:00"/>
    <d v="2023-04-18T00:00:00"/>
    <n v="18"/>
    <n v="4"/>
    <n v="7"/>
    <n v="401.23"/>
    <n v="2808.61"/>
    <n v="0.04"/>
    <n v="112.34"/>
    <n v="2696.27"/>
    <n v="1881.77"/>
    <n v="814.5"/>
  </r>
  <r>
    <n v="101072"/>
    <n v="2942"/>
    <x v="2"/>
    <x v="0"/>
    <x v="3"/>
    <s v="Shirt"/>
    <x v="52"/>
    <d v="2023-05-31T00:00:00"/>
    <d v="2023-06-20T00:00:00"/>
    <n v="21"/>
    <n v="1"/>
    <n v="5"/>
    <n v="180.22"/>
    <n v="901.1"/>
    <n v="0"/>
    <n v="0"/>
    <n v="901.1"/>
    <n v="639.78"/>
    <n v="261.32"/>
  </r>
  <r>
    <n v="101073"/>
    <n v="2382"/>
    <x v="3"/>
    <x v="1"/>
    <x v="2"/>
    <s v="Phone"/>
    <x v="178"/>
    <d v="2023-12-17T00:00:00"/>
    <d v="2023-12-29T00:00:00"/>
    <n v="15"/>
    <n v="3"/>
    <n v="5"/>
    <n v="725.18"/>
    <n v="3625.9"/>
    <n v="0.03"/>
    <n v="108.78"/>
    <n v="3517.12"/>
    <n v="2066.7600000000002"/>
    <n v="1450.36"/>
  </r>
  <r>
    <n v="101074"/>
    <n v="2708"/>
    <x v="0"/>
    <x v="0"/>
    <x v="2"/>
    <s v="Laptop"/>
    <x v="214"/>
    <d v="2023-08-05T00:00:00"/>
    <d v="2023-08-26T00:00:00"/>
    <n v="25"/>
    <n v="4"/>
    <n v="11"/>
    <n v="780.72"/>
    <n v="8587.92"/>
    <n v="0.01"/>
    <n v="85.88"/>
    <n v="8502.0400000000009"/>
    <n v="4895.1099999999997"/>
    <n v="3606.93"/>
  </r>
  <r>
    <n v="101075"/>
    <n v="1442"/>
    <x v="1"/>
    <x v="1"/>
    <x v="0"/>
    <s v="Cookware"/>
    <x v="199"/>
    <d v="2023-09-01T00:00:00"/>
    <d v="2023-08-29T00:00:00"/>
    <n v="2"/>
    <n v="5"/>
    <n v="2"/>
    <n v="706"/>
    <n v="1412"/>
    <n v="0.13"/>
    <n v="183.56"/>
    <n v="1228.44"/>
    <n v="818.96"/>
    <n v="409.48"/>
  </r>
  <r>
    <n v="101076"/>
    <n v="2456"/>
    <x v="3"/>
    <x v="2"/>
    <x v="2"/>
    <s v="Headphones"/>
    <x v="8"/>
    <d v="2023-01-28T00:00:00"/>
    <d v="2023-01-29T00:00:00"/>
    <n v="5"/>
    <n v="4"/>
    <n v="3"/>
    <n v="365.71"/>
    <n v="1097.1300000000001"/>
    <n v="0.11"/>
    <n v="120.68"/>
    <n v="976.45"/>
    <n v="713.13"/>
    <n v="263.32"/>
  </r>
  <r>
    <n v="101077"/>
    <n v="2662"/>
    <x v="2"/>
    <x v="1"/>
    <x v="1"/>
    <s v="Pasta"/>
    <x v="298"/>
    <d v="2023-01-06T00:00:00"/>
    <d v="2023-01-23T00:00:00"/>
    <n v="19"/>
    <n v="2"/>
    <n v="13"/>
    <n v="22.05"/>
    <n v="286.64999999999998"/>
    <n v="0.1"/>
    <n v="28.67"/>
    <n v="257.98"/>
    <n v="186.32"/>
    <n v="71.66"/>
  </r>
  <r>
    <n v="101078"/>
    <n v="3686"/>
    <x v="3"/>
    <x v="0"/>
    <x v="0"/>
    <s v="Cookware"/>
    <x v="99"/>
    <d v="2023-10-12T00:00:00"/>
    <d v="2023-10-17T00:00:00"/>
    <n v="7"/>
    <n v="2"/>
    <n v="14"/>
    <n v="440.07"/>
    <n v="6160.98"/>
    <n v="0.17"/>
    <n v="1047.3699999999999"/>
    <n v="5113.6099999999997"/>
    <n v="3573.37"/>
    <n v="1540.24"/>
  </r>
  <r>
    <n v="101079"/>
    <n v="2152"/>
    <x v="3"/>
    <x v="2"/>
    <x v="2"/>
    <s v="Laptop"/>
    <x v="110"/>
    <d v="2023-04-21T00:00:00"/>
    <d v="2023-04-29T00:00:00"/>
    <n v="13"/>
    <n v="5"/>
    <n v="7"/>
    <n v="781.24"/>
    <n v="5468.68"/>
    <n v="0.03"/>
    <n v="164.06"/>
    <n v="5304.62"/>
    <n v="3226.52"/>
    <n v="2078.1"/>
  </r>
  <r>
    <n v="101080"/>
    <n v="4902"/>
    <x v="0"/>
    <x v="2"/>
    <x v="0"/>
    <s v="Cookware"/>
    <x v="311"/>
    <d v="2023-10-11T00:00:00"/>
    <d v="2023-10-14T00:00:00"/>
    <n v="8"/>
    <n v="5"/>
    <n v="1"/>
    <n v="424.01"/>
    <n v="424.01"/>
    <n v="0.1"/>
    <n v="42.4"/>
    <n v="381.61"/>
    <n v="258.64999999999998"/>
    <n v="122.96"/>
  </r>
  <r>
    <n v="101081"/>
    <n v="2734"/>
    <x v="1"/>
    <x v="1"/>
    <x v="0"/>
    <s v="Table"/>
    <x v="289"/>
    <d v="2023-12-27T00:00:00"/>
    <d v="2023-12-30T00:00:00"/>
    <n v="5"/>
    <n v="2"/>
    <n v="7"/>
    <n v="321.24"/>
    <n v="2248.6799999999998"/>
    <n v="0.09"/>
    <n v="202.38"/>
    <n v="2046.3"/>
    <n v="1416.67"/>
    <n v="629.63"/>
  </r>
  <r>
    <n v="101082"/>
    <n v="1883"/>
    <x v="0"/>
    <x v="2"/>
    <x v="2"/>
    <s v="Tablet"/>
    <x v="172"/>
    <d v="2023-04-05T00:00:00"/>
    <d v="2023-05-03T00:00:00"/>
    <n v="29"/>
    <n v="1"/>
    <n v="7"/>
    <n v="642.66999999999996"/>
    <n v="4498.6899999999996"/>
    <n v="0.05"/>
    <n v="224.93"/>
    <n v="4273.76"/>
    <n v="2834.17"/>
    <n v="1439.59"/>
  </r>
  <r>
    <n v="101083"/>
    <n v="4082"/>
    <x v="1"/>
    <x v="0"/>
    <x v="2"/>
    <s v="Phone"/>
    <x v="251"/>
    <d v="2023-01-31T00:00:00"/>
    <d v="2023-02-12T00:00:00"/>
    <n v="16"/>
    <n v="4"/>
    <n v="7"/>
    <n v="594.04999999999995"/>
    <n v="4158.3500000000004"/>
    <n v="0.1"/>
    <n v="415.84"/>
    <n v="3742.51"/>
    <n v="2702.93"/>
    <n v="1039.58"/>
  </r>
  <r>
    <n v="101084"/>
    <n v="4382"/>
    <x v="0"/>
    <x v="2"/>
    <x v="1"/>
    <s v="Beverage"/>
    <x v="117"/>
    <d v="2023-03-31T00:00:00"/>
    <d v="2023-04-22T00:00:00"/>
    <n v="26"/>
    <n v="4"/>
    <n v="12"/>
    <n v="331.7"/>
    <n v="3980.4"/>
    <n v="0.18"/>
    <n v="716.47"/>
    <n v="3263.93"/>
    <n v="2109.61"/>
    <n v="1154.32"/>
  </r>
  <r>
    <n v="101085"/>
    <n v="4615"/>
    <x v="1"/>
    <x v="2"/>
    <x v="1"/>
    <s v="Snacks"/>
    <x v="178"/>
    <d v="2023-12-17T00:00:00"/>
    <d v="2023-12-20T00:00:00"/>
    <n v="6"/>
    <n v="3"/>
    <n v="10"/>
    <n v="522.83000000000004"/>
    <n v="5228.3"/>
    <n v="0"/>
    <n v="0"/>
    <n v="5228.3"/>
    <n v="3502.96"/>
    <n v="1725.34"/>
  </r>
  <r>
    <n v="101086"/>
    <n v="1066"/>
    <x v="3"/>
    <x v="1"/>
    <x v="2"/>
    <s v="Tablet"/>
    <x v="215"/>
    <d v="2023-11-20T00:00:00"/>
    <d v="2023-12-10T00:00:00"/>
    <n v="21"/>
    <n v="1"/>
    <n v="1"/>
    <n v="120.32"/>
    <n v="120.32"/>
    <n v="0.12"/>
    <n v="14.44"/>
    <n v="105.88"/>
    <n v="77"/>
    <n v="28.88"/>
  </r>
  <r>
    <n v="101087"/>
    <n v="4792"/>
    <x v="3"/>
    <x v="1"/>
    <x v="2"/>
    <s v="Tablet"/>
    <x v="194"/>
    <d v="2023-12-28T00:00:00"/>
    <d v="2023-12-30T00:00:00"/>
    <n v="4"/>
    <n v="2"/>
    <n v="14"/>
    <n v="606.08000000000004"/>
    <n v="8485.1200000000008"/>
    <n v="0.12"/>
    <n v="1018.21"/>
    <n v="7466.91"/>
    <n v="3988.01"/>
    <n v="3478.9"/>
  </r>
  <r>
    <n v="101088"/>
    <n v="3344"/>
    <x v="2"/>
    <x v="2"/>
    <x v="2"/>
    <s v="Laptop"/>
    <x v="112"/>
    <d v="2023-03-30T00:00:00"/>
    <d v="2023-04-11T00:00:00"/>
    <n v="13"/>
    <n v="1"/>
    <n v="7"/>
    <n v="733.2"/>
    <n v="5132.3999999999996"/>
    <n v="0"/>
    <n v="0"/>
    <n v="5132.3999999999996"/>
    <n v="2976.79"/>
    <n v="2155.61"/>
  </r>
  <r>
    <n v="101089"/>
    <n v="4851"/>
    <x v="2"/>
    <x v="0"/>
    <x v="2"/>
    <s v="Tablet"/>
    <x v="235"/>
    <d v="2023-03-05T00:00:00"/>
    <d v="2023-03-16T00:00:00"/>
    <n v="12"/>
    <n v="1"/>
    <n v="2"/>
    <n v="106.93"/>
    <n v="213.86"/>
    <n v="0.1"/>
    <n v="21.39"/>
    <n v="192.47"/>
    <n v="132.59"/>
    <n v="59.88"/>
  </r>
  <r>
    <n v="101090"/>
    <n v="4079"/>
    <x v="1"/>
    <x v="0"/>
    <x v="1"/>
    <s v="Pasta"/>
    <x v="213"/>
    <d v="2023-12-25T00:00:00"/>
    <d v="2024-01-13T00:00:00"/>
    <n v="22"/>
    <n v="3"/>
    <n v="5"/>
    <n v="290.33999999999997"/>
    <n v="1451.7"/>
    <n v="0.04"/>
    <n v="58.07"/>
    <n v="1393.63"/>
    <n v="885.54"/>
    <n v="508.09"/>
  </r>
  <r>
    <n v="101091"/>
    <n v="1689"/>
    <x v="0"/>
    <x v="1"/>
    <x v="0"/>
    <s v="Sofa"/>
    <x v="192"/>
    <d v="2023-10-07T00:00:00"/>
    <d v="2023-10-17T00:00:00"/>
    <n v="15"/>
    <n v="5"/>
    <n v="2"/>
    <n v="507.01"/>
    <n v="1014.02"/>
    <n v="0.14000000000000001"/>
    <n v="141.96"/>
    <n v="872.06"/>
    <n v="628.69000000000005"/>
    <n v="243.37"/>
  </r>
  <r>
    <n v="101092"/>
    <n v="3737"/>
    <x v="0"/>
    <x v="0"/>
    <x v="2"/>
    <s v="Phone"/>
    <x v="141"/>
    <d v="2023-10-18T00:00:00"/>
    <d v="2023-11-04T00:00:00"/>
    <n v="20"/>
    <n v="3"/>
    <n v="13"/>
    <n v="713.48"/>
    <n v="9275.24"/>
    <n v="0.01"/>
    <n v="92.75"/>
    <n v="9182.49"/>
    <n v="5750.65"/>
    <n v="3431.84"/>
  </r>
  <r>
    <n v="101093"/>
    <n v="4457"/>
    <x v="3"/>
    <x v="1"/>
    <x v="1"/>
    <s v="Snacks"/>
    <x v="51"/>
    <d v="2023-08-18T00:00:00"/>
    <d v="2023-08-26T00:00:00"/>
    <n v="13"/>
    <n v="5"/>
    <n v="7"/>
    <n v="231.77"/>
    <n v="1622.39"/>
    <n v="0.06"/>
    <n v="97.34"/>
    <n v="1525.05"/>
    <n v="989.66"/>
    <n v="535.39"/>
  </r>
  <r>
    <n v="101094"/>
    <n v="2156"/>
    <x v="0"/>
    <x v="0"/>
    <x v="3"/>
    <s v="Shirt"/>
    <x v="239"/>
    <d v="2023-03-26T00:00:00"/>
    <d v="2023-04-12T00:00:00"/>
    <n v="22"/>
    <n v="5"/>
    <n v="8"/>
    <n v="149.6"/>
    <n v="1196.8"/>
    <n v="0.12"/>
    <n v="143.62"/>
    <n v="1053.18"/>
    <n v="777.92"/>
    <n v="275.26"/>
  </r>
  <r>
    <n v="101095"/>
    <n v="2242"/>
    <x v="0"/>
    <x v="1"/>
    <x v="0"/>
    <s v="Lamp"/>
    <x v="183"/>
    <d v="2024-01-02T00:00:00"/>
    <d v="2024-01-23T00:00:00"/>
    <n v="23"/>
    <n v="2"/>
    <n v="13"/>
    <n v="711.01"/>
    <n v="9243.1299999999992"/>
    <n v="0.03"/>
    <n v="277.29000000000002"/>
    <n v="8965.84"/>
    <n v="5453.45"/>
    <n v="3512.39"/>
  </r>
  <r>
    <n v="101096"/>
    <n v="1649"/>
    <x v="3"/>
    <x v="1"/>
    <x v="0"/>
    <s v="Lamp"/>
    <x v="105"/>
    <d v="2023-04-22T00:00:00"/>
    <d v="2023-04-20T00:00:00"/>
    <n v="3"/>
    <n v="5"/>
    <n v="8"/>
    <n v="122.69"/>
    <n v="981.52"/>
    <n v="0"/>
    <n v="0"/>
    <n v="981.52"/>
    <n v="687.06"/>
    <n v="294.45999999999998"/>
  </r>
  <r>
    <n v="101097"/>
    <n v="2879"/>
    <x v="0"/>
    <x v="0"/>
    <x v="2"/>
    <s v="Headphones"/>
    <x v="59"/>
    <d v="2023-10-18T00:00:00"/>
    <d v="2023-10-29T00:00:00"/>
    <n v="15"/>
    <n v="4"/>
    <n v="11"/>
    <n v="696.45"/>
    <n v="7660.95"/>
    <n v="0.15"/>
    <n v="1149.1400000000001"/>
    <n v="6511.81"/>
    <n v="4596.57"/>
    <n v="1915.24"/>
  </r>
  <r>
    <n v="101098"/>
    <n v="1105"/>
    <x v="1"/>
    <x v="0"/>
    <x v="0"/>
    <s v="Cookware"/>
    <x v="327"/>
    <d v="2023-09-30T00:00:00"/>
    <d v="2023-10-28T00:00:00"/>
    <n v="29"/>
    <n v="1"/>
    <n v="13"/>
    <n v="108.85"/>
    <n v="1415.05"/>
    <n v="0.16"/>
    <n v="226.41"/>
    <n v="1188.6400000000001"/>
    <n v="905.63"/>
    <n v="283.01"/>
  </r>
  <r>
    <n v="101099"/>
    <n v="1611"/>
    <x v="0"/>
    <x v="1"/>
    <x v="0"/>
    <s v="Sofa"/>
    <x v="31"/>
    <d v="2023-07-25T00:00:00"/>
    <d v="2023-08-11T00:00:00"/>
    <n v="21"/>
    <n v="4"/>
    <n v="4"/>
    <n v="147.53"/>
    <n v="590.12"/>
    <n v="0.11"/>
    <n v="64.91"/>
    <n v="525.21"/>
    <n v="377.68"/>
    <n v="147.53"/>
  </r>
  <r>
    <n v="101100"/>
    <n v="1304"/>
    <x v="2"/>
    <x v="2"/>
    <x v="2"/>
    <s v="Headphones"/>
    <x v="79"/>
    <d v="2023-02-10T00:00:00"/>
    <d v="2023-02-17T00:00:00"/>
    <n v="12"/>
    <n v="5"/>
    <n v="8"/>
    <n v="714.14"/>
    <n v="5713.12"/>
    <n v="0.08"/>
    <n v="457.05"/>
    <n v="5256.07"/>
    <n v="3370.74"/>
    <n v="1885.33"/>
  </r>
  <r>
    <n v="101101"/>
    <n v="2068"/>
    <x v="2"/>
    <x v="2"/>
    <x v="0"/>
    <s v="Sofa"/>
    <x v="165"/>
    <d v="2023-05-28T00:00:00"/>
    <d v="2023-06-10T00:00:00"/>
    <n v="16"/>
    <n v="3"/>
    <n v="1"/>
    <n v="134.34"/>
    <n v="134.34"/>
    <n v="0.08"/>
    <n v="10.75"/>
    <n v="123.59"/>
    <n v="83.29"/>
    <n v="40.299999999999997"/>
  </r>
  <r>
    <n v="101102"/>
    <n v="4989"/>
    <x v="3"/>
    <x v="0"/>
    <x v="2"/>
    <s v="Phone"/>
    <x v="346"/>
    <d v="2023-11-05T00:00:00"/>
    <d v="2023-11-04T00:00:00"/>
    <n v="2"/>
    <n v="3"/>
    <n v="2"/>
    <n v="166.73"/>
    <n v="333.46"/>
    <n v="0.03"/>
    <n v="10"/>
    <n v="323.45999999999998"/>
    <n v="190.07"/>
    <n v="133.38999999999999"/>
  </r>
  <r>
    <n v="101103"/>
    <n v="1614"/>
    <x v="1"/>
    <x v="0"/>
    <x v="2"/>
    <s v="Phone"/>
    <x v="168"/>
    <d v="2023-06-13T00:00:00"/>
    <d v="2023-07-07T00:00:00"/>
    <n v="27"/>
    <n v="3"/>
    <n v="13"/>
    <n v="364.14"/>
    <n v="4733.82"/>
    <n v="0.08"/>
    <n v="378.71"/>
    <n v="4355.1099999999997"/>
    <n v="3455.69"/>
    <n v="899.42"/>
  </r>
  <r>
    <n v="101104"/>
    <n v="2700"/>
    <x v="2"/>
    <x v="0"/>
    <x v="2"/>
    <s v="Phone"/>
    <x v="347"/>
    <d v="2023-05-22T00:00:00"/>
    <d v="2023-06-05T00:00:00"/>
    <n v="15"/>
    <n v="1"/>
    <n v="4"/>
    <n v="376.26"/>
    <n v="1505.04"/>
    <n v="0.11"/>
    <n v="165.55"/>
    <n v="1339.49"/>
    <n v="1008.38"/>
    <n v="331.11"/>
  </r>
  <r>
    <n v="101105"/>
    <n v="1587"/>
    <x v="0"/>
    <x v="1"/>
    <x v="3"/>
    <s v="Jeans"/>
    <x v="166"/>
    <d v="2023-01-17T00:00:00"/>
    <d v="2023-02-08T00:00:00"/>
    <n v="27"/>
    <n v="5"/>
    <n v="4"/>
    <n v="393.01"/>
    <n v="1572.04"/>
    <n v="0.02"/>
    <n v="31.44"/>
    <n v="1540.6"/>
    <n v="1006.11"/>
    <n v="534.49"/>
  </r>
  <r>
    <n v="101106"/>
    <n v="3369"/>
    <x v="1"/>
    <x v="2"/>
    <x v="3"/>
    <s v="Jeans"/>
    <x v="22"/>
    <d v="2023-07-13T00:00:00"/>
    <d v="2023-08-08T00:00:00"/>
    <n v="28"/>
    <n v="2"/>
    <n v="4"/>
    <n v="473.23"/>
    <n v="1892.92"/>
    <n v="0.11"/>
    <n v="208.22"/>
    <n v="1684.7"/>
    <n v="1116.82"/>
    <n v="567.88"/>
  </r>
  <r>
    <n v="101107"/>
    <n v="1936"/>
    <x v="2"/>
    <x v="0"/>
    <x v="0"/>
    <s v="Table"/>
    <x v="197"/>
    <d v="2023-06-09T00:00:00"/>
    <d v="2023-07-04T00:00:00"/>
    <n v="27"/>
    <n v="2"/>
    <n v="6"/>
    <n v="196.11"/>
    <n v="1176.6600000000001"/>
    <n v="0"/>
    <n v="0"/>
    <n v="1176.6600000000001"/>
    <n v="788.36"/>
    <n v="388.3"/>
  </r>
  <r>
    <n v="101108"/>
    <n v="3154"/>
    <x v="2"/>
    <x v="2"/>
    <x v="2"/>
    <s v="Phone"/>
    <x v="211"/>
    <d v="2023-06-16T00:00:00"/>
    <d v="2023-07-07T00:00:00"/>
    <n v="24"/>
    <n v="3"/>
    <n v="14"/>
    <n v="570.26"/>
    <n v="7983.64"/>
    <n v="0.15"/>
    <n v="1197.55"/>
    <n v="6786.09"/>
    <n v="4710.3500000000004"/>
    <n v="2075.7399999999998"/>
  </r>
  <r>
    <n v="101109"/>
    <n v="1101"/>
    <x v="3"/>
    <x v="1"/>
    <x v="0"/>
    <s v="Lamp"/>
    <x v="204"/>
    <d v="2023-01-21T00:00:00"/>
    <d v="2023-02-13T00:00:00"/>
    <n v="27"/>
    <n v="4"/>
    <n v="4"/>
    <n v="450.5"/>
    <n v="1802"/>
    <n v="0.09"/>
    <n v="162.18"/>
    <n v="1639.82"/>
    <n v="1153.28"/>
    <n v="486.54"/>
  </r>
  <r>
    <n v="101110"/>
    <n v="2894"/>
    <x v="0"/>
    <x v="2"/>
    <x v="0"/>
    <s v="Lamp"/>
    <x v="52"/>
    <d v="2023-06-02T00:00:00"/>
    <d v="2023-06-10T00:00:00"/>
    <n v="11"/>
    <n v="3"/>
    <n v="5"/>
    <n v="268.17"/>
    <n v="1340.85"/>
    <n v="0.13"/>
    <n v="174.31"/>
    <n v="1166.54"/>
    <n v="925.19"/>
    <n v="241.35"/>
  </r>
  <r>
    <n v="101111"/>
    <n v="4962"/>
    <x v="2"/>
    <x v="0"/>
    <x v="2"/>
    <s v="Tablet"/>
    <x v="10"/>
    <d v="2023-12-16T00:00:00"/>
    <d v="2023-12-14T00:00:00"/>
    <n v="2"/>
    <n v="4"/>
    <n v="2"/>
    <n v="789.72"/>
    <n v="1579.44"/>
    <n v="7.0000000000000007E-2"/>
    <n v="110.56"/>
    <n v="1468.88"/>
    <n v="947.66"/>
    <n v="521.22"/>
  </r>
  <r>
    <n v="101112"/>
    <n v="2615"/>
    <x v="3"/>
    <x v="2"/>
    <x v="1"/>
    <s v="Rice"/>
    <x v="261"/>
    <d v="2023-06-13T00:00:00"/>
    <d v="2023-07-07T00:00:00"/>
    <n v="25"/>
    <n v="1"/>
    <n v="8"/>
    <n v="267.54000000000002"/>
    <n v="2140.3200000000002"/>
    <n v="0.12"/>
    <n v="256.83999999999997"/>
    <n v="1883.48"/>
    <n v="1327"/>
    <n v="556.48"/>
  </r>
  <r>
    <n v="101113"/>
    <n v="2669"/>
    <x v="3"/>
    <x v="1"/>
    <x v="3"/>
    <s v="Jeans"/>
    <x v="294"/>
    <d v="2023-02-24T00:00:00"/>
    <d v="2023-03-08T00:00:00"/>
    <n v="14"/>
    <n v="2"/>
    <n v="13"/>
    <n v="387.07"/>
    <n v="5031.91"/>
    <n v="0"/>
    <n v="0"/>
    <n v="5031.91"/>
    <n v="3019.15"/>
    <n v="2012.76"/>
  </r>
  <r>
    <n v="101114"/>
    <n v="3150"/>
    <x v="2"/>
    <x v="2"/>
    <x v="2"/>
    <s v="Headphones"/>
    <x v="306"/>
    <d v="2023-07-23T00:00:00"/>
    <d v="2023-07-24T00:00:00"/>
    <n v="2"/>
    <n v="1"/>
    <n v="11"/>
    <n v="774.39"/>
    <n v="8518.2900000000009"/>
    <n v="0.16"/>
    <n v="1362.93"/>
    <n v="7155.36"/>
    <n v="5707.25"/>
    <n v="1448.11"/>
  </r>
  <r>
    <n v="101115"/>
    <n v="4015"/>
    <x v="2"/>
    <x v="1"/>
    <x v="0"/>
    <s v="Sofa"/>
    <x v="203"/>
    <d v="2023-04-06T00:00:00"/>
    <d v="2023-04-14T00:00:00"/>
    <n v="12"/>
    <n v="4"/>
    <n v="14"/>
    <n v="372.59"/>
    <n v="5216.26"/>
    <n v="0"/>
    <n v="0"/>
    <n v="5216.26"/>
    <n v="2712.46"/>
    <n v="2503.8000000000002"/>
  </r>
  <r>
    <n v="101116"/>
    <n v="1417"/>
    <x v="2"/>
    <x v="0"/>
    <x v="1"/>
    <s v="Rice"/>
    <x v="121"/>
    <d v="2023-05-05T00:00:00"/>
    <d v="2023-05-07T00:00:00"/>
    <n v="5"/>
    <n v="3"/>
    <n v="1"/>
    <n v="448.01"/>
    <n v="448.01"/>
    <n v="0.1"/>
    <n v="44.8"/>
    <n v="403.21"/>
    <n v="309.13"/>
    <n v="94.08"/>
  </r>
  <r>
    <n v="101117"/>
    <n v="3149"/>
    <x v="2"/>
    <x v="2"/>
    <x v="2"/>
    <s v="Headphones"/>
    <x v="189"/>
    <d v="2023-07-06T00:00:00"/>
    <d v="2023-07-16T00:00:00"/>
    <n v="15"/>
    <n v="5"/>
    <n v="1"/>
    <n v="420.93"/>
    <n v="420.93"/>
    <n v="0.05"/>
    <n v="21.05"/>
    <n v="399.88"/>
    <n v="252.56"/>
    <n v="147.32"/>
  </r>
  <r>
    <n v="101118"/>
    <n v="1912"/>
    <x v="1"/>
    <x v="0"/>
    <x v="3"/>
    <s v="Jacket"/>
    <x v="308"/>
    <d v="2023-10-06T00:00:00"/>
    <d v="2023-10-12T00:00:00"/>
    <n v="11"/>
    <n v="5"/>
    <n v="4"/>
    <n v="633.35"/>
    <n v="2533.4"/>
    <n v="7.0000000000000007E-2"/>
    <n v="177.34"/>
    <n v="2356.06"/>
    <n v="1748.05"/>
    <n v="608.01"/>
  </r>
  <r>
    <n v="101119"/>
    <n v="3349"/>
    <x v="0"/>
    <x v="2"/>
    <x v="3"/>
    <s v="Jacket"/>
    <x v="324"/>
    <d v="2023-01-25T00:00:00"/>
    <d v="2023-02-19T00:00:00"/>
    <n v="27"/>
    <n v="2"/>
    <n v="3"/>
    <n v="202.67"/>
    <n v="608.01"/>
    <n v="0.02"/>
    <n v="12.16"/>
    <n v="595.85"/>
    <n v="370.89"/>
    <n v="224.96"/>
  </r>
  <r>
    <n v="101120"/>
    <n v="3066"/>
    <x v="2"/>
    <x v="1"/>
    <x v="0"/>
    <s v="Sofa"/>
    <x v="217"/>
    <d v="2023-11-05T00:00:00"/>
    <d v="2023-11-27T00:00:00"/>
    <n v="27"/>
    <n v="5"/>
    <n v="6"/>
    <n v="223"/>
    <n v="1338"/>
    <n v="0.02"/>
    <n v="26.76"/>
    <n v="1311.24"/>
    <n v="802.8"/>
    <n v="508.44"/>
  </r>
  <r>
    <n v="101121"/>
    <n v="4062"/>
    <x v="1"/>
    <x v="1"/>
    <x v="2"/>
    <s v="Phone"/>
    <x v="203"/>
    <d v="2023-04-03T00:00:00"/>
    <d v="2023-04-27T00:00:00"/>
    <n v="25"/>
    <n v="1"/>
    <n v="9"/>
    <n v="361.48"/>
    <n v="3253.32"/>
    <n v="0.11"/>
    <n v="357.87"/>
    <n v="2895.45"/>
    <n v="2017.06"/>
    <n v="878.39"/>
  </r>
  <r>
    <n v="101122"/>
    <n v="2005"/>
    <x v="1"/>
    <x v="1"/>
    <x v="2"/>
    <s v="Headphones"/>
    <x v="298"/>
    <d v="2023-01-09T00:00:00"/>
    <d v="2023-01-09T00:00:00"/>
    <n v="5"/>
    <n v="5"/>
    <n v="12"/>
    <n v="161.85"/>
    <n v="1942.2"/>
    <n v="0.13"/>
    <n v="252.49"/>
    <n v="1689.71"/>
    <n v="1301.27"/>
    <n v="388.44"/>
  </r>
  <r>
    <n v="101123"/>
    <n v="3103"/>
    <x v="0"/>
    <x v="2"/>
    <x v="3"/>
    <s v="Jacket"/>
    <x v="201"/>
    <d v="2023-07-28T00:00:00"/>
    <d v="2023-08-18T00:00:00"/>
    <n v="24"/>
    <n v="3"/>
    <n v="2"/>
    <n v="268.86"/>
    <n v="537.72"/>
    <n v="0.06"/>
    <n v="32.26"/>
    <n v="505.46"/>
    <n v="349.52"/>
    <n v="155.94"/>
  </r>
  <r>
    <n v="101124"/>
    <n v="1461"/>
    <x v="0"/>
    <x v="0"/>
    <x v="2"/>
    <s v="Laptop"/>
    <x v="206"/>
    <d v="2023-03-20T00:00:00"/>
    <d v="2023-03-24T00:00:00"/>
    <n v="9"/>
    <n v="5"/>
    <n v="9"/>
    <n v="87.73"/>
    <n v="789.57"/>
    <n v="0.13"/>
    <n v="102.64"/>
    <n v="686.93"/>
    <n v="410.58"/>
    <n v="276.35000000000002"/>
  </r>
  <r>
    <n v="101125"/>
    <n v="3548"/>
    <x v="1"/>
    <x v="0"/>
    <x v="1"/>
    <s v="Snacks"/>
    <x v="248"/>
    <d v="2023-01-17T00:00:00"/>
    <d v="2023-01-25T00:00:00"/>
    <n v="10"/>
    <n v="2"/>
    <n v="1"/>
    <n v="276.45"/>
    <n v="276.45"/>
    <n v="0"/>
    <n v="0"/>
    <n v="276.45"/>
    <n v="182.46"/>
    <n v="93.99"/>
  </r>
  <r>
    <n v="101126"/>
    <n v="4998"/>
    <x v="1"/>
    <x v="2"/>
    <x v="3"/>
    <s v="Jacket"/>
    <x v="128"/>
    <d v="2023-03-20T00:00:00"/>
    <d v="2023-04-10T00:00:00"/>
    <n v="22"/>
    <n v="1"/>
    <n v="8"/>
    <n v="420.82"/>
    <n v="3366.56"/>
    <n v="0.05"/>
    <n v="168.33"/>
    <n v="3198.23"/>
    <n v="1817.94"/>
    <n v="1380.29"/>
  </r>
  <r>
    <n v="101127"/>
    <n v="1795"/>
    <x v="3"/>
    <x v="0"/>
    <x v="3"/>
    <s v="Jeans"/>
    <x v="124"/>
    <d v="2023-10-28T00:00:00"/>
    <d v="2023-10-29T00:00:00"/>
    <n v="4"/>
    <n v="3"/>
    <n v="6"/>
    <n v="541.74"/>
    <n v="3250.44"/>
    <n v="0.16"/>
    <n v="520.07000000000005"/>
    <n v="2730.37"/>
    <n v="1885.26"/>
    <n v="845.11"/>
  </r>
  <r>
    <n v="101128"/>
    <n v="2072"/>
    <x v="0"/>
    <x v="1"/>
    <x v="0"/>
    <s v="Table"/>
    <x v="329"/>
    <d v="2024-01-01T00:00:00"/>
    <d v="2024-01-25T00:00:00"/>
    <n v="29"/>
    <n v="5"/>
    <n v="13"/>
    <n v="12.25"/>
    <n v="159.25"/>
    <n v="0.12"/>
    <n v="19.11"/>
    <n v="140.13999999999999"/>
    <n v="89.18"/>
    <n v="50.96"/>
  </r>
  <r>
    <n v="101129"/>
    <n v="4569"/>
    <x v="3"/>
    <x v="1"/>
    <x v="3"/>
    <s v="Jacket"/>
    <x v="118"/>
    <d v="2023-06-09T00:00:00"/>
    <d v="2023-06-29T00:00:00"/>
    <n v="21"/>
    <n v="1"/>
    <n v="9"/>
    <n v="611.21"/>
    <n v="5500.89"/>
    <n v="0.02"/>
    <n v="110.02"/>
    <n v="5390.87"/>
    <n v="3025.49"/>
    <n v="2365.38"/>
  </r>
  <r>
    <n v="101130"/>
    <n v="1668"/>
    <x v="3"/>
    <x v="1"/>
    <x v="1"/>
    <s v="Rice"/>
    <x v="5"/>
    <d v="2023-04-16T00:00:00"/>
    <d v="2023-05-06T00:00:00"/>
    <n v="22"/>
    <n v="2"/>
    <n v="14"/>
    <n v="666.5"/>
    <n v="9331"/>
    <n v="0.13"/>
    <n v="1213.03"/>
    <n v="8117.97"/>
    <n v="5878.53"/>
    <n v="2239.44"/>
  </r>
  <r>
    <n v="101131"/>
    <n v="2740"/>
    <x v="3"/>
    <x v="0"/>
    <x v="0"/>
    <s v="Table"/>
    <x v="76"/>
    <d v="2023-10-08T00:00:00"/>
    <d v="2023-11-02T00:00:00"/>
    <n v="29"/>
    <n v="4"/>
    <n v="4"/>
    <n v="240.65"/>
    <n v="962.6"/>
    <n v="7.0000000000000007E-2"/>
    <n v="67.38"/>
    <n v="895.22"/>
    <n v="644.94000000000005"/>
    <n v="250.28"/>
  </r>
  <r>
    <n v="101132"/>
    <n v="3160"/>
    <x v="1"/>
    <x v="1"/>
    <x v="3"/>
    <s v="Shirt"/>
    <x v="334"/>
    <d v="2023-08-25T00:00:00"/>
    <d v="2023-09-08T00:00:00"/>
    <n v="18"/>
    <n v="4"/>
    <n v="13"/>
    <n v="137.59"/>
    <n v="1788.67"/>
    <n v="0.1"/>
    <n v="178.87"/>
    <n v="1609.8"/>
    <n v="1001.66"/>
    <n v="608.14"/>
  </r>
  <r>
    <n v="101133"/>
    <n v="3788"/>
    <x v="0"/>
    <x v="0"/>
    <x v="2"/>
    <s v="Laptop"/>
    <x v="348"/>
    <d v="2023-12-05T00:00:00"/>
    <d v="2023-12-09T00:00:00"/>
    <n v="6"/>
    <n v="2"/>
    <n v="2"/>
    <n v="48.5"/>
    <n v="97"/>
    <n v="0.05"/>
    <n v="4.8499999999999996"/>
    <n v="92.15"/>
    <n v="61.11"/>
    <n v="31.04"/>
  </r>
  <r>
    <n v="101134"/>
    <n v="1532"/>
    <x v="3"/>
    <x v="1"/>
    <x v="0"/>
    <s v="Lamp"/>
    <x v="51"/>
    <d v="2023-08-15T00:00:00"/>
    <d v="2023-08-20T00:00:00"/>
    <n v="7"/>
    <n v="2"/>
    <n v="3"/>
    <n v="75.849999999999994"/>
    <n v="227.55"/>
    <n v="0.09"/>
    <n v="20.48"/>
    <n v="207.07"/>
    <n v="143.36000000000001"/>
    <n v="63.71"/>
  </r>
  <r>
    <n v="101135"/>
    <n v="2362"/>
    <x v="2"/>
    <x v="2"/>
    <x v="2"/>
    <s v="Headphones"/>
    <x v="10"/>
    <d v="2023-12-16T00:00:00"/>
    <d v="2024-01-01T00:00:00"/>
    <n v="20"/>
    <n v="4"/>
    <n v="12"/>
    <n v="518.69000000000005"/>
    <n v="6224.28"/>
    <n v="0"/>
    <n v="0"/>
    <n v="6224.28"/>
    <n v="3796.81"/>
    <n v="2427.4699999999998"/>
  </r>
  <r>
    <n v="101136"/>
    <n v="2238"/>
    <x v="3"/>
    <x v="1"/>
    <x v="3"/>
    <s v="Shoes"/>
    <x v="36"/>
    <d v="2023-07-18T00:00:00"/>
    <d v="2023-07-22T00:00:00"/>
    <n v="7"/>
    <n v="3"/>
    <n v="10"/>
    <n v="371.69"/>
    <n v="3716.9"/>
    <n v="0.03"/>
    <n v="111.51"/>
    <n v="3605.39"/>
    <n v="2378.8200000000002"/>
    <n v="1226.57"/>
  </r>
  <r>
    <n v="101137"/>
    <n v="2251"/>
    <x v="0"/>
    <x v="0"/>
    <x v="1"/>
    <s v="Snacks"/>
    <x v="195"/>
    <d v="2023-05-17T00:00:00"/>
    <d v="2023-05-23T00:00:00"/>
    <n v="9"/>
    <n v="3"/>
    <n v="6"/>
    <n v="164.95"/>
    <n v="989.7"/>
    <n v="0.11"/>
    <n v="108.87"/>
    <n v="880.83"/>
    <n v="603.72"/>
    <n v="277.11"/>
  </r>
  <r>
    <n v="101138"/>
    <n v="2297"/>
    <x v="3"/>
    <x v="1"/>
    <x v="2"/>
    <s v="Headphones"/>
    <x v="26"/>
    <d v="2023-07-04T00:00:00"/>
    <d v="2023-07-18T00:00:00"/>
    <n v="15"/>
    <n v="1"/>
    <n v="13"/>
    <n v="280.11"/>
    <n v="3641.43"/>
    <n v="7.0000000000000007E-2"/>
    <n v="254.9"/>
    <n v="3386.53"/>
    <n v="2221.27"/>
    <n v="1165.26"/>
  </r>
  <r>
    <n v="101139"/>
    <n v="3285"/>
    <x v="3"/>
    <x v="2"/>
    <x v="0"/>
    <s v="Cookware"/>
    <x v="116"/>
    <d v="2023-08-15T00:00:00"/>
    <d v="2023-09-05T00:00:00"/>
    <n v="22"/>
    <n v="1"/>
    <n v="13"/>
    <n v="325.57"/>
    <n v="4232.41"/>
    <n v="0.06"/>
    <n v="253.94"/>
    <n v="3978.47"/>
    <n v="2412.4699999999998"/>
    <n v="1566"/>
  </r>
  <r>
    <n v="101140"/>
    <n v="3460"/>
    <x v="0"/>
    <x v="2"/>
    <x v="2"/>
    <s v="Phone"/>
    <x v="89"/>
    <d v="2023-05-18T00:00:00"/>
    <d v="2023-05-31T00:00:00"/>
    <n v="14"/>
    <n v="1"/>
    <n v="9"/>
    <n v="39.78"/>
    <n v="358.02"/>
    <n v="0"/>
    <n v="0"/>
    <n v="358.02"/>
    <n v="211.23"/>
    <n v="146.79"/>
  </r>
  <r>
    <n v="101141"/>
    <n v="2270"/>
    <x v="2"/>
    <x v="2"/>
    <x v="3"/>
    <s v="Shoes"/>
    <x v="295"/>
    <d v="2023-08-13T00:00:00"/>
    <d v="2023-08-31T00:00:00"/>
    <n v="21"/>
    <n v="3"/>
    <n v="4"/>
    <n v="650.75"/>
    <n v="2603"/>
    <n v="0.04"/>
    <n v="104.12"/>
    <n v="2498.88"/>
    <n v="1770.04"/>
    <n v="728.84"/>
  </r>
  <r>
    <n v="101142"/>
    <n v="1285"/>
    <x v="3"/>
    <x v="2"/>
    <x v="3"/>
    <s v="Shirt"/>
    <x v="138"/>
    <d v="2023-09-30T00:00:00"/>
    <d v="2023-10-12T00:00:00"/>
    <n v="15"/>
    <n v="3"/>
    <n v="13"/>
    <n v="649.11"/>
    <n v="8438.43"/>
    <n v="0.12"/>
    <n v="1012.61"/>
    <n v="7425.82"/>
    <n v="5822.52"/>
    <n v="1603.3"/>
  </r>
  <r>
    <n v="101143"/>
    <n v="2797"/>
    <x v="2"/>
    <x v="1"/>
    <x v="3"/>
    <s v="Shoes"/>
    <x v="316"/>
    <d v="2023-09-01T00:00:00"/>
    <d v="2023-09-10T00:00:00"/>
    <n v="13"/>
    <n v="4"/>
    <n v="12"/>
    <n v="591.79"/>
    <n v="7101.48"/>
    <n v="0.03"/>
    <n v="213.04"/>
    <n v="6888.44"/>
    <n v="5113.07"/>
    <n v="1775.37"/>
  </r>
  <r>
    <n v="101144"/>
    <n v="4492"/>
    <x v="3"/>
    <x v="2"/>
    <x v="3"/>
    <s v="Shirt"/>
    <x v="80"/>
    <d v="2023-11-05T00:00:00"/>
    <d v="2023-11-14T00:00:00"/>
    <n v="13"/>
    <n v="4"/>
    <n v="6"/>
    <n v="429.26"/>
    <n v="2575.56"/>
    <n v="0.1"/>
    <n v="257.56"/>
    <n v="2318"/>
    <n v="1699.87"/>
    <n v="618.13"/>
  </r>
  <r>
    <n v="101145"/>
    <n v="4589"/>
    <x v="2"/>
    <x v="0"/>
    <x v="0"/>
    <s v="Cookware"/>
    <x v="85"/>
    <d v="2023-02-12T00:00:00"/>
    <d v="2023-02-18T00:00:00"/>
    <n v="9"/>
    <n v="3"/>
    <n v="10"/>
    <n v="583.69000000000005"/>
    <n v="5836.9"/>
    <n v="0.09"/>
    <n v="525.32000000000005"/>
    <n v="5311.58"/>
    <n v="3502.14"/>
    <n v="1809.44"/>
  </r>
  <r>
    <n v="101146"/>
    <n v="1677"/>
    <x v="0"/>
    <x v="0"/>
    <x v="3"/>
    <s v="Shirt"/>
    <x v="302"/>
    <d v="2023-08-29T00:00:00"/>
    <d v="2023-09-11T00:00:00"/>
    <n v="18"/>
    <n v="5"/>
    <n v="1"/>
    <n v="679.58"/>
    <n v="679.58"/>
    <n v="0.13"/>
    <n v="88.35"/>
    <n v="591.23"/>
    <n v="434.93"/>
    <n v="156.30000000000001"/>
  </r>
  <r>
    <n v="101147"/>
    <n v="1472"/>
    <x v="2"/>
    <x v="0"/>
    <x v="2"/>
    <s v="Headphones"/>
    <x v="80"/>
    <d v="2023-11-02T00:00:00"/>
    <d v="2023-11-23T00:00:00"/>
    <n v="22"/>
    <n v="1"/>
    <n v="3"/>
    <n v="47.05"/>
    <n v="141.15"/>
    <n v="0.03"/>
    <n v="4.2300000000000004"/>
    <n v="136.91999999999999"/>
    <n v="86.1"/>
    <n v="50.82"/>
  </r>
  <r>
    <n v="101148"/>
    <n v="1189"/>
    <x v="3"/>
    <x v="2"/>
    <x v="3"/>
    <s v="Shoes"/>
    <x v="200"/>
    <d v="2023-04-18T00:00:00"/>
    <d v="2023-04-21T00:00:00"/>
    <n v="8"/>
    <n v="5"/>
    <n v="12"/>
    <n v="140.88"/>
    <n v="1690.56"/>
    <n v="0.06"/>
    <n v="101.43"/>
    <n v="1589.13"/>
    <n v="1031.24"/>
    <n v="557.89"/>
  </r>
  <r>
    <n v="101149"/>
    <n v="4331"/>
    <x v="2"/>
    <x v="1"/>
    <x v="2"/>
    <s v="Phone"/>
    <x v="98"/>
    <d v="2023-02-02T00:00:00"/>
    <d v="2023-02-28T00:00:00"/>
    <n v="29"/>
    <n v="3"/>
    <n v="5"/>
    <n v="490.76"/>
    <n v="2453.8000000000002"/>
    <n v="0.05"/>
    <n v="122.69"/>
    <n v="2331.11"/>
    <n v="1693.12"/>
    <n v="637.99"/>
  </r>
  <r>
    <n v="101150"/>
    <n v="2852"/>
    <x v="1"/>
    <x v="2"/>
    <x v="1"/>
    <s v="Pasta"/>
    <x v="116"/>
    <d v="2023-08-17T00:00:00"/>
    <d v="2023-08-28T00:00:00"/>
    <n v="14"/>
    <n v="3"/>
    <n v="12"/>
    <n v="199.62"/>
    <n v="2395.44"/>
    <n v="0.04"/>
    <n v="95.82"/>
    <n v="2299.62"/>
    <n v="1461.22"/>
    <n v="838.4"/>
  </r>
  <r>
    <n v="101151"/>
    <n v="1667"/>
    <x v="2"/>
    <x v="1"/>
    <x v="1"/>
    <s v="Rice"/>
    <x v="69"/>
    <d v="2023-01-14T00:00:00"/>
    <d v="2023-01-23T00:00:00"/>
    <n v="10"/>
    <n v="1"/>
    <n v="2"/>
    <n v="609.48"/>
    <n v="1218.96"/>
    <n v="0.11"/>
    <n v="134.09"/>
    <n v="1084.8699999999999"/>
    <n v="780.13"/>
    <n v="304.74"/>
  </r>
  <r>
    <n v="101152"/>
    <n v="4236"/>
    <x v="3"/>
    <x v="2"/>
    <x v="3"/>
    <s v="Shoes"/>
    <x v="338"/>
    <d v="2023-03-04T00:00:00"/>
    <d v="2023-03-26T00:00:00"/>
    <n v="27"/>
    <n v="5"/>
    <n v="13"/>
    <n v="414.7"/>
    <n v="5391.1"/>
    <n v="7.0000000000000007E-2"/>
    <n v="377.38"/>
    <n v="5013.72"/>
    <n v="3504.21"/>
    <n v="1509.51"/>
  </r>
  <r>
    <n v="101153"/>
    <n v="1422"/>
    <x v="2"/>
    <x v="0"/>
    <x v="3"/>
    <s v="Shirt"/>
    <x v="345"/>
    <d v="2023-06-20T00:00:00"/>
    <d v="2023-06-26T00:00:00"/>
    <n v="8"/>
    <n v="2"/>
    <n v="12"/>
    <n v="687.12"/>
    <n v="8245.44"/>
    <n v="0.16"/>
    <n v="1319.27"/>
    <n v="6926.17"/>
    <n v="5441.99"/>
    <n v="1484.18"/>
  </r>
  <r>
    <n v="101154"/>
    <n v="2575"/>
    <x v="3"/>
    <x v="2"/>
    <x v="2"/>
    <s v="Tablet"/>
    <x v="299"/>
    <d v="2023-05-06T00:00:00"/>
    <d v="2023-05-21T00:00:00"/>
    <n v="20"/>
    <n v="5"/>
    <n v="12"/>
    <n v="203.48"/>
    <n v="2441.7600000000002"/>
    <n v="0.09"/>
    <n v="219.76"/>
    <n v="2222"/>
    <n v="1562.73"/>
    <n v="659.27"/>
  </r>
  <r>
    <n v="101155"/>
    <n v="3875"/>
    <x v="0"/>
    <x v="0"/>
    <x v="1"/>
    <s v="Beverage"/>
    <x v="309"/>
    <d v="2023-03-11T00:00:00"/>
    <d v="2023-03-16T00:00:00"/>
    <n v="9"/>
    <n v="4"/>
    <n v="7"/>
    <n v="252.26"/>
    <n v="1765.82"/>
    <n v="0.17"/>
    <n v="300.19"/>
    <n v="1465.63"/>
    <n v="988.86"/>
    <n v="476.77"/>
  </r>
  <r>
    <n v="101156"/>
    <n v="4595"/>
    <x v="0"/>
    <x v="2"/>
    <x v="3"/>
    <s v="Shirt"/>
    <x v="117"/>
    <d v="2023-04-01T00:00:00"/>
    <d v="2023-04-02T00:00:00"/>
    <n v="6"/>
    <n v="5"/>
    <n v="2"/>
    <n v="666.38"/>
    <n v="1332.76"/>
    <n v="0.11"/>
    <n v="146.6"/>
    <n v="1186.1600000000001"/>
    <n v="852.97"/>
    <n v="333.19"/>
  </r>
  <r>
    <n v="101157"/>
    <n v="3120"/>
    <x v="2"/>
    <x v="1"/>
    <x v="2"/>
    <s v="Tablet"/>
    <x v="54"/>
    <d v="2023-08-09T00:00:00"/>
    <d v="2023-08-23T00:00:00"/>
    <n v="15"/>
    <n v="1"/>
    <n v="5"/>
    <n v="786.09"/>
    <n v="3930.45"/>
    <n v="7.0000000000000007E-2"/>
    <n v="275.13"/>
    <n v="3655.32"/>
    <n v="2318.9699999999998"/>
    <n v="1336.35"/>
  </r>
  <r>
    <n v="101158"/>
    <n v="4049"/>
    <x v="3"/>
    <x v="2"/>
    <x v="1"/>
    <s v="Rice"/>
    <x v="240"/>
    <d v="2023-02-12T00:00:00"/>
    <d v="2023-02-18T00:00:00"/>
    <n v="7"/>
    <n v="1"/>
    <n v="11"/>
    <n v="445.7"/>
    <n v="4902.7"/>
    <n v="0.12"/>
    <n v="588.32000000000005"/>
    <n v="4314.38"/>
    <n v="2843.57"/>
    <n v="1470.81"/>
  </r>
  <r>
    <n v="101159"/>
    <n v="3244"/>
    <x v="0"/>
    <x v="1"/>
    <x v="2"/>
    <s v="Laptop"/>
    <x v="349"/>
    <d v="2023-08-11T00:00:00"/>
    <d v="2023-09-07T00:00:00"/>
    <n v="29"/>
    <n v="2"/>
    <n v="11"/>
    <n v="722"/>
    <n v="7942"/>
    <n v="0.11"/>
    <n v="873.62"/>
    <n v="7068.38"/>
    <n v="5082.88"/>
    <n v="1985.5"/>
  </r>
  <r>
    <n v="101160"/>
    <n v="1181"/>
    <x v="2"/>
    <x v="0"/>
    <x v="0"/>
    <s v="Table"/>
    <x v="350"/>
    <d v="2023-04-12T00:00:00"/>
    <d v="2023-04-11T00:00:00"/>
    <n v="3"/>
    <n v="4"/>
    <n v="2"/>
    <n v="316.91000000000003"/>
    <n v="633.82000000000005"/>
    <n v="0.05"/>
    <n v="31.69"/>
    <n v="602.13"/>
    <n v="431"/>
    <n v="171.13"/>
  </r>
  <r>
    <n v="101161"/>
    <n v="3699"/>
    <x v="3"/>
    <x v="0"/>
    <x v="1"/>
    <s v="Snacks"/>
    <x v="191"/>
    <d v="2023-09-28T00:00:00"/>
    <d v="2023-10-18T00:00:00"/>
    <n v="22"/>
    <n v="2"/>
    <n v="7"/>
    <n v="161.13"/>
    <n v="1127.9100000000001"/>
    <n v="0.08"/>
    <n v="90.23"/>
    <n v="1037.68"/>
    <n v="710.58"/>
    <n v="327.10000000000002"/>
  </r>
  <r>
    <n v="101162"/>
    <n v="3106"/>
    <x v="0"/>
    <x v="2"/>
    <x v="0"/>
    <s v="Cookware"/>
    <x v="104"/>
    <d v="2023-05-18T00:00:00"/>
    <d v="2023-05-19T00:00:00"/>
    <n v="4"/>
    <n v="3"/>
    <n v="4"/>
    <n v="757.07"/>
    <n v="3028.28"/>
    <n v="0.17"/>
    <n v="514.80999999999995"/>
    <n v="2513.4699999999998"/>
    <n v="1635.27"/>
    <n v="878.2"/>
  </r>
  <r>
    <n v="101163"/>
    <n v="3807"/>
    <x v="3"/>
    <x v="2"/>
    <x v="1"/>
    <s v="Rice"/>
    <x v="213"/>
    <d v="2023-12-25T00:00:00"/>
    <d v="2023-12-24T00:00:00"/>
    <n v="2"/>
    <n v="3"/>
    <n v="11"/>
    <n v="186.18"/>
    <n v="2047.98"/>
    <n v="0.18"/>
    <n v="368.64"/>
    <n v="1679.34"/>
    <n v="1208.31"/>
    <n v="471.03"/>
  </r>
  <r>
    <n v="101164"/>
    <n v="4402"/>
    <x v="2"/>
    <x v="0"/>
    <x v="3"/>
    <s v="Shirt"/>
    <x v="58"/>
    <d v="2023-05-07T00:00:00"/>
    <d v="2023-05-29T00:00:00"/>
    <n v="25"/>
    <n v="3"/>
    <n v="14"/>
    <n v="521.9"/>
    <n v="7306.6"/>
    <n v="0.1"/>
    <n v="730.66"/>
    <n v="6575.94"/>
    <n v="4749.29"/>
    <n v="1826.65"/>
  </r>
  <r>
    <n v="101165"/>
    <n v="2946"/>
    <x v="3"/>
    <x v="2"/>
    <x v="0"/>
    <s v="Sofa"/>
    <x v="82"/>
    <d v="2023-02-25T00:00:00"/>
    <d v="2023-03-04T00:00:00"/>
    <n v="8"/>
    <n v="1"/>
    <n v="5"/>
    <n v="325.70999999999998"/>
    <n v="1628.55"/>
    <n v="0.12"/>
    <n v="195.43"/>
    <n v="1433.12"/>
    <n v="1042.27"/>
    <n v="390.85"/>
  </r>
  <r>
    <n v="101166"/>
    <n v="3917"/>
    <x v="0"/>
    <x v="2"/>
    <x v="1"/>
    <s v="Beverage"/>
    <x v="219"/>
    <d v="2023-08-29T00:00:00"/>
    <d v="2023-09-02T00:00:00"/>
    <n v="7"/>
    <n v="3"/>
    <n v="2"/>
    <n v="103.39"/>
    <n v="206.78"/>
    <n v="0.08"/>
    <n v="16.54"/>
    <n v="190.24"/>
    <n v="113.73"/>
    <n v="76.510000000000005"/>
  </r>
  <r>
    <n v="101167"/>
    <n v="4955"/>
    <x v="3"/>
    <x v="0"/>
    <x v="0"/>
    <s v="Sofa"/>
    <x v="144"/>
    <d v="2023-06-05T00:00:00"/>
    <d v="2023-06-27T00:00:00"/>
    <n v="24"/>
    <n v="2"/>
    <n v="10"/>
    <n v="708"/>
    <n v="7080"/>
    <n v="0.16"/>
    <n v="1132.8"/>
    <n v="5947.2"/>
    <n v="4389.6000000000004"/>
    <n v="1557.6"/>
  </r>
  <r>
    <n v="101168"/>
    <n v="2234"/>
    <x v="3"/>
    <x v="1"/>
    <x v="2"/>
    <s v="Phone"/>
    <x v="102"/>
    <d v="2023-08-05T00:00:00"/>
    <d v="2023-08-26T00:00:00"/>
    <n v="23"/>
    <n v="2"/>
    <n v="14"/>
    <n v="743.05"/>
    <n v="10402.700000000001"/>
    <n v="0.1"/>
    <n v="1040.27"/>
    <n v="9362.43"/>
    <n v="6241.62"/>
    <n v="3120.81"/>
  </r>
  <r>
    <n v="101169"/>
    <n v="2980"/>
    <x v="2"/>
    <x v="2"/>
    <x v="2"/>
    <s v="Tablet"/>
    <x v="93"/>
    <d v="2023-08-02T00:00:00"/>
    <d v="2023-08-14T00:00:00"/>
    <n v="16"/>
    <n v="4"/>
    <n v="6"/>
    <n v="10.68"/>
    <n v="64.08"/>
    <n v="0.17"/>
    <n v="10.89"/>
    <n v="53.19"/>
    <n v="42.93"/>
    <n v="10.26"/>
  </r>
  <r>
    <n v="101170"/>
    <n v="3200"/>
    <x v="1"/>
    <x v="0"/>
    <x v="2"/>
    <s v="Tablet"/>
    <x v="143"/>
    <d v="2023-02-19T00:00:00"/>
    <d v="2023-03-02T00:00:00"/>
    <n v="12"/>
    <n v="1"/>
    <n v="10"/>
    <n v="243.5"/>
    <n v="2435"/>
    <n v="0.13"/>
    <n v="316.55"/>
    <n v="2118.4499999999998"/>
    <n v="1607.1"/>
    <n v="511.35"/>
  </r>
  <r>
    <n v="101171"/>
    <n v="4263"/>
    <x v="1"/>
    <x v="2"/>
    <x v="3"/>
    <s v="Shoes"/>
    <x v="90"/>
    <d v="2023-06-17T00:00:00"/>
    <d v="2023-07-15T00:00:00"/>
    <n v="29"/>
    <n v="1"/>
    <n v="10"/>
    <n v="518.04"/>
    <n v="5180.3999999999996"/>
    <n v="0.06"/>
    <n v="310.82"/>
    <n v="4869.58"/>
    <n v="3211.85"/>
    <n v="1657.73"/>
  </r>
  <r>
    <n v="101172"/>
    <n v="2927"/>
    <x v="3"/>
    <x v="2"/>
    <x v="3"/>
    <s v="Jeans"/>
    <x v="111"/>
    <d v="2023-07-07T00:00:00"/>
    <d v="2023-07-27T00:00:00"/>
    <n v="25"/>
    <n v="5"/>
    <n v="12"/>
    <n v="412"/>
    <n v="4944"/>
    <n v="0"/>
    <n v="0"/>
    <n v="4944"/>
    <n v="2916.96"/>
    <n v="2027.04"/>
  </r>
  <r>
    <n v="101173"/>
    <n v="1215"/>
    <x v="1"/>
    <x v="1"/>
    <x v="2"/>
    <s v="Headphones"/>
    <x v="295"/>
    <d v="2023-08-13T00:00:00"/>
    <d v="2023-08-30T00:00:00"/>
    <n v="20"/>
    <n v="3"/>
    <n v="5"/>
    <n v="438.4"/>
    <n v="2192"/>
    <n v="0.2"/>
    <n v="438.4"/>
    <n v="1753.6"/>
    <n v="1293.28"/>
    <n v="460.32"/>
  </r>
  <r>
    <n v="101174"/>
    <n v="1513"/>
    <x v="2"/>
    <x v="0"/>
    <x v="0"/>
    <s v="Cookware"/>
    <x v="229"/>
    <d v="2023-04-12T00:00:00"/>
    <d v="2023-04-25T00:00:00"/>
    <n v="18"/>
    <n v="5"/>
    <n v="5"/>
    <n v="615.02"/>
    <n v="3075.1"/>
    <n v="0.13"/>
    <n v="399.76"/>
    <n v="2675.34"/>
    <n v="1783.56"/>
    <n v="891.78"/>
  </r>
  <r>
    <n v="101175"/>
    <n v="1150"/>
    <x v="1"/>
    <x v="2"/>
    <x v="0"/>
    <s v="Cookware"/>
    <x v="314"/>
    <d v="2023-03-13T00:00:00"/>
    <d v="2023-04-03T00:00:00"/>
    <n v="22"/>
    <n v="1"/>
    <n v="5"/>
    <n v="612.39"/>
    <n v="3061.95"/>
    <n v="0.11"/>
    <n v="336.81"/>
    <n v="2725.14"/>
    <n v="1837.17"/>
    <n v="887.97"/>
  </r>
  <r>
    <n v="101176"/>
    <n v="4025"/>
    <x v="3"/>
    <x v="1"/>
    <x v="3"/>
    <s v="Shirt"/>
    <x v="75"/>
    <d v="2023-05-07T00:00:00"/>
    <d v="2023-05-28T00:00:00"/>
    <n v="23"/>
    <n v="2"/>
    <n v="10"/>
    <n v="644.01"/>
    <n v="6440.1"/>
    <n v="0.12"/>
    <n v="772.81"/>
    <n v="5667.29"/>
    <n v="4250.47"/>
    <n v="1416.82"/>
  </r>
  <r>
    <n v="101177"/>
    <n v="2781"/>
    <x v="0"/>
    <x v="1"/>
    <x v="2"/>
    <s v="Headphones"/>
    <x v="142"/>
    <d v="2023-07-30T00:00:00"/>
    <d v="2023-08-03T00:00:00"/>
    <n v="6"/>
    <n v="2"/>
    <n v="12"/>
    <n v="115.55"/>
    <n v="1386.6"/>
    <n v="0.15"/>
    <n v="207.99"/>
    <n v="1178.6099999999999"/>
    <n v="956.75"/>
    <n v="221.86"/>
  </r>
  <r>
    <n v="101178"/>
    <n v="3501"/>
    <x v="1"/>
    <x v="1"/>
    <x v="3"/>
    <s v="Jacket"/>
    <x v="188"/>
    <d v="2023-07-08T00:00:00"/>
    <d v="2023-07-31T00:00:00"/>
    <n v="27"/>
    <n v="4"/>
    <n v="11"/>
    <n v="546.58000000000004"/>
    <n v="6012.38"/>
    <n v="0.06"/>
    <n v="360.74"/>
    <n v="5651.64"/>
    <n v="4028.29"/>
    <n v="1623.35"/>
  </r>
  <r>
    <n v="101179"/>
    <n v="4957"/>
    <x v="2"/>
    <x v="1"/>
    <x v="3"/>
    <s v="Shoes"/>
    <x v="283"/>
    <d v="2023-12-01T00:00:00"/>
    <d v="2023-12-16T00:00:00"/>
    <n v="16"/>
    <n v="1"/>
    <n v="5"/>
    <n v="759.64"/>
    <n v="3798.2"/>
    <n v="0.13"/>
    <n v="493.77"/>
    <n v="3304.43"/>
    <n v="2620.7600000000002"/>
    <n v="683.67"/>
  </r>
  <r>
    <n v="101180"/>
    <n v="1180"/>
    <x v="3"/>
    <x v="1"/>
    <x v="2"/>
    <s v="Tablet"/>
    <x v="344"/>
    <d v="2023-09-30T00:00:00"/>
    <d v="2023-10-16T00:00:00"/>
    <n v="18"/>
    <n v="2"/>
    <n v="7"/>
    <n v="134.57"/>
    <n v="941.99"/>
    <n v="0.1"/>
    <n v="94.2"/>
    <n v="847.79"/>
    <n v="565.19000000000005"/>
    <n v="282.60000000000002"/>
  </r>
  <r>
    <n v="101181"/>
    <n v="3483"/>
    <x v="1"/>
    <x v="0"/>
    <x v="2"/>
    <s v="Laptop"/>
    <x v="140"/>
    <d v="2023-01-06T00:00:00"/>
    <d v="2023-01-06T00:00:00"/>
    <n v="4"/>
    <n v="4"/>
    <n v="10"/>
    <n v="226.93"/>
    <n v="2269.3000000000002"/>
    <n v="0.06"/>
    <n v="136.16"/>
    <n v="2133.14"/>
    <n v="1384.27"/>
    <n v="748.87"/>
  </r>
  <r>
    <n v="101182"/>
    <n v="4692"/>
    <x v="1"/>
    <x v="1"/>
    <x v="1"/>
    <s v="Snacks"/>
    <x v="288"/>
    <d v="2023-02-03T00:00:00"/>
    <d v="2023-02-04T00:00:00"/>
    <n v="4"/>
    <n v="3"/>
    <n v="8"/>
    <n v="308.86"/>
    <n v="2470.88"/>
    <n v="0"/>
    <n v="0"/>
    <n v="2470.88"/>
    <n v="1556.65"/>
    <n v="914.23"/>
  </r>
  <r>
    <n v="101183"/>
    <n v="1566"/>
    <x v="1"/>
    <x v="0"/>
    <x v="3"/>
    <s v="Shoes"/>
    <x v="93"/>
    <d v="2023-08-03T00:00:00"/>
    <d v="2023-08-08T00:00:00"/>
    <n v="10"/>
    <n v="5"/>
    <n v="9"/>
    <n v="719.24"/>
    <n v="6473.16"/>
    <n v="0.1"/>
    <n v="647.32000000000005"/>
    <n v="5825.84"/>
    <n v="4531.21"/>
    <n v="1294.6300000000001"/>
  </r>
  <r>
    <n v="101184"/>
    <n v="1175"/>
    <x v="2"/>
    <x v="1"/>
    <x v="0"/>
    <s v="Sofa"/>
    <x v="185"/>
    <d v="2023-12-23T00:00:00"/>
    <d v="2023-12-31T00:00:00"/>
    <n v="11"/>
    <n v="3"/>
    <n v="3"/>
    <n v="227.78"/>
    <n v="683.34"/>
    <n v="7.0000000000000007E-2"/>
    <n v="47.83"/>
    <n v="635.51"/>
    <n v="471.5"/>
    <n v="164.01"/>
  </r>
  <r>
    <n v="101185"/>
    <n v="3169"/>
    <x v="3"/>
    <x v="1"/>
    <x v="2"/>
    <s v="Headphones"/>
    <x v="244"/>
    <d v="2023-03-06T00:00:00"/>
    <d v="2023-03-31T00:00:00"/>
    <n v="30"/>
    <n v="5"/>
    <n v="12"/>
    <n v="548.13"/>
    <n v="6577.56"/>
    <n v="0.11"/>
    <n v="723.53"/>
    <n v="5854.03"/>
    <n v="3814.98"/>
    <n v="2039.05"/>
  </r>
  <r>
    <n v="101186"/>
    <n v="3571"/>
    <x v="0"/>
    <x v="0"/>
    <x v="0"/>
    <s v="Lamp"/>
    <x v="312"/>
    <d v="2023-04-28T00:00:00"/>
    <d v="2023-05-20T00:00:00"/>
    <n v="24"/>
    <n v="2"/>
    <n v="9"/>
    <n v="476.01"/>
    <n v="4284.09"/>
    <n v="0.09"/>
    <n v="385.57"/>
    <n v="3898.52"/>
    <n v="2956.02"/>
    <n v="942.5"/>
  </r>
  <r>
    <n v="101187"/>
    <n v="1460"/>
    <x v="1"/>
    <x v="1"/>
    <x v="2"/>
    <s v="Headphones"/>
    <x v="63"/>
    <d v="2023-03-29T00:00:00"/>
    <d v="2023-04-10T00:00:00"/>
    <n v="16"/>
    <n v="4"/>
    <n v="11"/>
    <n v="284.25"/>
    <n v="3126.75"/>
    <n v="0.08"/>
    <n v="250.14"/>
    <n v="2876.61"/>
    <n v="2251.2600000000002"/>
    <n v="625.35"/>
  </r>
  <r>
    <n v="101188"/>
    <n v="2776"/>
    <x v="0"/>
    <x v="2"/>
    <x v="2"/>
    <s v="Laptop"/>
    <x v="105"/>
    <d v="2023-04-20T00:00:00"/>
    <d v="2023-05-13T00:00:00"/>
    <n v="26"/>
    <n v="3"/>
    <n v="4"/>
    <n v="199.92"/>
    <n v="799.68"/>
    <n v="0.06"/>
    <n v="47.98"/>
    <n v="751.7"/>
    <n v="519.79"/>
    <n v="231.91"/>
  </r>
  <r>
    <n v="101189"/>
    <n v="1498"/>
    <x v="1"/>
    <x v="0"/>
    <x v="0"/>
    <s v="Table"/>
    <x v="150"/>
    <d v="2023-06-09T00:00:00"/>
    <d v="2023-06-24T00:00:00"/>
    <n v="18"/>
    <n v="3"/>
    <n v="3"/>
    <n v="425.59"/>
    <n v="1276.77"/>
    <n v="0.11"/>
    <n v="140.44"/>
    <n v="1136.33"/>
    <n v="817.13"/>
    <n v="319.2"/>
  </r>
  <r>
    <n v="101190"/>
    <n v="3191"/>
    <x v="0"/>
    <x v="0"/>
    <x v="2"/>
    <s v="Tablet"/>
    <x v="318"/>
    <d v="2023-09-21T00:00:00"/>
    <d v="2023-10-09T00:00:00"/>
    <n v="20"/>
    <n v="2"/>
    <n v="8"/>
    <n v="647.33000000000004"/>
    <n v="5178.6400000000003"/>
    <n v="0.13"/>
    <n v="673.22"/>
    <n v="4505.42"/>
    <n v="3107.18"/>
    <n v="1398.24"/>
  </r>
  <r>
    <n v="101191"/>
    <n v="2787"/>
    <x v="1"/>
    <x v="1"/>
    <x v="2"/>
    <s v="Tablet"/>
    <x v="335"/>
    <d v="2023-06-02T00:00:00"/>
    <d v="2023-06-07T00:00:00"/>
    <n v="9"/>
    <n v="4"/>
    <n v="10"/>
    <n v="105.62"/>
    <n v="1056.2"/>
    <n v="0.12"/>
    <n v="126.74"/>
    <n v="929.46"/>
    <n v="633.72"/>
    <n v="295.74"/>
  </r>
  <r>
    <n v="101192"/>
    <n v="3686"/>
    <x v="2"/>
    <x v="1"/>
    <x v="1"/>
    <s v="Beverage"/>
    <x v="37"/>
    <d v="2023-12-11T00:00:00"/>
    <d v="2023-12-22T00:00:00"/>
    <n v="16"/>
    <n v="5"/>
    <n v="14"/>
    <n v="10.43"/>
    <n v="146.02000000000001"/>
    <n v="0.02"/>
    <n v="2.92"/>
    <n v="143.1"/>
    <n v="86.15"/>
    <n v="56.95"/>
  </r>
  <r>
    <n v="101193"/>
    <n v="2086"/>
    <x v="3"/>
    <x v="1"/>
    <x v="2"/>
    <s v="Headphones"/>
    <x v="274"/>
    <d v="2023-02-14T00:00:00"/>
    <d v="2023-02-27T00:00:00"/>
    <n v="17"/>
    <n v="4"/>
    <n v="9"/>
    <n v="544.92999999999995"/>
    <n v="4904.37"/>
    <n v="0.05"/>
    <n v="245.22"/>
    <n v="4659.1499999999996"/>
    <n v="3040.71"/>
    <n v="1618.44"/>
  </r>
  <r>
    <n v="101194"/>
    <n v="1664"/>
    <x v="1"/>
    <x v="1"/>
    <x v="2"/>
    <s v="Laptop"/>
    <x v="147"/>
    <d v="2023-11-12T00:00:00"/>
    <d v="2023-11-15T00:00:00"/>
    <n v="4"/>
    <n v="1"/>
    <n v="1"/>
    <n v="94.08"/>
    <n v="94.08"/>
    <n v="0.03"/>
    <n v="2.82"/>
    <n v="91.26"/>
    <n v="59.27"/>
    <n v="31.99"/>
  </r>
  <r>
    <n v="101195"/>
    <n v="2808"/>
    <x v="0"/>
    <x v="0"/>
    <x v="0"/>
    <s v="Lamp"/>
    <x v="132"/>
    <d v="2023-02-18T00:00:00"/>
    <d v="2023-03-07T00:00:00"/>
    <n v="20"/>
    <n v="3"/>
    <n v="8"/>
    <n v="159.04"/>
    <n v="1272.32"/>
    <n v="7.0000000000000007E-2"/>
    <n v="89.06"/>
    <n v="1183.26"/>
    <n v="877.9"/>
    <n v="305.36"/>
  </r>
  <r>
    <n v="101196"/>
    <n v="4626"/>
    <x v="3"/>
    <x v="1"/>
    <x v="0"/>
    <s v="Cookware"/>
    <x v="87"/>
    <d v="2023-12-04T00:00:00"/>
    <d v="2023-12-15T00:00:00"/>
    <n v="13"/>
    <n v="2"/>
    <n v="2"/>
    <n v="720.91"/>
    <n v="1441.82"/>
    <n v="0.11"/>
    <n v="158.6"/>
    <n v="1283.22"/>
    <n v="749.75"/>
    <n v="533.47"/>
  </r>
  <r>
    <n v="101197"/>
    <n v="2675"/>
    <x v="3"/>
    <x v="1"/>
    <x v="2"/>
    <s v="Laptop"/>
    <x v="327"/>
    <d v="2023-10-01T00:00:00"/>
    <d v="2023-10-04T00:00:00"/>
    <n v="5"/>
    <n v="2"/>
    <n v="1"/>
    <n v="24.35"/>
    <n v="24.35"/>
    <n v="0.08"/>
    <n v="1.95"/>
    <n v="22.4"/>
    <n v="15.83"/>
    <n v="6.57"/>
  </r>
  <r>
    <n v="101198"/>
    <n v="1888"/>
    <x v="3"/>
    <x v="1"/>
    <x v="1"/>
    <s v="Beverage"/>
    <x v="351"/>
    <d v="2023-02-25T00:00:00"/>
    <d v="2023-03-05T00:00:00"/>
    <n v="10"/>
    <n v="2"/>
    <n v="11"/>
    <n v="521.88"/>
    <n v="5740.68"/>
    <n v="0.09"/>
    <n v="516.66"/>
    <n v="5224.0200000000004"/>
    <n v="3616.63"/>
    <n v="1607.39"/>
  </r>
  <r>
    <n v="101199"/>
    <n v="1909"/>
    <x v="0"/>
    <x v="1"/>
    <x v="0"/>
    <s v="Lamp"/>
    <x v="227"/>
    <d v="2023-03-24T00:00:00"/>
    <d v="2023-04-08T00:00:00"/>
    <n v="16"/>
    <n v="1"/>
    <n v="13"/>
    <n v="356.68"/>
    <n v="4636.84"/>
    <n v="0.13"/>
    <n v="602.79"/>
    <n v="4034.05"/>
    <n v="2689.37"/>
    <n v="1344.68"/>
  </r>
  <r>
    <n v="101200"/>
    <n v="2105"/>
    <x v="0"/>
    <x v="2"/>
    <x v="0"/>
    <s v="Sofa"/>
    <x v="52"/>
    <d v="2023-05-31T00:00:00"/>
    <d v="2023-06-24T00:00:00"/>
    <n v="25"/>
    <n v="1"/>
    <n v="2"/>
    <n v="520.57000000000005"/>
    <n v="1041.1400000000001"/>
    <n v="0.08"/>
    <n v="83.29"/>
    <n v="957.85"/>
    <n v="707.98"/>
    <n v="249.87"/>
  </r>
  <r>
    <n v="101201"/>
    <n v="1598"/>
    <x v="2"/>
    <x v="1"/>
    <x v="0"/>
    <s v="Cookware"/>
    <x v="161"/>
    <d v="2023-06-30T00:00:00"/>
    <d v="2023-07-12T00:00:00"/>
    <n v="16"/>
    <n v="4"/>
    <n v="1"/>
    <n v="737.41"/>
    <n v="737.41"/>
    <n v="0.13"/>
    <n v="95.86"/>
    <n v="641.54999999999995"/>
    <n v="508.81"/>
    <n v="132.74"/>
  </r>
  <r>
    <n v="101202"/>
    <n v="4921"/>
    <x v="3"/>
    <x v="1"/>
    <x v="0"/>
    <s v="Table"/>
    <x v="14"/>
    <d v="2023-03-12T00:00:00"/>
    <d v="2023-03-22T00:00:00"/>
    <n v="12"/>
    <n v="2"/>
    <n v="1"/>
    <n v="257.95"/>
    <n v="257.95"/>
    <n v="0.03"/>
    <n v="7.74"/>
    <n v="250.21"/>
    <n v="180.56"/>
    <n v="69.650000000000006"/>
  </r>
  <r>
    <n v="101203"/>
    <n v="4830"/>
    <x v="0"/>
    <x v="0"/>
    <x v="2"/>
    <s v="Tablet"/>
    <x v="211"/>
    <d v="2023-06-14T00:00:00"/>
    <d v="2023-06-26T00:00:00"/>
    <n v="13"/>
    <n v="1"/>
    <n v="12"/>
    <n v="250.41"/>
    <n v="3004.92"/>
    <n v="7.0000000000000007E-2"/>
    <n v="210.34"/>
    <n v="2794.58"/>
    <n v="1802.95"/>
    <n v="991.63"/>
  </r>
  <r>
    <n v="101204"/>
    <n v="1557"/>
    <x v="3"/>
    <x v="0"/>
    <x v="1"/>
    <s v="Beverage"/>
    <x v="75"/>
    <d v="2023-05-09T00:00:00"/>
    <d v="2023-05-14T00:00:00"/>
    <n v="9"/>
    <n v="4"/>
    <n v="8"/>
    <n v="146.66999999999999"/>
    <n v="1173.3599999999999"/>
    <n v="0.04"/>
    <n v="46.93"/>
    <n v="1126.43"/>
    <n v="774.42"/>
    <n v="352.01"/>
  </r>
  <r>
    <n v="101205"/>
    <n v="3655"/>
    <x v="2"/>
    <x v="0"/>
    <x v="1"/>
    <s v="Beverage"/>
    <x v="71"/>
    <d v="2023-12-04T00:00:00"/>
    <d v="2023-12-08T00:00:00"/>
    <n v="9"/>
    <n v="5"/>
    <n v="2"/>
    <n v="259.24"/>
    <n v="518.48"/>
    <n v="0.06"/>
    <n v="31.11"/>
    <n v="487.37"/>
    <n v="342.2"/>
    <n v="145.16999999999999"/>
  </r>
  <r>
    <n v="101206"/>
    <n v="2270"/>
    <x v="2"/>
    <x v="2"/>
    <x v="3"/>
    <s v="Shoes"/>
    <x v="295"/>
    <d v="2023-08-13T00:00:00"/>
    <d v="2023-08-31T00:00:00"/>
    <n v="21"/>
    <n v="3"/>
    <n v="4"/>
    <n v="650.75"/>
    <n v="2603"/>
    <n v="0.04"/>
    <n v="104.12"/>
    <n v="2498.88"/>
    <n v="1770.04"/>
    <n v="728.84"/>
  </r>
  <r>
    <n v="101207"/>
    <n v="4561"/>
    <x v="2"/>
    <x v="0"/>
    <x v="3"/>
    <s v="Shirt"/>
    <x v="81"/>
    <d v="2023-11-01T00:00:00"/>
    <d v="2023-11-04T00:00:00"/>
    <n v="8"/>
    <n v="5"/>
    <n v="3"/>
    <n v="55.16"/>
    <n v="165.48"/>
    <n v="0.04"/>
    <n v="6.62"/>
    <n v="158.86000000000001"/>
    <n v="105.91"/>
    <n v="52.95"/>
  </r>
  <r>
    <n v="101208"/>
    <n v="2262"/>
    <x v="2"/>
    <x v="0"/>
    <x v="1"/>
    <s v="Pasta"/>
    <x v="111"/>
    <d v="2023-07-04T00:00:00"/>
    <d v="2023-07-17T00:00:00"/>
    <n v="15"/>
    <n v="2"/>
    <n v="4"/>
    <n v="356.89"/>
    <n v="1427.56"/>
    <n v="0"/>
    <n v="0"/>
    <n v="1427.56"/>
    <n v="813.71"/>
    <n v="613.85"/>
  </r>
  <r>
    <n v="101209"/>
    <n v="1180"/>
    <x v="3"/>
    <x v="1"/>
    <x v="2"/>
    <s v="Tablet"/>
    <x v="344"/>
    <d v="2023-09-30T00:00:00"/>
    <d v="2023-10-16T00:00:00"/>
    <n v="18"/>
    <n v="2"/>
    <n v="7"/>
    <n v="134.57"/>
    <n v="941.99"/>
    <n v="0.1"/>
    <n v="94.2"/>
    <n v="847.79"/>
    <n v="565.19000000000005"/>
    <n v="282.60000000000002"/>
  </r>
  <r>
    <n v="101210"/>
    <n v="4825"/>
    <x v="1"/>
    <x v="1"/>
    <x v="1"/>
    <s v="Beverage"/>
    <x v="319"/>
    <d v="2023-10-14T00:00:00"/>
    <d v="2023-11-07T00:00:00"/>
    <n v="27"/>
    <n v="3"/>
    <n v="14"/>
    <n v="643.38"/>
    <n v="9007.32"/>
    <n v="0.08"/>
    <n v="720.59"/>
    <n v="8286.73"/>
    <n v="5314.32"/>
    <n v="2972.41"/>
  </r>
  <r>
    <n v="101211"/>
    <n v="1495"/>
    <x v="2"/>
    <x v="0"/>
    <x v="3"/>
    <s v="Shoes"/>
    <x v="199"/>
    <d v="2023-08-30T00:00:00"/>
    <d v="2023-09-25T00:00:00"/>
    <n v="29"/>
    <n v="3"/>
    <n v="4"/>
    <n v="499.53"/>
    <n v="1998.12"/>
    <n v="0.13"/>
    <n v="259.76"/>
    <n v="1738.36"/>
    <n v="1298.78"/>
    <n v="439.58"/>
  </r>
  <r>
    <n v="101212"/>
    <n v="2620"/>
    <x v="1"/>
    <x v="2"/>
    <x v="0"/>
    <s v="Cookware"/>
    <x v="173"/>
    <d v="2023-08-16T00:00:00"/>
    <d v="2023-09-10T00:00:00"/>
    <n v="29"/>
    <n v="4"/>
    <n v="14"/>
    <n v="512.02"/>
    <n v="7168.28"/>
    <n v="0.11"/>
    <n v="788.51"/>
    <n v="6379.77"/>
    <n v="4731.0600000000004"/>
    <n v="1648.71"/>
  </r>
  <r>
    <n v="101213"/>
    <n v="1460"/>
    <x v="2"/>
    <x v="0"/>
    <x v="2"/>
    <s v="Laptop"/>
    <x v="106"/>
    <d v="2023-08-24T00:00:00"/>
    <d v="2023-08-27T00:00:00"/>
    <n v="4"/>
    <n v="1"/>
    <n v="5"/>
    <n v="529.26"/>
    <n v="2646.3"/>
    <n v="0.15"/>
    <n v="396.94"/>
    <n v="2249.36"/>
    <n v="1561.32"/>
    <n v="688.04"/>
  </r>
  <r>
    <n v="101214"/>
    <n v="4462"/>
    <x v="1"/>
    <x v="2"/>
    <x v="1"/>
    <s v="Beverage"/>
    <x v="215"/>
    <d v="2023-11-22T00:00:00"/>
    <d v="2023-11-24T00:00:00"/>
    <n v="5"/>
    <n v="3"/>
    <n v="1"/>
    <n v="395.27"/>
    <n v="395.27"/>
    <n v="0.03"/>
    <n v="11.86"/>
    <n v="383.41"/>
    <n v="241.11"/>
    <n v="142.30000000000001"/>
  </r>
  <r>
    <n v="101215"/>
    <n v="4463"/>
    <x v="2"/>
    <x v="2"/>
    <x v="0"/>
    <s v="Table"/>
    <x v="95"/>
    <d v="2023-04-16T00:00:00"/>
    <d v="2023-05-08T00:00:00"/>
    <n v="27"/>
    <n v="5"/>
    <n v="11"/>
    <n v="313.62"/>
    <n v="3449.82"/>
    <n v="0.03"/>
    <n v="103.49"/>
    <n v="3346.33"/>
    <n v="2104.39"/>
    <n v="1241.94"/>
  </r>
  <r>
    <n v="101216"/>
    <n v="3562"/>
    <x v="0"/>
    <x v="1"/>
    <x v="3"/>
    <s v="Jeans"/>
    <x v="250"/>
    <d v="2023-08-06T00:00:00"/>
    <d v="2023-08-24T00:00:00"/>
    <n v="19"/>
    <n v="1"/>
    <n v="11"/>
    <n v="250.04"/>
    <n v="2750.44"/>
    <n v="0.08"/>
    <n v="220.04"/>
    <n v="2530.4"/>
    <n v="1787.79"/>
    <n v="742.61"/>
  </r>
  <r>
    <n v="101217"/>
    <n v="3606"/>
    <x v="3"/>
    <x v="0"/>
    <x v="0"/>
    <s v="Sofa"/>
    <x v="232"/>
    <d v="2023-12-09T00:00:00"/>
    <d v="2023-12-24T00:00:00"/>
    <n v="17"/>
    <n v="2"/>
    <n v="14"/>
    <n v="707.51"/>
    <n v="9905.14"/>
    <n v="0.08"/>
    <n v="792.41"/>
    <n v="9112.73"/>
    <n v="5249.72"/>
    <n v="3863.01"/>
  </r>
  <r>
    <n v="101218"/>
    <n v="4551"/>
    <x v="1"/>
    <x v="1"/>
    <x v="2"/>
    <s v="Phone"/>
    <x v="135"/>
    <d v="2023-12-21T00:00:00"/>
    <d v="2024-01-18T00:00:00"/>
    <n v="30"/>
    <n v="2"/>
    <n v="12"/>
    <n v="736.7"/>
    <n v="8840.4"/>
    <n v="0"/>
    <n v="0"/>
    <n v="8840.4"/>
    <n v="5746.26"/>
    <n v="3094.14"/>
  </r>
  <r>
    <n v="101219"/>
    <n v="1498"/>
    <x v="1"/>
    <x v="1"/>
    <x v="1"/>
    <s v="Pasta"/>
    <x v="5"/>
    <d v="2023-04-15T00:00:00"/>
    <d v="2023-05-07T00:00:00"/>
    <n v="23"/>
    <n v="1"/>
    <n v="14"/>
    <n v="691.36"/>
    <n v="9679.0400000000009"/>
    <n v="7.0000000000000007E-2"/>
    <n v="677.53"/>
    <n v="9001.51"/>
    <n v="5807.42"/>
    <n v="3194.09"/>
  </r>
  <r>
    <n v="101220"/>
    <n v="1168"/>
    <x v="0"/>
    <x v="2"/>
    <x v="2"/>
    <s v="Tablet"/>
    <x v="60"/>
    <d v="2023-08-21T00:00:00"/>
    <d v="2023-08-24T00:00:00"/>
    <n v="6"/>
    <n v="3"/>
    <n v="11"/>
    <n v="556.58000000000004"/>
    <n v="6122.38"/>
    <n v="0.06"/>
    <n v="367.34"/>
    <n v="5755.04"/>
    <n v="4163.22"/>
    <n v="1591.82"/>
  </r>
  <r>
    <n v="101221"/>
    <n v="4518"/>
    <x v="1"/>
    <x v="0"/>
    <x v="2"/>
    <s v="Tablet"/>
    <x v="132"/>
    <d v="2023-02-20T00:00:00"/>
    <d v="2023-03-07T00:00:00"/>
    <n v="20"/>
    <n v="5"/>
    <n v="7"/>
    <n v="64"/>
    <n v="448"/>
    <n v="0.13"/>
    <n v="58.24"/>
    <n v="389.76"/>
    <n v="255.36"/>
    <n v="134.4"/>
  </r>
  <r>
    <n v="101222"/>
    <n v="1643"/>
    <x v="3"/>
    <x v="2"/>
    <x v="1"/>
    <s v="Snacks"/>
    <x v="128"/>
    <d v="2023-03-23T00:00:00"/>
    <d v="2023-03-27T00:00:00"/>
    <n v="8"/>
    <n v="4"/>
    <n v="2"/>
    <n v="54.17"/>
    <n v="108.34"/>
    <n v="0.08"/>
    <n v="8.67"/>
    <n v="99.67"/>
    <n v="66.09"/>
    <n v="33.58"/>
  </r>
  <r>
    <n v="101223"/>
    <n v="3737"/>
    <x v="0"/>
    <x v="0"/>
    <x v="2"/>
    <s v="Phone"/>
    <x v="141"/>
    <d v="2023-10-18T00:00:00"/>
    <d v="2023-11-04T00:00:00"/>
    <n v="20"/>
    <n v="3"/>
    <n v="13"/>
    <n v="713.48"/>
    <n v="9275.24"/>
    <n v="0.01"/>
    <n v="92.75"/>
    <n v="9182.49"/>
    <n v="5750.65"/>
    <n v="3431.84"/>
  </r>
  <r>
    <n v="101224"/>
    <n v="1328"/>
    <x v="1"/>
    <x v="1"/>
    <x v="1"/>
    <s v="Beverage"/>
    <x v="258"/>
    <d v="2023-02-04T00:00:00"/>
    <d v="2023-02-22T00:00:00"/>
    <n v="21"/>
    <n v="3"/>
    <n v="1"/>
    <n v="420.46"/>
    <n v="420.46"/>
    <n v="0.13"/>
    <n v="54.66"/>
    <n v="365.8"/>
    <n v="197.62"/>
    <n v="168.18"/>
  </r>
  <r>
    <n v="101225"/>
    <n v="3855"/>
    <x v="3"/>
    <x v="2"/>
    <x v="2"/>
    <s v="Tablet"/>
    <x v="152"/>
    <d v="2023-09-13T00:00:00"/>
    <d v="2023-10-10T00:00:00"/>
    <n v="28"/>
    <n v="1"/>
    <n v="14"/>
    <n v="694.82"/>
    <n v="9727.48"/>
    <n v="0.01"/>
    <n v="97.27"/>
    <n v="9630.2099999999991"/>
    <n v="5933.76"/>
    <n v="3696.45"/>
  </r>
  <r>
    <n v="101226"/>
    <n v="4079"/>
    <x v="1"/>
    <x v="0"/>
    <x v="1"/>
    <s v="Pasta"/>
    <x v="213"/>
    <d v="2023-12-25T00:00:00"/>
    <d v="2024-01-13T00:00:00"/>
    <n v="22"/>
    <n v="3"/>
    <n v="5"/>
    <n v="290.33999999999997"/>
    <n v="1451.7"/>
    <n v="0.04"/>
    <n v="58.07"/>
    <n v="1393.63"/>
    <n v="885.54"/>
    <n v="508.09"/>
  </r>
  <r>
    <n v="101227"/>
    <n v="2678"/>
    <x v="1"/>
    <x v="0"/>
    <x v="3"/>
    <s v="Shoes"/>
    <x v="214"/>
    <d v="2023-08-02T00:00:00"/>
    <d v="2023-08-27T00:00:00"/>
    <n v="26"/>
    <n v="1"/>
    <n v="13"/>
    <n v="636.9"/>
    <n v="8279.7000000000007"/>
    <n v="0.08"/>
    <n v="662.38"/>
    <n v="7617.32"/>
    <n v="5795.79"/>
    <n v="1821.53"/>
  </r>
  <r>
    <n v="101228"/>
    <n v="3785"/>
    <x v="3"/>
    <x v="0"/>
    <x v="1"/>
    <s v="Beverage"/>
    <x v="7"/>
    <d v="2023-07-10T00:00:00"/>
    <d v="2023-07-19T00:00:00"/>
    <n v="14"/>
    <n v="5"/>
    <n v="9"/>
    <n v="464.46"/>
    <n v="4180.1400000000003"/>
    <n v="0.14000000000000001"/>
    <n v="585.22"/>
    <n v="3594.92"/>
    <n v="2633.49"/>
    <n v="961.43"/>
  </r>
  <r>
    <n v="101229"/>
    <n v="1950"/>
    <x v="2"/>
    <x v="0"/>
    <x v="1"/>
    <s v="Snacks"/>
    <x v="25"/>
    <d v="2023-06-07T00:00:00"/>
    <d v="2023-06-08T00:00:00"/>
    <n v="6"/>
    <n v="5"/>
    <n v="2"/>
    <n v="674.4"/>
    <n v="1348.8"/>
    <n v="0.14000000000000001"/>
    <n v="188.83"/>
    <n v="1159.97"/>
    <n v="822.77"/>
    <n v="337.2"/>
  </r>
  <r>
    <n v="101230"/>
    <n v="3324"/>
    <x v="2"/>
    <x v="0"/>
    <x v="3"/>
    <s v="Shirt"/>
    <x v="178"/>
    <d v="2023-12-17T00:00:00"/>
    <d v="2023-12-24T00:00:00"/>
    <n v="10"/>
    <n v="3"/>
    <n v="13"/>
    <n v="615.41"/>
    <n v="8000.33"/>
    <n v="0.1"/>
    <n v="800.03"/>
    <n v="7200.3"/>
    <n v="4720.1899999999996"/>
    <n v="2480.11"/>
  </r>
  <r>
    <n v="101231"/>
    <n v="3110"/>
    <x v="0"/>
    <x v="1"/>
    <x v="0"/>
    <s v="Cookware"/>
    <x v="120"/>
    <d v="2023-11-07T00:00:00"/>
    <d v="2023-11-24T00:00:00"/>
    <n v="20"/>
    <n v="3"/>
    <n v="14"/>
    <n v="673.03"/>
    <n v="9422.42"/>
    <n v="0.04"/>
    <n v="376.9"/>
    <n v="9045.52"/>
    <n v="5841.9"/>
    <n v="3203.62"/>
  </r>
  <r>
    <n v="101232"/>
    <n v="2842"/>
    <x v="2"/>
    <x v="2"/>
    <x v="3"/>
    <s v="Shoes"/>
    <x v="140"/>
    <d v="2023-01-03T00:00:00"/>
    <d v="2023-01-19T00:00:00"/>
    <n v="17"/>
    <n v="1"/>
    <n v="4"/>
    <n v="662.64"/>
    <n v="2650.56"/>
    <n v="0.05"/>
    <n v="132.53"/>
    <n v="2518.0300000000002"/>
    <n v="1934.91"/>
    <n v="583.12"/>
  </r>
  <r>
    <n v="101233"/>
    <n v="4047"/>
    <x v="1"/>
    <x v="1"/>
    <x v="0"/>
    <s v="Sofa"/>
    <x v="228"/>
    <d v="2023-07-01T00:00:00"/>
    <d v="2023-07-25T00:00:00"/>
    <n v="28"/>
    <n v="4"/>
    <n v="5"/>
    <n v="795.45"/>
    <n v="3977.25"/>
    <n v="0.02"/>
    <n v="79.540000000000006"/>
    <n v="3897.7"/>
    <n v="2386.35"/>
    <n v="1511.35"/>
  </r>
  <r>
    <n v="101234"/>
    <n v="3419"/>
    <x v="0"/>
    <x v="2"/>
    <x v="0"/>
    <s v="Sofa"/>
    <x v="94"/>
    <d v="2023-07-19T00:00:00"/>
    <d v="2023-08-09T00:00:00"/>
    <n v="23"/>
    <n v="2"/>
    <n v="9"/>
    <n v="348.75"/>
    <n v="3138.75"/>
    <n v="0"/>
    <n v="0"/>
    <n v="3138.75"/>
    <n v="1977.41"/>
    <n v="1161.3399999999999"/>
  </r>
  <r>
    <n v="101235"/>
    <n v="1213"/>
    <x v="3"/>
    <x v="2"/>
    <x v="1"/>
    <s v="Rice"/>
    <x v="166"/>
    <d v="2023-01-16T00:00:00"/>
    <d v="2023-02-01T00:00:00"/>
    <n v="20"/>
    <n v="4"/>
    <n v="14"/>
    <n v="502.06"/>
    <n v="7028.84"/>
    <n v="0.12"/>
    <n v="843.46"/>
    <n v="6185.38"/>
    <n v="4779.6099999999997"/>
    <n v="1405.77"/>
  </r>
  <r>
    <n v="101236"/>
    <n v="3209"/>
    <x v="2"/>
    <x v="1"/>
    <x v="3"/>
    <s v="Jeans"/>
    <x v="108"/>
    <d v="2023-01-08T00:00:00"/>
    <d v="2023-02-03T00:00:00"/>
    <n v="28"/>
    <n v="2"/>
    <n v="5"/>
    <n v="629.17999999999995"/>
    <n v="3145.9"/>
    <n v="0.06"/>
    <n v="188.75"/>
    <n v="2957.15"/>
    <n v="2233.59"/>
    <n v="723.56"/>
  </r>
  <r>
    <n v="101237"/>
    <n v="3383"/>
    <x v="2"/>
    <x v="2"/>
    <x v="1"/>
    <s v="Snacks"/>
    <x v="187"/>
    <d v="2023-08-01T00:00:00"/>
    <d v="2023-08-09T00:00:00"/>
    <n v="13"/>
    <n v="5"/>
    <n v="5"/>
    <n v="604.54"/>
    <n v="3022.7"/>
    <n v="0.14000000000000001"/>
    <n v="423.18"/>
    <n v="2599.52"/>
    <n v="1813.62"/>
    <n v="785.9"/>
  </r>
  <r>
    <n v="101238"/>
    <n v="4065"/>
    <x v="0"/>
    <x v="2"/>
    <x v="0"/>
    <s v="Sofa"/>
    <x v="74"/>
    <d v="2023-05-24T00:00:00"/>
    <d v="2023-06-11T00:00:00"/>
    <n v="19"/>
    <n v="1"/>
    <n v="11"/>
    <n v="195.73"/>
    <n v="2153.0300000000002"/>
    <n v="0.12"/>
    <n v="258.36"/>
    <n v="1894.67"/>
    <n v="1356.41"/>
    <n v="538.26"/>
  </r>
  <r>
    <n v="101239"/>
    <n v="3784"/>
    <x v="1"/>
    <x v="0"/>
    <x v="3"/>
    <s v="Jeans"/>
    <x v="47"/>
    <d v="2023-10-24T00:00:00"/>
    <d v="2023-11-12T00:00:00"/>
    <n v="24"/>
    <n v="5"/>
    <n v="13"/>
    <n v="265.12"/>
    <n v="3446.56"/>
    <n v="0.02"/>
    <n v="68.930000000000007"/>
    <n v="3377.63"/>
    <n v="2309.1999999999998"/>
    <n v="1068.43"/>
  </r>
  <r>
    <n v="101240"/>
    <n v="4477"/>
    <x v="3"/>
    <x v="0"/>
    <x v="0"/>
    <s v="Sofa"/>
    <x v="160"/>
    <d v="2023-08-25T00:00:00"/>
    <d v="2023-09-08T00:00:00"/>
    <n v="19"/>
    <n v="5"/>
    <n v="12"/>
    <n v="356.91"/>
    <n v="4282.92"/>
    <n v="0.04"/>
    <n v="171.32"/>
    <n v="4111.6000000000004"/>
    <n v="2912.39"/>
    <n v="1199.21"/>
  </r>
  <r>
    <n v="101241"/>
    <n v="3102"/>
    <x v="2"/>
    <x v="1"/>
    <x v="3"/>
    <s v="Shirt"/>
    <x v="123"/>
    <d v="2023-07-09T00:00:00"/>
    <d v="2023-07-29T00:00:00"/>
    <n v="23"/>
    <n v="3"/>
    <n v="10"/>
    <n v="745.43"/>
    <n v="7454.3"/>
    <n v="0.17"/>
    <n v="1267.23"/>
    <n v="6187.07"/>
    <n v="4248.95"/>
    <n v="1938.12"/>
  </r>
  <r>
    <n v="101242"/>
    <n v="2123"/>
    <x v="0"/>
    <x v="1"/>
    <x v="2"/>
    <s v="Headphones"/>
    <x v="68"/>
    <d v="2023-10-02T00:00:00"/>
    <d v="2023-10-28T00:00:00"/>
    <n v="28"/>
    <n v="2"/>
    <n v="11"/>
    <n v="674.74"/>
    <n v="7422.14"/>
    <n v="0.1"/>
    <n v="742.21"/>
    <n v="6679.93"/>
    <n v="4304.84"/>
    <n v="2375.09"/>
  </r>
  <r>
    <n v="101243"/>
    <n v="2353"/>
    <x v="2"/>
    <x v="0"/>
    <x v="3"/>
    <s v="Shirt"/>
    <x v="121"/>
    <d v="2023-05-06T00:00:00"/>
    <d v="2023-05-24T00:00:00"/>
    <n v="22"/>
    <n v="4"/>
    <n v="7"/>
    <n v="604.73"/>
    <n v="4233.1099999999997"/>
    <n v="0.12"/>
    <n v="507.97"/>
    <n v="3725.14"/>
    <n v="2793.85"/>
    <n v="931.29"/>
  </r>
  <r>
    <n v="101244"/>
    <n v="1382"/>
    <x v="2"/>
    <x v="0"/>
    <x v="3"/>
    <s v="Jacket"/>
    <x v="263"/>
    <d v="2023-06-27T00:00:00"/>
    <d v="2023-07-11T00:00:00"/>
    <n v="18"/>
    <n v="4"/>
    <n v="2"/>
    <n v="722.61"/>
    <n v="1445.22"/>
    <n v="0.12"/>
    <n v="173.43"/>
    <n v="1271.79"/>
    <n v="838.23"/>
    <n v="433.56"/>
  </r>
  <r>
    <n v="101245"/>
    <n v="3764"/>
    <x v="2"/>
    <x v="1"/>
    <x v="2"/>
    <s v="Tablet"/>
    <x v="231"/>
    <d v="2023-10-25T00:00:00"/>
    <d v="2023-10-24T00:00:00"/>
    <n v="3"/>
    <n v="4"/>
    <n v="7"/>
    <n v="128.31"/>
    <n v="898.17"/>
    <n v="0.08"/>
    <n v="71.849999999999994"/>
    <n v="826.32"/>
    <n v="601.77"/>
    <n v="224.55"/>
  </r>
  <r>
    <n v="101246"/>
    <n v="3511"/>
    <x v="3"/>
    <x v="2"/>
    <x v="3"/>
    <s v="Shirt"/>
    <x v="87"/>
    <d v="2023-12-06T00:00:00"/>
    <d v="2023-12-19T00:00:00"/>
    <n v="17"/>
    <n v="4"/>
    <n v="8"/>
    <n v="83.25"/>
    <n v="666"/>
    <n v="0.12"/>
    <n v="79.92"/>
    <n v="586.08000000000004"/>
    <n v="392.94"/>
    <n v="193.14"/>
  </r>
  <r>
    <n v="101247"/>
    <n v="3233"/>
    <x v="1"/>
    <x v="1"/>
    <x v="3"/>
    <s v="Jacket"/>
    <x v="27"/>
    <d v="2023-04-24T00:00:00"/>
    <d v="2023-05-20T00:00:00"/>
    <n v="27"/>
    <n v="1"/>
    <n v="3"/>
    <n v="539.55999999999995"/>
    <n v="1618.68"/>
    <n v="0"/>
    <n v="0"/>
    <n v="1618.68"/>
    <n v="1084.52"/>
    <n v="534.16"/>
  </r>
  <r>
    <n v="101248"/>
    <n v="3825"/>
    <x v="1"/>
    <x v="1"/>
    <x v="3"/>
    <s v="Jacket"/>
    <x v="15"/>
    <d v="2023-01-02T00:00:00"/>
    <d v="2023-01-10T00:00:00"/>
    <n v="9"/>
    <n v="1"/>
    <n v="12"/>
    <n v="268.39999999999998"/>
    <n v="3220.8"/>
    <n v="0.04"/>
    <n v="128.83000000000001"/>
    <n v="3091.97"/>
    <n v="2061.31"/>
    <n v="1030.6600000000001"/>
  </r>
  <r>
    <n v="101249"/>
    <n v="4193"/>
    <x v="1"/>
    <x v="0"/>
    <x v="0"/>
    <s v="Cookware"/>
    <x v="145"/>
    <d v="2023-09-18T00:00:00"/>
    <d v="2023-09-20T00:00:00"/>
    <n v="7"/>
    <n v="5"/>
    <n v="8"/>
    <n v="440.38"/>
    <n v="3523.04"/>
    <n v="7.0000000000000007E-2"/>
    <n v="246.61"/>
    <n v="3276.43"/>
    <n v="2289.98"/>
    <n v="986.45"/>
  </r>
  <r>
    <n v="101250"/>
    <n v="3895"/>
    <x v="2"/>
    <x v="0"/>
    <x v="2"/>
    <s v="Headphones"/>
    <x v="107"/>
    <d v="2023-01-20T00:00:00"/>
    <d v="2023-02-08T00:00:00"/>
    <n v="21"/>
    <n v="2"/>
    <n v="3"/>
    <n v="153.66"/>
    <n v="460.98"/>
    <n v="0.15"/>
    <n v="69.150000000000006"/>
    <n v="391.83"/>
    <n v="295.02999999999997"/>
    <n v="96.8"/>
  </r>
  <r>
    <n v="101251"/>
    <n v="4714"/>
    <x v="0"/>
    <x v="2"/>
    <x v="0"/>
    <s v="Lamp"/>
    <x v="50"/>
    <d v="2023-09-06T00:00:00"/>
    <d v="2023-09-25T00:00:00"/>
    <n v="20"/>
    <n v="1"/>
    <n v="9"/>
    <n v="679.64"/>
    <n v="6116.76"/>
    <n v="0.11"/>
    <n v="672.84"/>
    <n v="5443.92"/>
    <n v="3486.55"/>
    <n v="1957.37"/>
  </r>
  <r>
    <n v="101252"/>
    <n v="4263"/>
    <x v="1"/>
    <x v="2"/>
    <x v="3"/>
    <s v="Shoes"/>
    <x v="90"/>
    <d v="2023-06-17T00:00:00"/>
    <d v="2023-07-15T00:00:00"/>
    <n v="29"/>
    <n v="1"/>
    <n v="10"/>
    <n v="518.04"/>
    <n v="5180.3999999999996"/>
    <n v="0.06"/>
    <n v="310.82"/>
    <n v="4869.58"/>
    <n v="3211.85"/>
    <n v="1657.73"/>
  </r>
  <r>
    <n v="101253"/>
    <n v="4313"/>
    <x v="1"/>
    <x v="0"/>
    <x v="3"/>
    <s v="Jacket"/>
    <x v="212"/>
    <d v="2023-01-17T00:00:00"/>
    <d v="2023-02-03T00:00:00"/>
    <n v="18"/>
    <n v="1"/>
    <n v="3"/>
    <n v="409.73"/>
    <n v="1229.19"/>
    <n v="0.08"/>
    <n v="98.34"/>
    <n v="1130.8499999999999"/>
    <n v="700.64"/>
    <n v="430.21"/>
  </r>
  <r>
    <n v="101254"/>
    <n v="3028"/>
    <x v="0"/>
    <x v="2"/>
    <x v="0"/>
    <s v="Lamp"/>
    <x v="6"/>
    <d v="2023-12-20T00:00:00"/>
    <d v="2024-01-01T00:00:00"/>
    <n v="17"/>
    <n v="5"/>
    <n v="7"/>
    <n v="43.75"/>
    <n v="306.25"/>
    <n v="0.04"/>
    <n v="12.25"/>
    <n v="294"/>
    <n v="199.06"/>
    <n v="94.94"/>
  </r>
  <r>
    <n v="101255"/>
    <n v="2280"/>
    <x v="0"/>
    <x v="1"/>
    <x v="3"/>
    <s v="Jacket"/>
    <x v="251"/>
    <d v="2023-01-29T00:00:00"/>
    <d v="2023-02-12T00:00:00"/>
    <n v="16"/>
    <n v="2"/>
    <n v="10"/>
    <n v="103.12"/>
    <n v="1031.2"/>
    <n v="0.12"/>
    <n v="123.74"/>
    <n v="907.46"/>
    <n v="618.72"/>
    <n v="288.74"/>
  </r>
  <r>
    <n v="101256"/>
    <n v="4606"/>
    <x v="1"/>
    <x v="1"/>
    <x v="0"/>
    <s v="Lamp"/>
    <x v="192"/>
    <d v="2023-10-06T00:00:00"/>
    <d v="2023-10-04T00:00:00"/>
    <n v="2"/>
    <n v="4"/>
    <n v="11"/>
    <n v="558.46"/>
    <n v="6143.06"/>
    <n v="0.06"/>
    <n v="368.58"/>
    <n v="5774.48"/>
    <n v="3685.84"/>
    <n v="2088.64"/>
  </r>
  <r>
    <n v="101257"/>
    <n v="4457"/>
    <x v="3"/>
    <x v="1"/>
    <x v="1"/>
    <s v="Snacks"/>
    <x v="51"/>
    <d v="2023-08-18T00:00:00"/>
    <d v="2023-08-26T00:00:00"/>
    <n v="13"/>
    <n v="5"/>
    <n v="7"/>
    <n v="231.77"/>
    <n v="1622.39"/>
    <n v="0.06"/>
    <n v="97.34"/>
    <n v="1525.05"/>
    <n v="989.66"/>
    <n v="535.39"/>
  </r>
  <r>
    <n v="101258"/>
    <n v="3746"/>
    <x v="3"/>
    <x v="2"/>
    <x v="0"/>
    <s v="Sofa"/>
    <x v="318"/>
    <d v="2023-09-20T00:00:00"/>
    <d v="2023-10-08T00:00:00"/>
    <n v="19"/>
    <n v="1"/>
    <n v="9"/>
    <n v="246.41"/>
    <n v="2217.69"/>
    <n v="0.03"/>
    <n v="66.53"/>
    <n v="2151.16"/>
    <n v="1153.2"/>
    <n v="997.96"/>
  </r>
  <r>
    <n v="101259"/>
    <n v="2118"/>
    <x v="0"/>
    <x v="2"/>
    <x v="3"/>
    <s v="Jacket"/>
    <x v="187"/>
    <d v="2023-07-28T00:00:00"/>
    <d v="2023-08-22T00:00:00"/>
    <n v="26"/>
    <n v="1"/>
    <n v="14"/>
    <n v="366.38"/>
    <n v="5129.32"/>
    <n v="0.06"/>
    <n v="307.76"/>
    <n v="4821.5600000000004"/>
    <n v="2975.01"/>
    <n v="1846.55"/>
  </r>
  <r>
    <n v="200000"/>
    <n v="1992"/>
    <x v="2"/>
    <x v="1"/>
    <x v="2"/>
    <s v="Phone"/>
    <x v="352"/>
    <d v="2024-05-31T00:00:00"/>
    <d v="2024-05-31T00:00:00"/>
    <n v="5"/>
    <n v="5"/>
    <n v="1"/>
    <n v="482.09"/>
    <n v="482.09"/>
    <n v="0.14000000000000001"/>
    <n v="67.489999999999995"/>
    <n v="414.6"/>
    <n v="303.72000000000003"/>
    <n v="110.88"/>
  </r>
  <r>
    <n v="200001"/>
    <n v="3246"/>
    <x v="3"/>
    <x v="1"/>
    <x v="1"/>
    <s v="Rice"/>
    <x v="353"/>
    <d v="2024-10-14T00:00:00"/>
    <d v="2024-11-12T00:00:00"/>
    <n v="30"/>
    <n v="1"/>
    <n v="7"/>
    <n v="497.52"/>
    <n v="3482.64"/>
    <n v="0.14000000000000001"/>
    <n v="487.57"/>
    <n v="2995.07"/>
    <n v="2194.06"/>
    <n v="801.01"/>
  </r>
  <r>
    <n v="200002"/>
    <n v="2245"/>
    <x v="2"/>
    <x v="1"/>
    <x v="2"/>
    <s v="Laptop"/>
    <x v="354"/>
    <d v="2024-02-02T00:00:00"/>
    <d v="2024-02-13T00:00:00"/>
    <n v="16"/>
    <n v="5"/>
    <n v="3"/>
    <n v="329.54"/>
    <n v="988.62"/>
    <n v="0.06"/>
    <n v="59.32"/>
    <n v="929.3"/>
    <n v="603.05999999999995"/>
    <n v="326.24"/>
  </r>
  <r>
    <n v="200003"/>
    <n v="1637"/>
    <x v="0"/>
    <x v="0"/>
    <x v="2"/>
    <s v="Headphones"/>
    <x v="355"/>
    <d v="2024-11-17T00:00:00"/>
    <d v="2024-11-26T00:00:00"/>
    <n v="10"/>
    <n v="1"/>
    <n v="7"/>
    <n v="791.39"/>
    <n v="5539.73"/>
    <n v="7.0000000000000007E-2"/>
    <n v="387.78"/>
    <n v="5151.95"/>
    <n v="3213.04"/>
    <n v="1938.91"/>
  </r>
  <r>
    <n v="200004"/>
    <n v="2707"/>
    <x v="3"/>
    <x v="2"/>
    <x v="2"/>
    <s v="Phone"/>
    <x v="354"/>
    <d v="2024-02-01T00:00:00"/>
    <d v="2024-01-30T00:00:00"/>
    <n v="2"/>
    <n v="4"/>
    <n v="7"/>
    <n v="318.72000000000003"/>
    <n v="2231.04"/>
    <n v="0.09"/>
    <n v="200.79"/>
    <n v="2030.25"/>
    <n v="1494.8"/>
    <n v="535.45000000000005"/>
  </r>
  <r>
    <n v="200005"/>
    <n v="3297"/>
    <x v="2"/>
    <x v="0"/>
    <x v="0"/>
    <s v="Lamp"/>
    <x v="356"/>
    <d v="2024-05-22T00:00:00"/>
    <d v="2024-06-06T00:00:00"/>
    <n v="16"/>
    <n v="1"/>
    <n v="14"/>
    <n v="86.18"/>
    <n v="1206.52"/>
    <n v="0.15"/>
    <n v="180.98"/>
    <n v="1025.54"/>
    <n v="663.59"/>
    <n v="361.95"/>
  </r>
  <r>
    <n v="200006"/>
    <n v="3425"/>
    <x v="0"/>
    <x v="0"/>
    <x v="3"/>
    <s v="Shoes"/>
    <x v="357"/>
    <d v="2024-04-28T00:00:00"/>
    <d v="2024-05-17T00:00:00"/>
    <n v="21"/>
    <n v="2"/>
    <n v="3"/>
    <n v="81.239999999999995"/>
    <n v="243.72"/>
    <n v="7.0000000000000007E-2"/>
    <n v="17.059999999999999"/>
    <n v="226.66"/>
    <n v="168.17"/>
    <n v="58.49"/>
  </r>
  <r>
    <n v="200007"/>
    <n v="1149"/>
    <x v="2"/>
    <x v="2"/>
    <x v="3"/>
    <s v="Shoes"/>
    <x v="358"/>
    <d v="2024-11-24T00:00:00"/>
    <d v="2024-11-25T00:00:00"/>
    <n v="6"/>
    <n v="5"/>
    <n v="3"/>
    <n v="546.41999999999996"/>
    <n v="1639.26"/>
    <n v="0.11"/>
    <n v="180.32"/>
    <n v="1458.94"/>
    <n v="1114.7"/>
    <n v="344.24"/>
  </r>
  <r>
    <n v="200008"/>
    <n v="2670"/>
    <x v="0"/>
    <x v="2"/>
    <x v="1"/>
    <s v="Snacks"/>
    <x v="359"/>
    <d v="2024-09-12T00:00:00"/>
    <d v="2024-09-19T00:00:00"/>
    <n v="10"/>
    <n v="3"/>
    <n v="2"/>
    <n v="573.80999999999995"/>
    <n v="1147.6199999999999"/>
    <n v="7.0000000000000007E-2"/>
    <n v="80.33"/>
    <n v="1067.29"/>
    <n v="562.33000000000004"/>
    <n v="504.96"/>
  </r>
  <r>
    <n v="200009"/>
    <n v="1695"/>
    <x v="3"/>
    <x v="0"/>
    <x v="3"/>
    <s v="Jeans"/>
    <x v="360"/>
    <d v="2024-05-03T00:00:00"/>
    <d v="2024-05-17T00:00:00"/>
    <n v="17"/>
    <n v="3"/>
    <n v="13"/>
    <n v="72.5"/>
    <n v="942.5"/>
    <n v="0.06"/>
    <n v="56.55"/>
    <n v="885.95"/>
    <n v="678.6"/>
    <n v="207.35"/>
  </r>
  <r>
    <n v="200010"/>
    <n v="1583"/>
    <x v="2"/>
    <x v="0"/>
    <x v="3"/>
    <s v="Jacket"/>
    <x v="361"/>
    <d v="2024-02-26T00:00:00"/>
    <d v="2024-03-12T00:00:00"/>
    <n v="18"/>
    <n v="3"/>
    <n v="6"/>
    <n v="160.15"/>
    <n v="960.9"/>
    <n v="0.04"/>
    <n v="38.44"/>
    <n v="922.46"/>
    <n v="605.37"/>
    <n v="317.08999999999997"/>
  </r>
  <r>
    <n v="200011"/>
    <n v="1438"/>
    <x v="1"/>
    <x v="2"/>
    <x v="3"/>
    <s v="Jacket"/>
    <x v="362"/>
    <d v="2024-09-05T00:00:00"/>
    <d v="2024-09-23T00:00:00"/>
    <n v="20"/>
    <n v="2"/>
    <n v="5"/>
    <n v="189.28"/>
    <n v="946.4"/>
    <n v="0.05"/>
    <n v="47.32"/>
    <n v="899.08"/>
    <n v="615.16"/>
    <n v="283.92"/>
  </r>
  <r>
    <n v="200012"/>
    <n v="3995"/>
    <x v="0"/>
    <x v="0"/>
    <x v="1"/>
    <s v="Beverage"/>
    <x v="363"/>
    <d v="2024-09-20T00:00:00"/>
    <d v="2024-09-23T00:00:00"/>
    <n v="8"/>
    <n v="5"/>
    <n v="11"/>
    <n v="31.86"/>
    <n v="350.46"/>
    <n v="0.09"/>
    <n v="31.54"/>
    <n v="318.92"/>
    <n v="220.79"/>
    <n v="98.13"/>
  </r>
  <r>
    <n v="200013"/>
    <n v="4084"/>
    <x v="1"/>
    <x v="2"/>
    <x v="1"/>
    <s v="Rice"/>
    <x v="364"/>
    <d v="2024-02-13T00:00:00"/>
    <d v="2024-02-17T00:00:00"/>
    <n v="5"/>
    <n v="1"/>
    <n v="8"/>
    <n v="596.39"/>
    <n v="4771.12"/>
    <n v="0.08"/>
    <n v="381.69"/>
    <n v="4389.43"/>
    <n v="3339.78"/>
    <n v="1049.6500000000001"/>
  </r>
  <r>
    <n v="200014"/>
    <n v="1870"/>
    <x v="1"/>
    <x v="1"/>
    <x v="0"/>
    <s v="Cookware"/>
    <x v="364"/>
    <d v="2024-02-15T00:00:00"/>
    <d v="2024-02-26T00:00:00"/>
    <n v="14"/>
    <n v="3"/>
    <n v="3"/>
    <n v="380.52"/>
    <n v="1141.56"/>
    <n v="0.01"/>
    <n v="11.42"/>
    <n v="1130.1400000000001"/>
    <n v="764.85"/>
    <n v="365.29"/>
  </r>
  <r>
    <n v="200015"/>
    <n v="1197"/>
    <x v="1"/>
    <x v="1"/>
    <x v="3"/>
    <s v="Shirt"/>
    <x v="365"/>
    <d v="2024-03-17T00:00:00"/>
    <d v="2024-03-22T00:00:00"/>
    <n v="9"/>
    <n v="4"/>
    <n v="10"/>
    <n v="719.65"/>
    <n v="7196.5"/>
    <n v="0.15"/>
    <n v="1079.47"/>
    <n v="6117.02"/>
    <n v="4677.7299999999996"/>
    <n v="1439.29"/>
  </r>
  <r>
    <n v="200016"/>
    <n v="4121"/>
    <x v="3"/>
    <x v="0"/>
    <x v="1"/>
    <s v="Pasta"/>
    <x v="366"/>
    <d v="2024-05-06T00:00:00"/>
    <d v="2024-05-26T00:00:00"/>
    <n v="25"/>
    <n v="5"/>
    <n v="4"/>
    <n v="238.6"/>
    <n v="954.4"/>
    <n v="0.17"/>
    <n v="162.25"/>
    <n v="792.15"/>
    <n v="601.27"/>
    <n v="190.88"/>
  </r>
  <r>
    <n v="200017"/>
    <n v="2056"/>
    <x v="0"/>
    <x v="0"/>
    <x v="2"/>
    <s v="Headphones"/>
    <x v="367"/>
    <d v="2024-03-26T00:00:00"/>
    <d v="2024-03-29T00:00:00"/>
    <n v="8"/>
    <n v="5"/>
    <n v="3"/>
    <n v="183.45"/>
    <n v="550.35"/>
    <n v="0.14000000000000001"/>
    <n v="77.05"/>
    <n v="473.3"/>
    <n v="385.24"/>
    <n v="88.06"/>
  </r>
  <r>
    <n v="200018"/>
    <n v="4075"/>
    <x v="3"/>
    <x v="2"/>
    <x v="3"/>
    <s v="Shoes"/>
    <x v="368"/>
    <d v="2024-07-03T00:00:00"/>
    <d v="2024-07-26T00:00:00"/>
    <n v="24"/>
    <n v="1"/>
    <n v="10"/>
    <n v="306.41000000000003"/>
    <n v="3064.1"/>
    <n v="0.09"/>
    <n v="275.77"/>
    <n v="2788.33"/>
    <n v="2175.5100000000002"/>
    <n v="612.82000000000005"/>
  </r>
  <r>
    <n v="200019"/>
    <n v="3501"/>
    <x v="0"/>
    <x v="1"/>
    <x v="1"/>
    <s v="Beverage"/>
    <x v="369"/>
    <d v="2024-04-21T00:00:00"/>
    <d v="2024-05-19T00:00:00"/>
    <n v="29"/>
    <n v="1"/>
    <n v="5"/>
    <n v="613.32000000000005"/>
    <n v="3066.6"/>
    <n v="7.0000000000000007E-2"/>
    <n v="214.66"/>
    <n v="2851.94"/>
    <n v="1809.29"/>
    <n v="1042.6500000000001"/>
  </r>
  <r>
    <n v="200020"/>
    <n v="4084"/>
    <x v="2"/>
    <x v="2"/>
    <x v="2"/>
    <s v="Tablet"/>
    <x v="370"/>
    <d v="2024-09-16T00:00:00"/>
    <d v="2024-10-13T00:00:00"/>
    <n v="29"/>
    <n v="2"/>
    <n v="3"/>
    <n v="497.21"/>
    <n v="1491.63"/>
    <n v="0.19"/>
    <n v="283.41000000000003"/>
    <n v="1208.22"/>
    <n v="954.64"/>
    <n v="253.58"/>
  </r>
  <r>
    <n v="200021"/>
    <n v="1685"/>
    <x v="0"/>
    <x v="1"/>
    <x v="1"/>
    <s v="Rice"/>
    <x v="371"/>
    <d v="2024-08-16T00:00:00"/>
    <d v="2024-09-03T00:00:00"/>
    <n v="23"/>
    <n v="5"/>
    <n v="4"/>
    <n v="389.46"/>
    <n v="1557.84"/>
    <n v="0.08"/>
    <n v="124.63"/>
    <n v="1433.21"/>
    <n v="1090.49"/>
    <n v="342.72"/>
  </r>
  <r>
    <n v="200022"/>
    <n v="3134"/>
    <x v="0"/>
    <x v="2"/>
    <x v="2"/>
    <s v="Tablet"/>
    <x v="372"/>
    <d v="2024-09-23T00:00:00"/>
    <d v="2024-10-07T00:00:00"/>
    <n v="17"/>
    <n v="3"/>
    <n v="3"/>
    <n v="148.43"/>
    <n v="445.29"/>
    <n v="0.17"/>
    <n v="75.7"/>
    <n v="369.59"/>
    <n v="298.33999999999997"/>
    <n v="71.25"/>
  </r>
  <r>
    <n v="200023"/>
    <n v="3166"/>
    <x v="3"/>
    <x v="2"/>
    <x v="0"/>
    <s v="Lamp"/>
    <x v="373"/>
    <d v="2024-08-24T00:00:00"/>
    <d v="2024-09-05T00:00:00"/>
    <n v="15"/>
    <n v="3"/>
    <n v="2"/>
    <n v="176.97"/>
    <n v="353.94"/>
    <n v="0.02"/>
    <n v="7.08"/>
    <n v="346.86"/>
    <n v="226.52"/>
    <n v="120.34"/>
  </r>
  <r>
    <n v="200024"/>
    <n v="4675"/>
    <x v="3"/>
    <x v="2"/>
    <x v="1"/>
    <s v="Snacks"/>
    <x v="374"/>
    <d v="2024-03-20T00:00:00"/>
    <d v="2024-04-15T00:00:00"/>
    <n v="27"/>
    <n v="1"/>
    <n v="8"/>
    <n v="244.11"/>
    <n v="1952.88"/>
    <n v="0.11"/>
    <n v="214.82"/>
    <n v="1738.06"/>
    <n v="1288.9000000000001"/>
    <n v="449.16"/>
  </r>
  <r>
    <n v="200025"/>
    <n v="4781"/>
    <x v="2"/>
    <x v="0"/>
    <x v="3"/>
    <s v="Jeans"/>
    <x v="375"/>
    <d v="2024-10-30T00:00:00"/>
    <d v="2024-11-09T00:00:00"/>
    <n v="15"/>
    <n v="5"/>
    <n v="6"/>
    <n v="678.56"/>
    <n v="4071.36"/>
    <n v="0.06"/>
    <n v="244.28"/>
    <n v="3827.08"/>
    <n v="2646.38"/>
    <n v="1180.7"/>
  </r>
  <r>
    <n v="200026"/>
    <n v="1632"/>
    <x v="3"/>
    <x v="1"/>
    <x v="3"/>
    <s v="Jeans"/>
    <x v="376"/>
    <d v="2024-05-29T00:00:00"/>
    <d v="2024-06-05T00:00:00"/>
    <n v="8"/>
    <n v="1"/>
    <n v="7"/>
    <n v="284.58"/>
    <n v="1992.06"/>
    <n v="0.09"/>
    <n v="179.29"/>
    <n v="1812.77"/>
    <n v="1434.28"/>
    <n v="378.49"/>
  </r>
  <r>
    <n v="200027"/>
    <n v="1617"/>
    <x v="1"/>
    <x v="2"/>
    <x v="2"/>
    <s v="Tablet"/>
    <x v="377"/>
    <d v="2024-04-19T00:00:00"/>
    <d v="2024-05-10T00:00:00"/>
    <n v="24"/>
    <n v="3"/>
    <n v="2"/>
    <n v="471.25"/>
    <n v="942.5"/>
    <n v="7.0000000000000007E-2"/>
    <n v="65.98"/>
    <n v="876.52"/>
    <n v="640.9"/>
    <n v="235.62"/>
  </r>
  <r>
    <n v="200028"/>
    <n v="4056"/>
    <x v="2"/>
    <x v="2"/>
    <x v="0"/>
    <s v="Table"/>
    <x v="378"/>
    <d v="2024-02-02T00:00:00"/>
    <d v="2024-02-17T00:00:00"/>
    <n v="18"/>
    <n v="3"/>
    <n v="11"/>
    <n v="620.71"/>
    <n v="6827.81"/>
    <n v="0.04"/>
    <n v="273.11"/>
    <n v="6554.7"/>
    <n v="4574.63"/>
    <n v="1980.07"/>
  </r>
  <r>
    <n v="200029"/>
    <n v="1256"/>
    <x v="0"/>
    <x v="1"/>
    <x v="1"/>
    <s v="Beverage"/>
    <x v="379"/>
    <d v="2024-11-15T00:00:00"/>
    <d v="2024-12-06T00:00:00"/>
    <n v="22"/>
    <n v="1"/>
    <n v="2"/>
    <n v="751.29"/>
    <n v="1502.58"/>
    <n v="0.11"/>
    <n v="165.28"/>
    <n v="1337.3"/>
    <n v="841.44"/>
    <n v="495.86"/>
  </r>
  <r>
    <n v="200030"/>
    <n v="1230"/>
    <x v="2"/>
    <x v="2"/>
    <x v="3"/>
    <s v="Shoes"/>
    <x v="360"/>
    <d v="2024-05-04T00:00:00"/>
    <d v="2024-05-22T00:00:00"/>
    <n v="22"/>
    <n v="4"/>
    <n v="3"/>
    <n v="447.89"/>
    <n v="1343.67"/>
    <n v="0.02"/>
    <n v="26.87"/>
    <n v="1316.8"/>
    <n v="873.39"/>
    <n v="443.41"/>
  </r>
  <r>
    <n v="200031"/>
    <n v="4358"/>
    <x v="0"/>
    <x v="2"/>
    <x v="1"/>
    <s v="Pasta"/>
    <x v="380"/>
    <d v="2024-11-18T00:00:00"/>
    <d v="2024-12-09T00:00:00"/>
    <n v="24"/>
    <n v="3"/>
    <n v="1"/>
    <n v="465"/>
    <n v="465"/>
    <n v="7.0000000000000007E-2"/>
    <n v="32.549999999999997"/>
    <n v="432.45"/>
    <n v="246.45"/>
    <n v="186"/>
  </r>
  <r>
    <n v="200032"/>
    <n v="1073"/>
    <x v="1"/>
    <x v="1"/>
    <x v="1"/>
    <s v="Pasta"/>
    <x v="381"/>
    <d v="2024-11-30T00:00:00"/>
    <d v="2024-12-23T00:00:00"/>
    <n v="27"/>
    <n v="4"/>
    <n v="3"/>
    <n v="89.81"/>
    <n v="269.43"/>
    <n v="0.22"/>
    <n v="59.27"/>
    <n v="210.16"/>
    <n v="167.05"/>
    <n v="43.11"/>
  </r>
  <r>
    <n v="200033"/>
    <n v="2148"/>
    <x v="0"/>
    <x v="2"/>
    <x v="3"/>
    <s v="Jeans"/>
    <x v="382"/>
    <d v="2025-01-03T00:00:00"/>
    <d v="2025-01-07T00:00:00"/>
    <n v="7"/>
    <n v="3"/>
    <n v="2"/>
    <n v="549.49"/>
    <n v="1098.98"/>
    <n v="0.11"/>
    <n v="120.89"/>
    <n v="978.09"/>
    <n v="824.24"/>
    <n v="153.85"/>
  </r>
  <r>
    <n v="200034"/>
    <n v="3959"/>
    <x v="0"/>
    <x v="1"/>
    <x v="2"/>
    <s v="Headphones"/>
    <x v="382"/>
    <d v="2025-01-02T00:00:00"/>
    <d v="2025-01-25T00:00:00"/>
    <n v="25"/>
    <n v="2"/>
    <n v="7"/>
    <n v="67.78"/>
    <n v="474.46"/>
    <n v="7.0000000000000007E-2"/>
    <n v="33.21"/>
    <n v="441.25"/>
    <n v="298.91000000000003"/>
    <n v="142.34"/>
  </r>
  <r>
    <n v="200035"/>
    <n v="4506"/>
    <x v="2"/>
    <x v="2"/>
    <x v="3"/>
    <s v="Jacket"/>
    <x v="383"/>
    <d v="2024-11-13T00:00:00"/>
    <d v="2024-11-28T00:00:00"/>
    <n v="17"/>
    <n v="2"/>
    <n v="3"/>
    <n v="657.08"/>
    <n v="1971.24"/>
    <n v="0.01"/>
    <n v="19.71"/>
    <n v="1951.53"/>
    <n v="1222.17"/>
    <n v="729.36"/>
  </r>
  <r>
    <n v="200036"/>
    <n v="4355"/>
    <x v="3"/>
    <x v="2"/>
    <x v="1"/>
    <s v="Rice"/>
    <x v="384"/>
    <d v="2024-09-11T00:00:00"/>
    <d v="2024-09-23T00:00:00"/>
    <n v="15"/>
    <n v="3"/>
    <n v="12"/>
    <n v="789.32"/>
    <n v="9471.84"/>
    <n v="0.09"/>
    <n v="852.47"/>
    <n v="8619.3700000000008"/>
    <n v="6156.7"/>
    <n v="2462.67"/>
  </r>
  <r>
    <n v="200037"/>
    <n v="2604"/>
    <x v="1"/>
    <x v="1"/>
    <x v="0"/>
    <s v="Lamp"/>
    <x v="385"/>
    <d v="2024-10-28T00:00:00"/>
    <d v="2024-10-29T00:00:00"/>
    <n v="6"/>
    <n v="5"/>
    <n v="2"/>
    <n v="450.27"/>
    <n v="900.54"/>
    <n v="0.11"/>
    <n v="99.06"/>
    <n v="801.48"/>
    <n v="486.29"/>
    <n v="315.19"/>
  </r>
  <r>
    <n v="200038"/>
    <n v="1471"/>
    <x v="0"/>
    <x v="2"/>
    <x v="1"/>
    <s v="Pasta"/>
    <x v="386"/>
    <d v="2024-11-08T00:00:00"/>
    <d v="2024-11-13T00:00:00"/>
    <n v="7"/>
    <n v="2"/>
    <n v="11"/>
    <n v="228.96"/>
    <n v="2518.56"/>
    <n v="0.1"/>
    <n v="251.86"/>
    <n v="2266.6999999999998"/>
    <n v="1410.39"/>
    <n v="856.31"/>
  </r>
  <r>
    <n v="200039"/>
    <n v="2967"/>
    <x v="3"/>
    <x v="1"/>
    <x v="1"/>
    <s v="Snacks"/>
    <x v="387"/>
    <d v="2024-12-21T00:00:00"/>
    <d v="2024-12-31T00:00:00"/>
    <n v="14"/>
    <n v="4"/>
    <n v="3"/>
    <n v="620.82000000000005"/>
    <n v="1862.46"/>
    <n v="0.11"/>
    <n v="204.87"/>
    <n v="1657.59"/>
    <n v="1154.73"/>
    <n v="502.86"/>
  </r>
  <r>
    <n v="200040"/>
    <n v="2263"/>
    <x v="3"/>
    <x v="2"/>
    <x v="2"/>
    <s v="Phone"/>
    <x v="352"/>
    <d v="2024-05-28T00:00:00"/>
    <d v="2024-06-14T00:00:00"/>
    <n v="19"/>
    <n v="2"/>
    <n v="7"/>
    <n v="84.14"/>
    <n v="588.98"/>
    <n v="0.08"/>
    <n v="47.12"/>
    <n v="541.86"/>
    <n v="365.17"/>
    <n v="176.69"/>
  </r>
  <r>
    <n v="200041"/>
    <n v="2709"/>
    <x v="0"/>
    <x v="2"/>
    <x v="2"/>
    <s v="Headphones"/>
    <x v="388"/>
    <d v="2024-02-14T00:00:00"/>
    <d v="2024-03-14T00:00:00"/>
    <n v="30"/>
    <n v="1"/>
    <n v="7"/>
    <n v="643.65"/>
    <n v="4505.55"/>
    <n v="0.13"/>
    <n v="585.72"/>
    <n v="3919.83"/>
    <n v="2748.39"/>
    <n v="1171.44"/>
  </r>
  <r>
    <n v="200042"/>
    <n v="2511"/>
    <x v="1"/>
    <x v="1"/>
    <x v="0"/>
    <s v="Table"/>
    <x v="389"/>
    <d v="2024-03-13T00:00:00"/>
    <d v="2024-03-14T00:00:00"/>
    <n v="2"/>
    <n v="1"/>
    <n v="13"/>
    <n v="441.38"/>
    <n v="5737.94"/>
    <n v="0.11"/>
    <n v="631.16999999999996"/>
    <n v="5106.7700000000004"/>
    <n v="3672.28"/>
    <n v="1434.49"/>
  </r>
  <r>
    <n v="200043"/>
    <n v="1881"/>
    <x v="1"/>
    <x v="1"/>
    <x v="3"/>
    <s v="Shoes"/>
    <x v="390"/>
    <d v="2024-09-19T00:00:00"/>
    <d v="2024-09-22T00:00:00"/>
    <n v="6"/>
    <n v="3"/>
    <n v="2"/>
    <n v="197.8"/>
    <n v="395.6"/>
    <n v="0.13"/>
    <n v="51.43"/>
    <n v="344.17"/>
    <n v="280.88"/>
    <n v="63.29"/>
  </r>
  <r>
    <n v="200044"/>
    <n v="2053"/>
    <x v="1"/>
    <x v="2"/>
    <x v="2"/>
    <s v="Phone"/>
    <x v="391"/>
    <d v="2024-06-21T00:00:00"/>
    <d v="2024-07-13T00:00:00"/>
    <n v="23"/>
    <n v="1"/>
    <n v="1"/>
    <n v="361.51"/>
    <n v="361.51"/>
    <n v="0.1"/>
    <n v="36.15"/>
    <n v="325.36"/>
    <n v="220.52"/>
    <n v="104.84"/>
  </r>
  <r>
    <n v="200045"/>
    <n v="3056"/>
    <x v="3"/>
    <x v="2"/>
    <x v="2"/>
    <s v="Laptop"/>
    <x v="392"/>
    <d v="2024-10-16T00:00:00"/>
    <d v="2024-11-10T00:00:00"/>
    <n v="27"/>
    <n v="2"/>
    <n v="5"/>
    <n v="563.41"/>
    <n v="2817.05"/>
    <n v="0.11"/>
    <n v="309.88"/>
    <n v="2507.17"/>
    <n v="1915.59"/>
    <n v="591.58000000000004"/>
  </r>
  <r>
    <n v="200046"/>
    <n v="2469"/>
    <x v="0"/>
    <x v="2"/>
    <x v="1"/>
    <s v="Snacks"/>
    <x v="393"/>
    <d v="2024-05-26T00:00:00"/>
    <d v="2024-05-27T00:00:00"/>
    <n v="4"/>
    <n v="3"/>
    <n v="1"/>
    <n v="599.16"/>
    <n v="599.16"/>
    <n v="7.0000000000000007E-2"/>
    <n v="41.94"/>
    <n v="557.22"/>
    <n v="401.44"/>
    <n v="155.78"/>
  </r>
  <r>
    <n v="200047"/>
    <n v="3912"/>
    <x v="3"/>
    <x v="0"/>
    <x v="2"/>
    <s v="Headphones"/>
    <x v="394"/>
    <d v="2024-10-16T00:00:00"/>
    <d v="2024-11-07T00:00:00"/>
    <n v="26"/>
    <n v="4"/>
    <n v="7"/>
    <n v="650.74"/>
    <n v="4555.18"/>
    <n v="0.08"/>
    <n v="364.41"/>
    <n v="4190.7700000000004"/>
    <n v="2824.21"/>
    <n v="1366.56"/>
  </r>
  <r>
    <n v="200048"/>
    <n v="2021"/>
    <x v="0"/>
    <x v="2"/>
    <x v="2"/>
    <s v="Headphones"/>
    <x v="395"/>
    <d v="2024-12-19T00:00:00"/>
    <d v="2024-12-30T00:00:00"/>
    <n v="12"/>
    <n v="1"/>
    <n v="14"/>
    <n v="272.33999999999997"/>
    <n v="3812.76"/>
    <n v="0.1"/>
    <n v="381.28"/>
    <n v="3431.48"/>
    <n v="2668.93"/>
    <n v="762.55"/>
  </r>
  <r>
    <n v="200049"/>
    <n v="3113"/>
    <x v="1"/>
    <x v="1"/>
    <x v="3"/>
    <s v="Jacket"/>
    <x v="364"/>
    <d v="2024-02-13T00:00:00"/>
    <d v="2024-03-07T00:00:00"/>
    <n v="24"/>
    <n v="1"/>
    <n v="13"/>
    <n v="244.02"/>
    <n v="3172.26"/>
    <n v="0.09"/>
    <n v="285.5"/>
    <n v="2886.76"/>
    <n v="2030.25"/>
    <n v="856.51"/>
  </r>
  <r>
    <n v="200050"/>
    <n v="4425"/>
    <x v="1"/>
    <x v="2"/>
    <x v="2"/>
    <s v="Phone"/>
    <x v="396"/>
    <d v="2024-05-11T00:00:00"/>
    <d v="2024-05-29T00:00:00"/>
    <n v="22"/>
    <n v="4"/>
    <n v="1"/>
    <n v="542.73"/>
    <n v="542.73"/>
    <n v="0.08"/>
    <n v="43.42"/>
    <n v="499.31"/>
    <n v="358.2"/>
    <n v="141.11000000000001"/>
  </r>
  <r>
    <n v="200051"/>
    <n v="1585"/>
    <x v="0"/>
    <x v="0"/>
    <x v="1"/>
    <s v="Rice"/>
    <x v="397"/>
    <d v="2024-01-11T00:00:00"/>
    <d v="2024-02-05T00:00:00"/>
    <n v="27"/>
    <n v="2"/>
    <n v="7"/>
    <n v="227.35"/>
    <n v="1591.45"/>
    <n v="0.08"/>
    <n v="127.32"/>
    <n v="1464.13"/>
    <n v="1129.93"/>
    <n v="334.2"/>
  </r>
  <r>
    <n v="200052"/>
    <n v="3092"/>
    <x v="0"/>
    <x v="1"/>
    <x v="3"/>
    <s v="Shirt"/>
    <x v="398"/>
    <d v="2024-12-12T00:00:00"/>
    <d v="2025-01-08T00:00:00"/>
    <n v="30"/>
    <n v="3"/>
    <n v="7"/>
    <n v="272.57"/>
    <n v="1907.99"/>
    <n v="0.08"/>
    <n v="152.63999999999999"/>
    <n v="1755.35"/>
    <n v="1163.8699999999999"/>
    <n v="591.48"/>
  </r>
  <r>
    <n v="200053"/>
    <n v="4357"/>
    <x v="1"/>
    <x v="2"/>
    <x v="0"/>
    <s v="Table"/>
    <x v="399"/>
    <d v="2024-07-16T00:00:00"/>
    <d v="2024-08-04T00:00:00"/>
    <n v="20"/>
    <n v="1"/>
    <n v="11"/>
    <n v="332.01"/>
    <n v="3652.11"/>
    <n v="0.1"/>
    <n v="365.21"/>
    <n v="3286.9"/>
    <n v="2264.31"/>
    <n v="1022.59"/>
  </r>
  <r>
    <n v="200054"/>
    <n v="1537"/>
    <x v="2"/>
    <x v="2"/>
    <x v="1"/>
    <s v="Rice"/>
    <x v="358"/>
    <d v="2024-11-23T00:00:00"/>
    <d v="2024-11-29T00:00:00"/>
    <n v="10"/>
    <n v="4"/>
    <n v="5"/>
    <n v="463.81"/>
    <n v="2319.0500000000002"/>
    <n v="0.04"/>
    <n v="92.76"/>
    <n v="2226.29"/>
    <n v="1298.67"/>
    <n v="927.62"/>
  </r>
  <r>
    <n v="200055"/>
    <n v="1831"/>
    <x v="3"/>
    <x v="1"/>
    <x v="2"/>
    <s v="Laptop"/>
    <x v="375"/>
    <d v="2024-10-26T00:00:00"/>
    <d v="2024-11-12T00:00:00"/>
    <n v="18"/>
    <n v="1"/>
    <n v="2"/>
    <n v="698.18"/>
    <n v="1396.36"/>
    <n v="0.1"/>
    <n v="139.63999999999999"/>
    <n v="1256.72"/>
    <n v="865.74"/>
    <n v="390.98"/>
  </r>
  <r>
    <n v="200056"/>
    <n v="2990"/>
    <x v="1"/>
    <x v="1"/>
    <x v="0"/>
    <s v="Cookware"/>
    <x v="400"/>
    <d v="2024-08-24T00:00:00"/>
    <d v="2024-09-08T00:00:00"/>
    <n v="19"/>
    <n v="4"/>
    <n v="11"/>
    <n v="89.73"/>
    <n v="987.03"/>
    <n v="0.17"/>
    <n v="167.8"/>
    <n v="819.23"/>
    <n v="730.4"/>
    <n v="88.83"/>
  </r>
  <r>
    <n v="200057"/>
    <n v="2276"/>
    <x v="3"/>
    <x v="0"/>
    <x v="2"/>
    <s v="Laptop"/>
    <x v="401"/>
    <d v="2024-10-09T00:00:00"/>
    <d v="2024-10-26T00:00:00"/>
    <n v="22"/>
    <n v="5"/>
    <n v="2"/>
    <n v="501.41"/>
    <n v="1002.82"/>
    <n v="0.21"/>
    <n v="210.59"/>
    <n v="792.23"/>
    <n v="651.83000000000004"/>
    <n v="140.4"/>
  </r>
  <r>
    <n v="200058"/>
    <n v="1660"/>
    <x v="0"/>
    <x v="2"/>
    <x v="1"/>
    <s v="Snacks"/>
    <x v="402"/>
    <d v="2024-02-29T00:00:00"/>
    <d v="2024-03-21T00:00:00"/>
    <n v="24"/>
    <n v="3"/>
    <n v="4"/>
    <n v="119.88"/>
    <n v="479.52"/>
    <n v="0.08"/>
    <n v="38.36"/>
    <n v="441.16"/>
    <n v="263.74"/>
    <n v="177.42"/>
  </r>
  <r>
    <n v="200059"/>
    <n v="3417"/>
    <x v="1"/>
    <x v="1"/>
    <x v="1"/>
    <s v="Snacks"/>
    <x v="403"/>
    <d v="2024-12-12T00:00:00"/>
    <d v="2024-12-24T00:00:00"/>
    <n v="17"/>
    <n v="5"/>
    <n v="9"/>
    <n v="551.23"/>
    <n v="4961.07"/>
    <n v="7.0000000000000007E-2"/>
    <n v="347.27"/>
    <n v="4613.8"/>
    <n v="3423.14"/>
    <n v="1190.6600000000001"/>
  </r>
  <r>
    <n v="200060"/>
    <n v="2998"/>
    <x v="2"/>
    <x v="1"/>
    <x v="3"/>
    <s v="Jacket"/>
    <x v="369"/>
    <d v="2024-04-23T00:00:00"/>
    <d v="2024-05-15T00:00:00"/>
    <n v="25"/>
    <n v="3"/>
    <n v="12"/>
    <n v="554.33000000000004"/>
    <n v="6651.96"/>
    <n v="0.13"/>
    <n v="864.75"/>
    <n v="5787.21"/>
    <n v="4789.41"/>
    <n v="997.8"/>
  </r>
  <r>
    <n v="200061"/>
    <n v="2829"/>
    <x v="1"/>
    <x v="0"/>
    <x v="0"/>
    <s v="Table"/>
    <x v="404"/>
    <d v="2024-03-02T00:00:00"/>
    <d v="2024-03-24T00:00:00"/>
    <n v="25"/>
    <n v="3"/>
    <n v="11"/>
    <n v="702.56"/>
    <n v="7728.16"/>
    <n v="0.15"/>
    <n v="1159.22"/>
    <n v="6568.94"/>
    <n v="5486.99"/>
    <n v="1081.95"/>
  </r>
  <r>
    <n v="200062"/>
    <n v="2186"/>
    <x v="0"/>
    <x v="0"/>
    <x v="0"/>
    <s v="Lamp"/>
    <x v="405"/>
    <d v="2024-05-19T00:00:00"/>
    <d v="2024-06-01T00:00:00"/>
    <n v="15"/>
    <n v="2"/>
    <n v="6"/>
    <n v="576.07000000000005"/>
    <n v="3456.42"/>
    <n v="0.08"/>
    <n v="276.51"/>
    <n v="3179.91"/>
    <n v="2177.54"/>
    <n v="1002.37"/>
  </r>
  <r>
    <n v="200063"/>
    <n v="1536"/>
    <x v="3"/>
    <x v="1"/>
    <x v="3"/>
    <s v="Shirt"/>
    <x v="389"/>
    <d v="2024-03-17T00:00:00"/>
    <d v="2024-03-21T00:00:00"/>
    <n v="9"/>
    <n v="5"/>
    <n v="3"/>
    <n v="509.86"/>
    <n v="1529.58"/>
    <n v="7.0000000000000007E-2"/>
    <n v="107.07"/>
    <n v="1422.51"/>
    <n v="933.04"/>
    <n v="489.47"/>
  </r>
  <r>
    <n v="200064"/>
    <n v="4917"/>
    <x v="1"/>
    <x v="1"/>
    <x v="0"/>
    <s v="Sofa"/>
    <x v="406"/>
    <d v="2024-03-15T00:00:00"/>
    <d v="2024-03-27T00:00:00"/>
    <n v="16"/>
    <n v="4"/>
    <n v="2"/>
    <n v="662.03"/>
    <n v="1324.06"/>
    <n v="0.1"/>
    <n v="132.41"/>
    <n v="1191.6500000000001"/>
    <n v="913.6"/>
    <n v="278.05"/>
  </r>
  <r>
    <n v="200065"/>
    <n v="2704"/>
    <x v="2"/>
    <x v="0"/>
    <x v="1"/>
    <s v="Pasta"/>
    <x v="407"/>
    <d v="2024-08-11T00:00:00"/>
    <d v="2024-09-06T00:00:00"/>
    <n v="27"/>
    <n v="1"/>
    <n v="13"/>
    <n v="683.28"/>
    <n v="8882.64"/>
    <n v="0.11"/>
    <n v="977.09"/>
    <n v="7905.55"/>
    <n v="5773.72"/>
    <n v="2131.83"/>
  </r>
  <r>
    <n v="200066"/>
    <n v="1213"/>
    <x v="3"/>
    <x v="0"/>
    <x v="2"/>
    <s v="Phone"/>
    <x v="408"/>
    <d v="2024-09-22T00:00:00"/>
    <d v="2024-10-07T00:00:00"/>
    <n v="16"/>
    <n v="1"/>
    <n v="6"/>
    <n v="136.1"/>
    <n v="816.6"/>
    <n v="7.0000000000000007E-2"/>
    <n v="57.16"/>
    <n v="759.44"/>
    <n v="489.96"/>
    <n v="269.48"/>
  </r>
  <r>
    <n v="200067"/>
    <n v="1895"/>
    <x v="1"/>
    <x v="1"/>
    <x v="3"/>
    <s v="Shirt"/>
    <x v="390"/>
    <d v="2024-09-18T00:00:00"/>
    <d v="2024-09-25T00:00:00"/>
    <n v="9"/>
    <n v="2"/>
    <n v="9"/>
    <n v="644.84"/>
    <n v="5803.56"/>
    <n v="0.03"/>
    <n v="174.11"/>
    <n v="5629.45"/>
    <n v="3946.42"/>
    <n v="1683.03"/>
  </r>
  <r>
    <n v="200068"/>
    <n v="4940"/>
    <x v="1"/>
    <x v="0"/>
    <x v="0"/>
    <s v="Table"/>
    <x v="409"/>
    <d v="2024-02-18T00:00:00"/>
    <d v="2024-03-09T00:00:00"/>
    <n v="22"/>
    <n v="2"/>
    <n v="5"/>
    <n v="626.94000000000005"/>
    <n v="3134.7"/>
    <n v="0.06"/>
    <n v="188.08"/>
    <n v="2946.62"/>
    <n v="2162.94"/>
    <n v="783.68"/>
  </r>
  <r>
    <n v="200069"/>
    <n v="2326"/>
    <x v="3"/>
    <x v="2"/>
    <x v="1"/>
    <s v="Snacks"/>
    <x v="410"/>
    <d v="2024-06-14T00:00:00"/>
    <d v="2024-06-29T00:00:00"/>
    <n v="16"/>
    <n v="1"/>
    <n v="5"/>
    <n v="83.25"/>
    <n v="416.25"/>
    <n v="0.13"/>
    <n v="54.11"/>
    <n v="362.14"/>
    <n v="299.7"/>
    <n v="62.44"/>
  </r>
  <r>
    <n v="200070"/>
    <n v="3885"/>
    <x v="3"/>
    <x v="2"/>
    <x v="1"/>
    <s v="Pasta"/>
    <x v="362"/>
    <d v="2024-09-04T00:00:00"/>
    <d v="2024-09-16T00:00:00"/>
    <n v="13"/>
    <n v="1"/>
    <n v="11"/>
    <n v="481.78"/>
    <n v="5299.58"/>
    <n v="0.01"/>
    <n v="53"/>
    <n v="5246.58"/>
    <n v="3338.74"/>
    <n v="1907.84"/>
  </r>
  <r>
    <n v="200071"/>
    <n v="4020"/>
    <x v="2"/>
    <x v="2"/>
    <x v="0"/>
    <s v="Sofa"/>
    <x v="377"/>
    <d v="2024-04-17T00:00:00"/>
    <d v="2024-05-06T00:00:00"/>
    <n v="20"/>
    <n v="1"/>
    <n v="6"/>
    <n v="757.35"/>
    <n v="4544.1000000000004"/>
    <n v="0.1"/>
    <n v="454.41"/>
    <n v="4089.69"/>
    <n v="2908.22"/>
    <n v="1181.47"/>
  </r>
  <r>
    <n v="200072"/>
    <n v="1822"/>
    <x v="1"/>
    <x v="2"/>
    <x v="0"/>
    <s v="Lamp"/>
    <x v="411"/>
    <d v="2024-11-28T00:00:00"/>
    <d v="2024-11-29T00:00:00"/>
    <n v="2"/>
    <n v="1"/>
    <n v="14"/>
    <n v="449.41"/>
    <n v="6291.74"/>
    <n v="0.13"/>
    <n v="817.93"/>
    <n v="5473.81"/>
    <n v="3586.29"/>
    <n v="1887.52"/>
  </r>
  <r>
    <n v="200073"/>
    <n v="2026"/>
    <x v="2"/>
    <x v="1"/>
    <x v="1"/>
    <s v="Pasta"/>
    <x v="398"/>
    <d v="2024-12-12T00:00:00"/>
    <d v="2024-12-25T00:00:00"/>
    <n v="16"/>
    <n v="3"/>
    <n v="2"/>
    <n v="257.89999999999998"/>
    <n v="515.79999999999995"/>
    <n v="0.2"/>
    <n v="103.16"/>
    <n v="412.64"/>
    <n v="304.32"/>
    <n v="108.32"/>
  </r>
  <r>
    <n v="200074"/>
    <n v="4095"/>
    <x v="2"/>
    <x v="0"/>
    <x v="0"/>
    <s v="Sofa"/>
    <x v="374"/>
    <d v="2024-03-21T00:00:00"/>
    <d v="2024-04-04T00:00:00"/>
    <n v="16"/>
    <n v="2"/>
    <n v="3"/>
    <n v="188.22"/>
    <n v="564.66"/>
    <n v="0.08"/>
    <n v="45.17"/>
    <n v="519.49"/>
    <n v="338.8"/>
    <n v="180.69"/>
  </r>
  <r>
    <n v="200075"/>
    <n v="1377"/>
    <x v="0"/>
    <x v="1"/>
    <x v="0"/>
    <s v="Table"/>
    <x v="412"/>
    <d v="2024-02-12T00:00:00"/>
    <d v="2024-03-09T00:00:00"/>
    <n v="28"/>
    <n v="2"/>
    <n v="2"/>
    <n v="789.11"/>
    <n v="1578.22"/>
    <n v="0.05"/>
    <n v="78.91"/>
    <n v="1499.31"/>
    <n v="946.93"/>
    <n v="552.38"/>
  </r>
  <r>
    <n v="200076"/>
    <n v="4861"/>
    <x v="3"/>
    <x v="2"/>
    <x v="2"/>
    <s v="Laptop"/>
    <x v="366"/>
    <d v="2024-05-02T00:00:00"/>
    <d v="2024-05-27T00:00:00"/>
    <n v="26"/>
    <n v="1"/>
    <n v="4"/>
    <n v="542.85"/>
    <n v="2171.4"/>
    <n v="0.19"/>
    <n v="412.57"/>
    <n v="1758.83"/>
    <n v="1302.8399999999999"/>
    <n v="455.99"/>
  </r>
  <r>
    <n v="200077"/>
    <n v="4841"/>
    <x v="3"/>
    <x v="2"/>
    <x v="3"/>
    <s v="Jacket"/>
    <x v="413"/>
    <d v="2024-07-11T00:00:00"/>
    <d v="2024-07-18T00:00:00"/>
    <n v="8"/>
    <n v="1"/>
    <n v="14"/>
    <n v="687.03"/>
    <n v="9618.42"/>
    <n v="0.01"/>
    <n v="96.18"/>
    <n v="9522.24"/>
    <n v="7021.45"/>
    <n v="2500.79"/>
  </r>
  <r>
    <n v="200078"/>
    <n v="2444"/>
    <x v="2"/>
    <x v="2"/>
    <x v="0"/>
    <s v="Cookware"/>
    <x v="400"/>
    <d v="2024-08-24T00:00:00"/>
    <d v="2024-09-03T00:00:00"/>
    <n v="14"/>
    <n v="4"/>
    <n v="10"/>
    <n v="588.79"/>
    <n v="5887.9"/>
    <n v="0.12"/>
    <n v="706.55"/>
    <n v="5181.3500000000004"/>
    <n v="4180.41"/>
    <n v="1000.94"/>
  </r>
  <r>
    <n v="200079"/>
    <n v="2113"/>
    <x v="0"/>
    <x v="2"/>
    <x v="1"/>
    <s v="Snacks"/>
    <x v="414"/>
    <d v="2024-02-12T00:00:00"/>
    <d v="2024-02-09T00:00:00"/>
    <n v="2"/>
    <n v="5"/>
    <n v="12"/>
    <n v="124.42"/>
    <n v="1493.04"/>
    <n v="7.0000000000000007E-2"/>
    <n v="104.51"/>
    <n v="1388.53"/>
    <n v="880.89"/>
    <n v="507.64"/>
  </r>
  <r>
    <n v="200080"/>
    <n v="1250"/>
    <x v="1"/>
    <x v="1"/>
    <x v="0"/>
    <s v="Sofa"/>
    <x v="393"/>
    <d v="2024-05-24T00:00:00"/>
    <d v="2024-06-06T00:00:00"/>
    <n v="14"/>
    <n v="1"/>
    <n v="3"/>
    <n v="132.82"/>
    <n v="398.46"/>
    <n v="0.1"/>
    <n v="39.85"/>
    <n v="358.61"/>
    <n v="294.86"/>
    <n v="63.75"/>
  </r>
  <r>
    <n v="200081"/>
    <n v="2086"/>
    <x v="0"/>
    <x v="2"/>
    <x v="0"/>
    <s v="Table"/>
    <x v="415"/>
    <d v="2024-04-19T00:00:00"/>
    <d v="2024-05-15T00:00:00"/>
    <n v="30"/>
    <n v="4"/>
    <n v="7"/>
    <n v="30.49"/>
    <n v="213.43"/>
    <n v="0.16"/>
    <n v="34.15"/>
    <n v="179.28"/>
    <n v="145.13"/>
    <n v="34.15"/>
  </r>
  <r>
    <n v="200082"/>
    <n v="1506"/>
    <x v="1"/>
    <x v="0"/>
    <x v="1"/>
    <s v="Pasta"/>
    <x v="416"/>
    <d v="2024-03-02T00:00:00"/>
    <d v="2024-03-23T00:00:00"/>
    <n v="22"/>
    <n v="1"/>
    <n v="1"/>
    <n v="471.76"/>
    <n v="471.76"/>
    <n v="0.08"/>
    <n v="37.74"/>
    <n v="434.02"/>
    <n v="306.64"/>
    <n v="127.38"/>
  </r>
  <r>
    <n v="200083"/>
    <n v="2420"/>
    <x v="2"/>
    <x v="0"/>
    <x v="0"/>
    <s v="Lamp"/>
    <x v="398"/>
    <d v="2024-12-11T00:00:00"/>
    <d v="2024-12-20T00:00:00"/>
    <n v="11"/>
    <n v="2"/>
    <n v="13"/>
    <n v="239.65"/>
    <n v="3115.45"/>
    <n v="0.16"/>
    <n v="498.47"/>
    <n v="2616.98"/>
    <n v="2243.12"/>
    <n v="373.86"/>
  </r>
  <r>
    <n v="200084"/>
    <n v="3768"/>
    <x v="3"/>
    <x v="1"/>
    <x v="3"/>
    <s v="Jacket"/>
    <x v="417"/>
    <d v="2024-12-14T00:00:00"/>
    <d v="2025-01-06T00:00:00"/>
    <n v="25"/>
    <n v="2"/>
    <n v="9"/>
    <n v="358.97"/>
    <n v="3230.73"/>
    <n v="0.13"/>
    <n v="419.99"/>
    <n v="2810.74"/>
    <n v="2196.9"/>
    <n v="613.84"/>
  </r>
  <r>
    <n v="200085"/>
    <n v="4870"/>
    <x v="0"/>
    <x v="2"/>
    <x v="3"/>
    <s v="Shoes"/>
    <x v="418"/>
    <d v="2024-06-23T00:00:00"/>
    <d v="2024-06-30T00:00:00"/>
    <n v="8"/>
    <n v="1"/>
    <n v="10"/>
    <n v="601.61"/>
    <n v="6016.1"/>
    <n v="0.15"/>
    <n v="902.42"/>
    <n v="5113.6899999999996"/>
    <n v="3850.3"/>
    <n v="1263.3900000000001"/>
  </r>
  <r>
    <n v="200086"/>
    <n v="4366"/>
    <x v="1"/>
    <x v="2"/>
    <x v="3"/>
    <s v="Shirt"/>
    <x v="419"/>
    <d v="2024-03-07T00:00:00"/>
    <d v="2024-03-31T00:00:00"/>
    <n v="26"/>
    <n v="2"/>
    <n v="13"/>
    <n v="374.15"/>
    <n v="4863.95"/>
    <n v="0.05"/>
    <n v="243.2"/>
    <n v="4620.75"/>
    <n v="2967.01"/>
    <n v="1653.74"/>
  </r>
  <r>
    <n v="200087"/>
    <n v="2689"/>
    <x v="3"/>
    <x v="2"/>
    <x v="2"/>
    <s v="Phone"/>
    <x v="387"/>
    <d v="2024-12-22T00:00:00"/>
    <d v="2025-01-13T00:00:00"/>
    <n v="27"/>
    <n v="5"/>
    <n v="14"/>
    <n v="192.47"/>
    <n v="2694.58"/>
    <n v="0.15"/>
    <n v="404.19"/>
    <n v="2290.39"/>
    <n v="1508.96"/>
    <n v="781.43"/>
  </r>
  <r>
    <n v="200088"/>
    <n v="2655"/>
    <x v="0"/>
    <x v="1"/>
    <x v="0"/>
    <s v="Lamp"/>
    <x v="420"/>
    <d v="2024-11-18T00:00:00"/>
    <d v="2024-12-09T00:00:00"/>
    <n v="26"/>
    <n v="5"/>
    <n v="11"/>
    <n v="155.22"/>
    <n v="1707.42"/>
    <n v="0.1"/>
    <n v="170.74"/>
    <n v="1536.68"/>
    <n v="1126.9000000000001"/>
    <n v="409.78"/>
  </r>
  <r>
    <n v="200089"/>
    <n v="3666"/>
    <x v="1"/>
    <x v="1"/>
    <x v="3"/>
    <s v="Shoes"/>
    <x v="421"/>
    <d v="2024-02-29T00:00:00"/>
    <d v="2024-03-06T00:00:00"/>
    <n v="8"/>
    <n v="2"/>
    <n v="6"/>
    <n v="678.61"/>
    <n v="4071.66"/>
    <n v="7.0000000000000007E-2"/>
    <n v="285.02"/>
    <n v="3786.64"/>
    <n v="2483.71"/>
    <n v="1302.93"/>
  </r>
  <r>
    <n v="200090"/>
    <n v="3775"/>
    <x v="0"/>
    <x v="1"/>
    <x v="3"/>
    <s v="Shirt"/>
    <x v="422"/>
    <d v="2024-02-15T00:00:00"/>
    <d v="2024-02-27T00:00:00"/>
    <n v="16"/>
    <n v="4"/>
    <n v="5"/>
    <n v="576.23"/>
    <n v="2881.15"/>
    <n v="0.15"/>
    <n v="432.17"/>
    <n v="2448.98"/>
    <n v="1728.69"/>
    <n v="720.29"/>
  </r>
  <r>
    <n v="200091"/>
    <n v="3098"/>
    <x v="3"/>
    <x v="1"/>
    <x v="3"/>
    <s v="Shirt"/>
    <x v="423"/>
    <d v="2024-12-31T00:00:00"/>
    <d v="2025-01-02T00:00:00"/>
    <n v="5"/>
    <n v="3"/>
    <n v="9"/>
    <n v="245.17"/>
    <n v="2206.5300000000002"/>
    <n v="0.1"/>
    <n v="220.65"/>
    <n v="1985.88"/>
    <n v="1169.46"/>
    <n v="816.42"/>
  </r>
  <r>
    <n v="200092"/>
    <n v="2382"/>
    <x v="3"/>
    <x v="0"/>
    <x v="1"/>
    <s v="Pasta"/>
    <x v="356"/>
    <d v="2024-05-22T00:00:00"/>
    <d v="2024-05-30T00:00:00"/>
    <n v="9"/>
    <n v="1"/>
    <n v="3"/>
    <n v="775.88"/>
    <n v="2327.64"/>
    <n v="0.15"/>
    <n v="349.15"/>
    <n v="1978.49"/>
    <n v="1373.31"/>
    <n v="605.17999999999995"/>
  </r>
  <r>
    <n v="200093"/>
    <n v="3702"/>
    <x v="0"/>
    <x v="2"/>
    <x v="1"/>
    <s v="Snacks"/>
    <x v="424"/>
    <d v="2024-03-03T00:00:00"/>
    <d v="2024-03-23T00:00:00"/>
    <n v="23"/>
    <n v="3"/>
    <n v="13"/>
    <n v="380.74"/>
    <n v="4949.62"/>
    <n v="0.15"/>
    <n v="742.44"/>
    <n v="4207.18"/>
    <n v="3118.26"/>
    <n v="1088.92"/>
  </r>
  <r>
    <n v="200094"/>
    <n v="4571"/>
    <x v="1"/>
    <x v="0"/>
    <x v="1"/>
    <s v="Beverage"/>
    <x v="425"/>
    <d v="2024-04-20T00:00:00"/>
    <d v="2024-05-02T00:00:00"/>
    <n v="13"/>
    <n v="1"/>
    <n v="2"/>
    <n v="508.81"/>
    <n v="1017.62"/>
    <n v="0.14000000000000001"/>
    <n v="142.47"/>
    <n v="875.15"/>
    <n v="671.63"/>
    <n v="203.52"/>
  </r>
  <r>
    <n v="200095"/>
    <n v="4613"/>
    <x v="1"/>
    <x v="1"/>
    <x v="0"/>
    <s v="Table"/>
    <x v="426"/>
    <d v="2024-01-06T00:00:00"/>
    <d v="2024-01-26T00:00:00"/>
    <n v="25"/>
    <n v="5"/>
    <n v="6"/>
    <n v="715.75"/>
    <n v="4294.5"/>
    <n v="0.13"/>
    <n v="558.28"/>
    <n v="3736.22"/>
    <n v="3177.93"/>
    <n v="558.29"/>
  </r>
  <r>
    <n v="200096"/>
    <n v="4958"/>
    <x v="0"/>
    <x v="2"/>
    <x v="3"/>
    <s v="Jacket"/>
    <x v="427"/>
    <d v="2024-12-30T00:00:00"/>
    <d v="2025-01-12T00:00:00"/>
    <n v="14"/>
    <n v="1"/>
    <n v="5"/>
    <n v="77.010000000000005"/>
    <n v="385.05"/>
    <n v="0.06"/>
    <n v="23.1"/>
    <n v="361.95"/>
    <n v="238.73"/>
    <n v="123.22"/>
  </r>
  <r>
    <n v="200097"/>
    <n v="2795"/>
    <x v="2"/>
    <x v="1"/>
    <x v="1"/>
    <s v="Rice"/>
    <x v="428"/>
    <d v="2024-06-15T00:00:00"/>
    <d v="2024-07-02T00:00:00"/>
    <n v="18"/>
    <n v="1"/>
    <n v="1"/>
    <n v="144.9"/>
    <n v="144.9"/>
    <n v="0.15"/>
    <n v="21.74"/>
    <n v="123.16"/>
    <n v="94.18"/>
    <n v="28.98"/>
  </r>
  <r>
    <n v="200098"/>
    <n v="1715"/>
    <x v="2"/>
    <x v="1"/>
    <x v="0"/>
    <s v="Table"/>
    <x v="429"/>
    <d v="2024-07-16T00:00:00"/>
    <d v="2024-07-31T00:00:00"/>
    <n v="19"/>
    <n v="4"/>
    <n v="11"/>
    <n v="525.38"/>
    <n v="5779.18"/>
    <n v="0.12"/>
    <n v="693.5"/>
    <n v="5085.68"/>
    <n v="3929.84"/>
    <n v="1155.8399999999999"/>
  </r>
  <r>
    <n v="200099"/>
    <n v="2691"/>
    <x v="3"/>
    <x v="1"/>
    <x v="3"/>
    <s v="Jacket"/>
    <x v="430"/>
    <d v="2024-06-12T00:00:00"/>
    <d v="2024-06-15T00:00:00"/>
    <n v="5"/>
    <n v="2"/>
    <n v="3"/>
    <n v="607.03"/>
    <n v="1821.09"/>
    <n v="0.1"/>
    <n v="182.11"/>
    <n v="1638.98"/>
    <n v="1165.5"/>
    <n v="473.48"/>
  </r>
  <r>
    <n v="200100"/>
    <n v="1038"/>
    <x v="2"/>
    <x v="1"/>
    <x v="3"/>
    <s v="Shirt"/>
    <x v="431"/>
    <d v="2024-01-21T00:00:00"/>
    <d v="2024-02-04T00:00:00"/>
    <n v="17"/>
    <n v="3"/>
    <n v="11"/>
    <n v="769.78"/>
    <n v="8467.58"/>
    <n v="0.1"/>
    <n v="846.76"/>
    <n v="7620.82"/>
    <n v="4995.87"/>
    <n v="2624.95"/>
  </r>
  <r>
    <n v="200101"/>
    <n v="4832"/>
    <x v="0"/>
    <x v="0"/>
    <x v="0"/>
    <s v="Sofa"/>
    <x v="385"/>
    <d v="2024-10-28T00:00:00"/>
    <d v="2024-11-18T00:00:00"/>
    <n v="26"/>
    <n v="5"/>
    <n v="14"/>
    <n v="214.38"/>
    <n v="3001.32"/>
    <n v="0.17"/>
    <n v="510.22"/>
    <n v="2491.1"/>
    <n v="2190.96"/>
    <n v="300.14"/>
  </r>
  <r>
    <n v="200102"/>
    <n v="2470"/>
    <x v="0"/>
    <x v="0"/>
    <x v="2"/>
    <s v="Phone"/>
    <x v="432"/>
    <d v="2024-03-11T00:00:00"/>
    <d v="2024-04-02T00:00:00"/>
    <n v="23"/>
    <n v="1"/>
    <n v="7"/>
    <n v="173.39"/>
    <n v="1213.73"/>
    <n v="7.0000000000000007E-2"/>
    <n v="84.96"/>
    <n v="1128.77"/>
    <n v="776.79"/>
    <n v="351.98"/>
  </r>
  <r>
    <n v="200103"/>
    <n v="2316"/>
    <x v="2"/>
    <x v="1"/>
    <x v="1"/>
    <s v="Snacks"/>
    <x v="433"/>
    <d v="2024-01-12T00:00:00"/>
    <d v="2024-01-30T00:00:00"/>
    <n v="23"/>
    <n v="5"/>
    <n v="1"/>
    <n v="771.58"/>
    <n v="771.58"/>
    <n v="0.06"/>
    <n v="46.29"/>
    <n v="725.29"/>
    <n v="478.38"/>
    <n v="246.91"/>
  </r>
  <r>
    <n v="200104"/>
    <n v="4573"/>
    <x v="3"/>
    <x v="2"/>
    <x v="3"/>
    <s v="Jeans"/>
    <x v="434"/>
    <d v="2024-08-12T00:00:00"/>
    <d v="2024-09-06T00:00:00"/>
    <n v="30"/>
    <n v="5"/>
    <n v="13"/>
    <n v="340.49"/>
    <n v="4426.37"/>
    <n v="0.18"/>
    <n v="796.75"/>
    <n v="3629.62"/>
    <n v="3541.1"/>
    <n v="88.52"/>
  </r>
  <r>
    <n v="200105"/>
    <n v="2027"/>
    <x v="0"/>
    <x v="0"/>
    <x v="2"/>
    <s v="Laptop"/>
    <x v="435"/>
    <d v="2024-10-09T00:00:00"/>
    <d v="2024-10-28T00:00:00"/>
    <n v="21"/>
    <n v="2"/>
    <n v="14"/>
    <n v="89.79"/>
    <n v="1257.06"/>
    <n v="0.03"/>
    <n v="37.71"/>
    <n v="1219.3499999999999"/>
    <n v="829.66"/>
    <n v="389.69"/>
  </r>
  <r>
    <n v="200106"/>
    <n v="4636"/>
    <x v="1"/>
    <x v="0"/>
    <x v="1"/>
    <s v="Pasta"/>
    <x v="410"/>
    <d v="2024-06-16T00:00:00"/>
    <d v="2024-07-03T00:00:00"/>
    <n v="20"/>
    <n v="3"/>
    <n v="9"/>
    <n v="500.57"/>
    <n v="4505.13"/>
    <n v="0.05"/>
    <n v="225.26"/>
    <n v="4279.87"/>
    <n v="3243.69"/>
    <n v="1036.18"/>
  </r>
  <r>
    <n v="200107"/>
    <n v="3183"/>
    <x v="2"/>
    <x v="0"/>
    <x v="0"/>
    <s v="Cookware"/>
    <x v="392"/>
    <d v="2024-10-15T00:00:00"/>
    <d v="2024-11-09T00:00:00"/>
    <n v="26"/>
    <n v="1"/>
    <n v="5"/>
    <n v="115.17"/>
    <n v="575.85"/>
    <n v="0.12"/>
    <n v="69.099999999999994"/>
    <n v="506.75"/>
    <n v="333.99"/>
    <n v="172.76"/>
  </r>
  <r>
    <n v="200108"/>
    <n v="2951"/>
    <x v="2"/>
    <x v="0"/>
    <x v="0"/>
    <s v="Cookware"/>
    <x v="403"/>
    <d v="2024-12-11T00:00:00"/>
    <d v="2024-12-17T00:00:00"/>
    <n v="10"/>
    <n v="4"/>
    <n v="6"/>
    <n v="404.86"/>
    <n v="2429.16"/>
    <n v="0.14000000000000001"/>
    <n v="340.08"/>
    <n v="2089.08"/>
    <n v="1384.62"/>
    <n v="704.46"/>
  </r>
  <r>
    <n v="200109"/>
    <n v="2908"/>
    <x v="2"/>
    <x v="2"/>
    <x v="2"/>
    <s v="Tablet"/>
    <x v="436"/>
    <d v="2024-04-23T00:00:00"/>
    <d v="2024-05-13T00:00:00"/>
    <n v="25"/>
    <n v="5"/>
    <n v="11"/>
    <n v="171.24"/>
    <n v="1883.64"/>
    <n v="0.11"/>
    <n v="207.2"/>
    <n v="1676.44"/>
    <n v="1262.04"/>
    <n v="414.4"/>
  </r>
  <r>
    <n v="200110"/>
    <n v="1088"/>
    <x v="1"/>
    <x v="1"/>
    <x v="3"/>
    <s v="Shoes"/>
    <x v="437"/>
    <d v="2024-04-22T00:00:00"/>
    <d v="2024-04-27T00:00:00"/>
    <n v="6"/>
    <n v="1"/>
    <n v="8"/>
    <n v="285.49"/>
    <n v="2283.92"/>
    <n v="0.14000000000000001"/>
    <n v="319.75"/>
    <n v="1964.17"/>
    <n v="1393.19"/>
    <n v="570.98"/>
  </r>
  <r>
    <n v="200111"/>
    <n v="2524"/>
    <x v="0"/>
    <x v="1"/>
    <x v="3"/>
    <s v="Shoes"/>
    <x v="438"/>
    <d v="2024-01-15T00:00:00"/>
    <d v="2024-02-02T00:00:00"/>
    <n v="22"/>
    <n v="4"/>
    <n v="8"/>
    <n v="701.42"/>
    <n v="5611.36"/>
    <n v="0.06"/>
    <n v="336.68"/>
    <n v="5274.68"/>
    <n v="3479.04"/>
    <n v="1795.64"/>
  </r>
  <r>
    <n v="200112"/>
    <n v="2122"/>
    <x v="0"/>
    <x v="1"/>
    <x v="2"/>
    <s v="Laptop"/>
    <x v="439"/>
    <d v="2024-09-15T00:00:00"/>
    <d v="2024-09-26T00:00:00"/>
    <n v="16"/>
    <n v="5"/>
    <n v="2"/>
    <n v="168.34"/>
    <n v="336.68"/>
    <n v="0.02"/>
    <n v="6.73"/>
    <n v="329.95"/>
    <n v="218.84"/>
    <n v="111.11"/>
  </r>
  <r>
    <n v="200113"/>
    <n v="4468"/>
    <x v="3"/>
    <x v="2"/>
    <x v="1"/>
    <s v="Snacks"/>
    <x v="440"/>
    <d v="2024-05-19T00:00:00"/>
    <d v="2024-06-14T00:00:00"/>
    <n v="30"/>
    <n v="4"/>
    <n v="12"/>
    <n v="366.29"/>
    <n v="4395.4799999999996"/>
    <n v="7.0000000000000007E-2"/>
    <n v="307.68"/>
    <n v="4087.8"/>
    <n v="2813.11"/>
    <n v="1274.69"/>
  </r>
  <r>
    <n v="200114"/>
    <n v="1344"/>
    <x v="3"/>
    <x v="0"/>
    <x v="3"/>
    <s v="Shirt"/>
    <x v="441"/>
    <d v="2024-07-21T00:00:00"/>
    <d v="2024-08-13T00:00:00"/>
    <n v="25"/>
    <n v="2"/>
    <n v="11"/>
    <n v="510.02"/>
    <n v="5610.22"/>
    <n v="0.05"/>
    <n v="280.51"/>
    <n v="5329.71"/>
    <n v="4095.46"/>
    <n v="1234.25"/>
  </r>
  <r>
    <n v="200115"/>
    <n v="1548"/>
    <x v="1"/>
    <x v="0"/>
    <x v="2"/>
    <s v="Headphones"/>
    <x v="363"/>
    <d v="2024-09-16T00:00:00"/>
    <d v="2024-09-18T00:00:00"/>
    <n v="3"/>
    <n v="1"/>
    <n v="14"/>
    <n v="553.73"/>
    <n v="7752.22"/>
    <n v="0.14000000000000001"/>
    <n v="1085.31"/>
    <n v="6666.91"/>
    <n v="4961.42"/>
    <n v="1705.49"/>
  </r>
  <r>
    <n v="200116"/>
    <n v="1577"/>
    <x v="3"/>
    <x v="2"/>
    <x v="0"/>
    <s v="Cookware"/>
    <x v="442"/>
    <d v="2024-07-10T00:00:00"/>
    <d v="2024-07-23T00:00:00"/>
    <n v="17"/>
    <n v="4"/>
    <n v="9"/>
    <n v="731.94"/>
    <n v="6587.46"/>
    <n v="0.16"/>
    <n v="1053.99"/>
    <n v="5533.47"/>
    <n v="4611.22"/>
    <n v="922.25"/>
  </r>
  <r>
    <n v="200117"/>
    <n v="4918"/>
    <x v="3"/>
    <x v="1"/>
    <x v="2"/>
    <s v="Tablet"/>
    <x v="443"/>
    <d v="2024-05-17T00:00:00"/>
    <d v="2024-06-01T00:00:00"/>
    <n v="20"/>
    <n v="5"/>
    <n v="14"/>
    <n v="86.86"/>
    <n v="1216.04"/>
    <n v="0.11"/>
    <n v="133.76"/>
    <n v="1082.28"/>
    <n v="668.82"/>
    <n v="413.46"/>
  </r>
  <r>
    <n v="200118"/>
    <n v="1122"/>
    <x v="3"/>
    <x v="0"/>
    <x v="1"/>
    <s v="Snacks"/>
    <x v="444"/>
    <d v="2024-06-12T00:00:00"/>
    <d v="2024-06-12T00:00:00"/>
    <n v="4"/>
    <n v="4"/>
    <n v="11"/>
    <n v="253.96"/>
    <n v="2793.56"/>
    <n v="0.08"/>
    <n v="223.48"/>
    <n v="2570.08"/>
    <n v="1955.49"/>
    <n v="614.59"/>
  </r>
  <r>
    <n v="200119"/>
    <n v="4856"/>
    <x v="2"/>
    <x v="1"/>
    <x v="2"/>
    <s v="Headphones"/>
    <x v="428"/>
    <d v="2024-06-17T00:00:00"/>
    <d v="2024-06-25T00:00:00"/>
    <n v="11"/>
    <n v="3"/>
    <n v="4"/>
    <n v="438.6"/>
    <n v="1754.4"/>
    <n v="0.11"/>
    <n v="192.98"/>
    <n v="1561.42"/>
    <n v="1035.0999999999999"/>
    <n v="526.32000000000005"/>
  </r>
  <r>
    <n v="200120"/>
    <n v="1977"/>
    <x v="2"/>
    <x v="1"/>
    <x v="2"/>
    <s v="Phone"/>
    <x v="445"/>
    <d v="2024-05-21T00:00:00"/>
    <d v="2024-06-02T00:00:00"/>
    <n v="17"/>
    <n v="5"/>
    <n v="7"/>
    <n v="116.42"/>
    <n v="814.94"/>
    <n v="0.09"/>
    <n v="73.34"/>
    <n v="741.6"/>
    <n v="488.96"/>
    <n v="252.64"/>
  </r>
  <r>
    <n v="200121"/>
    <n v="4745"/>
    <x v="0"/>
    <x v="1"/>
    <x v="2"/>
    <s v="Tablet"/>
    <x v="438"/>
    <d v="2024-01-12T00:00:00"/>
    <d v="2024-01-18T00:00:00"/>
    <n v="7"/>
    <n v="1"/>
    <n v="3"/>
    <n v="371.23"/>
    <n v="1113.69"/>
    <n v="0.06"/>
    <n v="66.819999999999993"/>
    <n v="1046.8699999999999"/>
    <n v="567.98"/>
    <n v="478.89"/>
  </r>
  <r>
    <n v="200122"/>
    <n v="3726"/>
    <x v="0"/>
    <x v="0"/>
    <x v="1"/>
    <s v="Snacks"/>
    <x v="354"/>
    <d v="2024-01-29T00:00:00"/>
    <d v="2024-02-09T00:00:00"/>
    <n v="12"/>
    <n v="1"/>
    <n v="8"/>
    <n v="48.73"/>
    <n v="389.84"/>
    <n v="0"/>
    <n v="0"/>
    <n v="389.84"/>
    <n v="261.19"/>
    <n v="128.65"/>
  </r>
  <r>
    <n v="200123"/>
    <n v="4418"/>
    <x v="0"/>
    <x v="0"/>
    <x v="0"/>
    <s v="Table"/>
    <x v="446"/>
    <d v="2024-07-10T00:00:00"/>
    <d v="2024-07-30T00:00:00"/>
    <n v="21"/>
    <n v="1"/>
    <n v="1"/>
    <n v="248.75"/>
    <n v="248.75"/>
    <n v="0.13"/>
    <n v="32.340000000000003"/>
    <n v="216.41"/>
    <n v="179.1"/>
    <n v="37.31"/>
  </r>
  <r>
    <n v="200124"/>
    <n v="2800"/>
    <x v="0"/>
    <x v="2"/>
    <x v="0"/>
    <s v="Table"/>
    <x v="447"/>
    <d v="2024-11-03T00:00:00"/>
    <d v="2024-11-08T00:00:00"/>
    <n v="6"/>
    <n v="1"/>
    <n v="13"/>
    <n v="490.13"/>
    <n v="6371.69"/>
    <n v="0.08"/>
    <n v="509.74"/>
    <n v="5861.95"/>
    <n v="4014.16"/>
    <n v="1847.79"/>
  </r>
  <r>
    <n v="200125"/>
    <n v="2130"/>
    <x v="1"/>
    <x v="0"/>
    <x v="0"/>
    <s v="Table"/>
    <x v="448"/>
    <d v="2024-01-31T00:00:00"/>
    <d v="2024-02-18T00:00:00"/>
    <n v="23"/>
    <n v="5"/>
    <n v="4"/>
    <n v="308.95999999999998"/>
    <n v="1235.8399999999999"/>
    <n v="0.13"/>
    <n v="160.66"/>
    <n v="1075.18"/>
    <n v="790.94"/>
    <n v="284.24"/>
  </r>
  <r>
    <n v="200126"/>
    <n v="3144"/>
    <x v="1"/>
    <x v="0"/>
    <x v="1"/>
    <s v="Rice"/>
    <x v="377"/>
    <d v="2024-04-19T00:00:00"/>
    <d v="2024-04-29T00:00:00"/>
    <n v="13"/>
    <n v="3"/>
    <n v="2"/>
    <n v="591.58000000000004"/>
    <n v="1183.1600000000001"/>
    <n v="0.14000000000000001"/>
    <n v="165.64"/>
    <n v="1017.52"/>
    <n v="792.72"/>
    <n v="224.8"/>
  </r>
  <r>
    <n v="200127"/>
    <n v="4898"/>
    <x v="0"/>
    <x v="0"/>
    <x v="3"/>
    <s v="Shirt"/>
    <x v="449"/>
    <d v="2024-04-10T00:00:00"/>
    <d v="2024-04-17T00:00:00"/>
    <n v="12"/>
    <n v="5"/>
    <n v="4"/>
    <n v="591.35"/>
    <n v="2365.4"/>
    <n v="0.11"/>
    <n v="260.19"/>
    <n v="2105.21"/>
    <n v="1300.97"/>
    <n v="804.24"/>
  </r>
  <r>
    <n v="200128"/>
    <n v="2649"/>
    <x v="3"/>
    <x v="1"/>
    <x v="3"/>
    <s v="Jeans"/>
    <x v="450"/>
    <d v="2024-09-03T00:00:00"/>
    <d v="2024-09-08T00:00:00"/>
    <n v="8"/>
    <n v="3"/>
    <n v="1"/>
    <n v="698.61"/>
    <n v="698.61"/>
    <n v="0.06"/>
    <n v="41.92"/>
    <n v="656.69"/>
    <n v="447.11"/>
    <n v="209.58"/>
  </r>
  <r>
    <n v="200129"/>
    <n v="3175"/>
    <x v="0"/>
    <x v="2"/>
    <x v="3"/>
    <s v="Shirt"/>
    <x v="355"/>
    <d v="2024-11-21T00:00:00"/>
    <d v="2024-12-13T00:00:00"/>
    <n v="27"/>
    <n v="5"/>
    <n v="5"/>
    <n v="752.56"/>
    <n v="3762.8"/>
    <n v="0.08"/>
    <n v="301.02"/>
    <n v="3461.78"/>
    <n v="2558.6999999999998"/>
    <n v="903.08"/>
  </r>
  <r>
    <n v="200130"/>
    <n v="4628"/>
    <x v="0"/>
    <x v="2"/>
    <x v="3"/>
    <s v="Shoes"/>
    <x v="451"/>
    <d v="2024-09-13T00:00:00"/>
    <d v="2024-09-23T00:00:00"/>
    <n v="11"/>
    <n v="1"/>
    <n v="6"/>
    <n v="267.81"/>
    <n v="1606.86"/>
    <n v="0.05"/>
    <n v="80.34"/>
    <n v="1526.52"/>
    <n v="1012.32"/>
    <n v="514.20000000000005"/>
  </r>
  <r>
    <n v="200131"/>
    <n v="4139"/>
    <x v="3"/>
    <x v="0"/>
    <x v="2"/>
    <s v="Phone"/>
    <x v="452"/>
    <d v="2024-03-19T00:00:00"/>
    <d v="2024-04-01T00:00:00"/>
    <n v="15"/>
    <n v="2"/>
    <n v="13"/>
    <n v="605.5"/>
    <n v="7871.5"/>
    <n v="0.05"/>
    <n v="393.58"/>
    <n v="7477.92"/>
    <n v="5116.4799999999996"/>
    <n v="2361.44"/>
  </r>
  <r>
    <n v="200132"/>
    <n v="3646"/>
    <x v="2"/>
    <x v="0"/>
    <x v="2"/>
    <s v="Laptop"/>
    <x v="453"/>
    <d v="2024-02-21T00:00:00"/>
    <d v="2024-03-08T00:00:00"/>
    <n v="20"/>
    <n v="4"/>
    <n v="1"/>
    <n v="54.01"/>
    <n v="54.01"/>
    <n v="0.04"/>
    <n v="2.16"/>
    <n v="51.85"/>
    <n v="36.729999999999997"/>
    <n v="15.12"/>
  </r>
  <r>
    <n v="200133"/>
    <n v="4513"/>
    <x v="2"/>
    <x v="0"/>
    <x v="0"/>
    <s v="Cookware"/>
    <x v="454"/>
    <d v="2024-06-11T00:00:00"/>
    <d v="2024-06-18T00:00:00"/>
    <n v="11"/>
    <n v="4"/>
    <n v="9"/>
    <n v="412.09"/>
    <n v="3708.81"/>
    <n v="0.08"/>
    <n v="296.7"/>
    <n v="3412.11"/>
    <n v="2447.81"/>
    <n v="964.3"/>
  </r>
  <r>
    <n v="200134"/>
    <n v="1885"/>
    <x v="0"/>
    <x v="0"/>
    <x v="2"/>
    <s v="Tablet"/>
    <x v="455"/>
    <d v="2024-08-05T00:00:00"/>
    <d v="2024-08-31T00:00:00"/>
    <n v="28"/>
    <n v="2"/>
    <n v="13"/>
    <n v="661.75"/>
    <n v="8602.75"/>
    <n v="0"/>
    <n v="0"/>
    <n v="8602.75"/>
    <n v="5419.73"/>
    <n v="3183.02"/>
  </r>
  <r>
    <n v="200135"/>
    <n v="3051"/>
    <x v="0"/>
    <x v="1"/>
    <x v="0"/>
    <s v="Table"/>
    <x v="425"/>
    <d v="2024-04-22T00:00:00"/>
    <d v="2024-04-23T00:00:00"/>
    <n v="4"/>
    <n v="3"/>
    <n v="11"/>
    <n v="507.45"/>
    <n v="5581.95"/>
    <n v="0.09"/>
    <n v="502.38"/>
    <n v="5079.57"/>
    <n v="3125.89"/>
    <n v="1953.68"/>
  </r>
  <r>
    <n v="200136"/>
    <n v="3437"/>
    <x v="1"/>
    <x v="1"/>
    <x v="0"/>
    <s v="Cookware"/>
    <x v="456"/>
    <d v="2024-05-15T00:00:00"/>
    <d v="2024-06-05T00:00:00"/>
    <n v="25"/>
    <n v="4"/>
    <n v="14"/>
    <n v="460.43"/>
    <n v="6446.02"/>
    <n v="0.08"/>
    <n v="515.67999999999995"/>
    <n v="5930.34"/>
    <n v="4318.83"/>
    <n v="1611.51"/>
  </r>
  <r>
    <n v="200137"/>
    <n v="3017"/>
    <x v="1"/>
    <x v="2"/>
    <x v="3"/>
    <s v="Shirt"/>
    <x v="457"/>
    <d v="2024-11-10T00:00:00"/>
    <d v="2024-11-21T00:00:00"/>
    <n v="14"/>
    <n v="3"/>
    <n v="1"/>
    <n v="70.73"/>
    <n v="70.73"/>
    <n v="0.18"/>
    <n v="12.73"/>
    <n v="58"/>
    <n v="43.85"/>
    <n v="14.15"/>
  </r>
  <r>
    <n v="200138"/>
    <n v="3173"/>
    <x v="3"/>
    <x v="2"/>
    <x v="1"/>
    <s v="Pasta"/>
    <x v="432"/>
    <d v="2024-03-15T00:00:00"/>
    <d v="2024-03-27T00:00:00"/>
    <n v="17"/>
    <n v="5"/>
    <n v="1"/>
    <n v="448.3"/>
    <n v="448.3"/>
    <n v="0.18"/>
    <n v="80.69"/>
    <n v="367.61"/>
    <n v="291.39999999999998"/>
    <n v="76.209999999999994"/>
  </r>
  <r>
    <n v="200139"/>
    <n v="1929"/>
    <x v="1"/>
    <x v="1"/>
    <x v="2"/>
    <s v="Laptop"/>
    <x v="458"/>
    <d v="2024-09-27T00:00:00"/>
    <d v="2024-10-01T00:00:00"/>
    <n v="7"/>
    <n v="3"/>
    <n v="11"/>
    <n v="655.72"/>
    <n v="7212.92"/>
    <n v="0.11"/>
    <n v="793.42"/>
    <n v="6419.5"/>
    <n v="4976.91"/>
    <n v="1442.59"/>
  </r>
  <r>
    <n v="200140"/>
    <n v="2579"/>
    <x v="3"/>
    <x v="2"/>
    <x v="1"/>
    <s v="Beverage"/>
    <x v="459"/>
    <d v="2024-09-21T00:00:00"/>
    <d v="2024-10-12T00:00:00"/>
    <n v="25"/>
    <n v="4"/>
    <n v="11"/>
    <n v="132.85"/>
    <n v="1461.35"/>
    <n v="0.12"/>
    <n v="175.36"/>
    <n v="1285.99"/>
    <n v="920.65"/>
    <n v="365.34"/>
  </r>
  <r>
    <n v="200141"/>
    <n v="3731"/>
    <x v="2"/>
    <x v="1"/>
    <x v="1"/>
    <s v="Snacks"/>
    <x v="460"/>
    <d v="2024-10-13T00:00:00"/>
    <d v="2024-10-12T00:00:00"/>
    <n v="3"/>
    <n v="4"/>
    <n v="5"/>
    <n v="285.43"/>
    <n v="1427.15"/>
    <n v="0.14000000000000001"/>
    <n v="199.8"/>
    <n v="1227.3499999999999"/>
    <n v="956.19"/>
    <n v="271.16000000000003"/>
  </r>
  <r>
    <n v="200142"/>
    <n v="4388"/>
    <x v="0"/>
    <x v="0"/>
    <x v="0"/>
    <s v="Sofa"/>
    <x v="461"/>
    <d v="2024-01-18T00:00:00"/>
    <d v="2024-01-19T00:00:00"/>
    <n v="5"/>
    <n v="4"/>
    <n v="5"/>
    <n v="462.17"/>
    <n v="2310.85"/>
    <n v="0.18"/>
    <n v="415.95"/>
    <n v="1894.9"/>
    <n v="1363.4"/>
    <n v="531.5"/>
  </r>
  <r>
    <n v="200143"/>
    <n v="1745"/>
    <x v="1"/>
    <x v="1"/>
    <x v="0"/>
    <s v="Cookware"/>
    <x v="459"/>
    <d v="2024-09-19T00:00:00"/>
    <d v="2024-10-15T00:00:00"/>
    <n v="28"/>
    <n v="2"/>
    <n v="1"/>
    <n v="56.75"/>
    <n v="56.75"/>
    <n v="0.13"/>
    <n v="7.38"/>
    <n v="49.37"/>
    <n v="32.92"/>
    <n v="16.45"/>
  </r>
  <r>
    <n v="200144"/>
    <n v="4904"/>
    <x v="0"/>
    <x v="2"/>
    <x v="1"/>
    <s v="Rice"/>
    <x v="462"/>
    <d v="2024-08-23T00:00:00"/>
    <d v="2024-09-02T00:00:00"/>
    <n v="14"/>
    <n v="4"/>
    <n v="10"/>
    <n v="299.56"/>
    <n v="2995.6"/>
    <n v="0.05"/>
    <n v="149.78"/>
    <n v="2845.82"/>
    <n v="1917.18"/>
    <n v="928.64"/>
  </r>
  <r>
    <n v="200145"/>
    <n v="1985"/>
    <x v="3"/>
    <x v="0"/>
    <x v="1"/>
    <s v="Pasta"/>
    <x v="463"/>
    <d v="2024-06-22T00:00:00"/>
    <d v="2024-07-07T00:00:00"/>
    <n v="19"/>
    <n v="4"/>
    <n v="3"/>
    <n v="326.8"/>
    <n v="980.4"/>
    <n v="0.11"/>
    <n v="107.84"/>
    <n v="872.56"/>
    <n v="617.65"/>
    <n v="254.91"/>
  </r>
  <r>
    <n v="200146"/>
    <n v="4303"/>
    <x v="1"/>
    <x v="2"/>
    <x v="0"/>
    <s v="Cookware"/>
    <x v="464"/>
    <d v="2024-02-09T00:00:00"/>
    <d v="2024-02-17T00:00:00"/>
    <n v="13"/>
    <n v="5"/>
    <n v="8"/>
    <n v="539.07000000000005"/>
    <n v="4312.5600000000004"/>
    <n v="0.13"/>
    <n v="560.63"/>
    <n v="3751.93"/>
    <n v="2846.29"/>
    <n v="905.64"/>
  </r>
  <r>
    <n v="200147"/>
    <n v="4266"/>
    <x v="1"/>
    <x v="1"/>
    <x v="0"/>
    <s v="Table"/>
    <x v="363"/>
    <d v="2024-09-16T00:00:00"/>
    <d v="2024-10-01T00:00:00"/>
    <n v="16"/>
    <n v="1"/>
    <n v="2"/>
    <n v="449.61"/>
    <n v="899.22"/>
    <n v="0.03"/>
    <n v="26.98"/>
    <n v="872.24"/>
    <n v="602.48"/>
    <n v="269.76"/>
  </r>
  <r>
    <n v="200148"/>
    <n v="2520"/>
    <x v="1"/>
    <x v="2"/>
    <x v="2"/>
    <s v="Headphones"/>
    <x v="465"/>
    <d v="2024-06-05T00:00:00"/>
    <d v="2024-06-25T00:00:00"/>
    <n v="21"/>
    <n v="1"/>
    <n v="2"/>
    <n v="764.16"/>
    <n v="1528.32"/>
    <n v="0.08"/>
    <n v="122.27"/>
    <n v="1406.05"/>
    <n v="1054.54"/>
    <n v="351.51"/>
  </r>
  <r>
    <n v="200149"/>
    <n v="4269"/>
    <x v="0"/>
    <x v="1"/>
    <x v="0"/>
    <s v="Sofa"/>
    <x v="409"/>
    <d v="2024-02-17T00:00:00"/>
    <d v="2024-02-20T00:00:00"/>
    <n v="4"/>
    <n v="1"/>
    <n v="11"/>
    <n v="542.08000000000004"/>
    <n v="5962.88"/>
    <n v="0.14000000000000001"/>
    <n v="834.8"/>
    <n v="5128.08"/>
    <n v="3637.36"/>
    <n v="1490.72"/>
  </r>
  <r>
    <n v="200150"/>
    <n v="3890"/>
    <x v="0"/>
    <x v="1"/>
    <x v="0"/>
    <s v="Sofa"/>
    <x v="466"/>
    <d v="2024-09-03T00:00:00"/>
    <d v="2024-09-27T00:00:00"/>
    <n v="26"/>
    <n v="2"/>
    <n v="9"/>
    <n v="473.97"/>
    <n v="4265.7299999999996"/>
    <n v="0.14000000000000001"/>
    <n v="597.20000000000005"/>
    <n v="3668.53"/>
    <n v="2900.7"/>
    <n v="767.83"/>
  </r>
  <r>
    <n v="200151"/>
    <n v="3154"/>
    <x v="3"/>
    <x v="2"/>
    <x v="1"/>
    <s v="Pasta"/>
    <x v="467"/>
    <d v="2024-06-28T00:00:00"/>
    <d v="2024-06-28T00:00:00"/>
    <n v="5"/>
    <n v="5"/>
    <n v="14"/>
    <n v="151.44"/>
    <n v="2120.16"/>
    <n v="0.13"/>
    <n v="275.62"/>
    <n v="1844.54"/>
    <n v="1229.69"/>
    <n v="614.85"/>
  </r>
  <r>
    <n v="200152"/>
    <n v="1834"/>
    <x v="2"/>
    <x v="0"/>
    <x v="2"/>
    <s v="Tablet"/>
    <x v="455"/>
    <d v="2024-08-05T00:00:00"/>
    <d v="2024-08-05T00:00:00"/>
    <n v="2"/>
    <n v="2"/>
    <n v="1"/>
    <n v="349.38"/>
    <n v="349.38"/>
    <n v="0"/>
    <n v="0"/>
    <n v="349.38"/>
    <n v="206.13"/>
    <n v="143.25"/>
  </r>
  <r>
    <n v="200153"/>
    <n v="1399"/>
    <x v="3"/>
    <x v="1"/>
    <x v="1"/>
    <s v="Snacks"/>
    <x v="468"/>
    <d v="2024-03-21T00:00:00"/>
    <d v="2024-03-29T00:00:00"/>
    <n v="13"/>
    <n v="5"/>
    <n v="8"/>
    <n v="301.08"/>
    <n v="2408.64"/>
    <n v="0"/>
    <n v="0"/>
    <n v="2408.64"/>
    <n v="1782.39"/>
    <n v="626.25"/>
  </r>
  <r>
    <n v="200154"/>
    <n v="3570"/>
    <x v="2"/>
    <x v="2"/>
    <x v="2"/>
    <s v="Laptop"/>
    <x v="469"/>
    <d v="2024-08-15T00:00:00"/>
    <d v="2024-08-22T00:00:00"/>
    <n v="9"/>
    <n v="2"/>
    <n v="13"/>
    <n v="601.74"/>
    <n v="7822.62"/>
    <n v="0.02"/>
    <n v="156.44999999999999"/>
    <n v="7666.17"/>
    <n v="4850.0200000000004"/>
    <n v="2816.15"/>
  </r>
  <r>
    <n v="200155"/>
    <n v="2667"/>
    <x v="2"/>
    <x v="1"/>
    <x v="1"/>
    <s v="Pasta"/>
    <x v="470"/>
    <d v="2024-04-19T00:00:00"/>
    <d v="2024-05-03T00:00:00"/>
    <n v="16"/>
    <n v="2"/>
    <n v="1"/>
    <n v="745.96"/>
    <n v="745.96"/>
    <n v="0.21"/>
    <n v="156.65"/>
    <n v="589.30999999999995"/>
    <n v="410.28"/>
    <n v="179.03"/>
  </r>
  <r>
    <n v="200156"/>
    <n v="2748"/>
    <x v="0"/>
    <x v="0"/>
    <x v="3"/>
    <s v="Shoes"/>
    <x v="471"/>
    <d v="2024-07-03T00:00:00"/>
    <d v="2024-07-17T00:00:00"/>
    <n v="18"/>
    <n v="4"/>
    <n v="3"/>
    <n v="478.75"/>
    <n v="1436.25"/>
    <n v="7.0000000000000007E-2"/>
    <n v="100.54"/>
    <n v="1335.71"/>
    <n v="789.94"/>
    <n v="545.77"/>
  </r>
  <r>
    <n v="200157"/>
    <n v="2359"/>
    <x v="1"/>
    <x v="0"/>
    <x v="0"/>
    <s v="Lamp"/>
    <x v="412"/>
    <d v="2024-02-15T00:00:00"/>
    <d v="2024-02-17T00:00:00"/>
    <n v="7"/>
    <n v="5"/>
    <n v="3"/>
    <n v="327.44"/>
    <n v="982.32"/>
    <n v="0.16"/>
    <n v="157.16999999999999"/>
    <n v="825.15"/>
    <n v="599.22"/>
    <n v="225.93"/>
  </r>
  <r>
    <n v="200158"/>
    <n v="2442"/>
    <x v="1"/>
    <x v="1"/>
    <x v="3"/>
    <s v="Shirt"/>
    <x v="472"/>
    <d v="2024-06-29T00:00:00"/>
    <d v="2024-07-19T00:00:00"/>
    <n v="21"/>
    <n v="1"/>
    <n v="9"/>
    <n v="208.24"/>
    <n v="1874.16"/>
    <n v="0.03"/>
    <n v="56.22"/>
    <n v="1817.94"/>
    <n v="1087.01"/>
    <n v="730.93"/>
  </r>
  <r>
    <n v="200159"/>
    <n v="1665"/>
    <x v="1"/>
    <x v="2"/>
    <x v="1"/>
    <s v="Snacks"/>
    <x v="471"/>
    <d v="2024-07-03T00:00:00"/>
    <d v="2024-07-03T00:00:00"/>
    <n v="4"/>
    <n v="4"/>
    <n v="9"/>
    <n v="788.2"/>
    <n v="7093.8"/>
    <n v="0.03"/>
    <n v="212.81"/>
    <n v="6880.99"/>
    <n v="4398.16"/>
    <n v="2482.83"/>
  </r>
  <r>
    <n v="200160"/>
    <n v="2477"/>
    <x v="3"/>
    <x v="0"/>
    <x v="1"/>
    <s v="Beverage"/>
    <x v="473"/>
    <d v="2024-03-27T00:00:00"/>
    <d v="2024-03-29T00:00:00"/>
    <n v="6"/>
    <n v="4"/>
    <n v="7"/>
    <n v="184.61"/>
    <n v="1292.27"/>
    <n v="0.14000000000000001"/>
    <n v="180.92"/>
    <n v="1111.3499999999999"/>
    <n v="788.28"/>
    <n v="323.07"/>
  </r>
  <r>
    <n v="200161"/>
    <n v="1941"/>
    <x v="1"/>
    <x v="1"/>
    <x v="2"/>
    <s v="Phone"/>
    <x v="474"/>
    <d v="2024-08-06T00:00:00"/>
    <d v="2024-09-01T00:00:00"/>
    <n v="28"/>
    <n v="2"/>
    <n v="11"/>
    <n v="787.37"/>
    <n v="8661.07"/>
    <n v="0.09"/>
    <n v="779.5"/>
    <n v="7881.57"/>
    <n v="5456.47"/>
    <n v="2425.1"/>
  </r>
  <r>
    <n v="200162"/>
    <n v="1716"/>
    <x v="1"/>
    <x v="0"/>
    <x v="3"/>
    <s v="Jeans"/>
    <x v="378"/>
    <d v="2024-02-01T00:00:00"/>
    <d v="2024-02-12T00:00:00"/>
    <n v="13"/>
    <n v="2"/>
    <n v="7"/>
    <n v="175.88"/>
    <n v="1231.1600000000001"/>
    <n v="0.05"/>
    <n v="61.56"/>
    <n v="1169.5999999999999"/>
    <n v="714.07"/>
    <n v="455.53"/>
  </r>
  <r>
    <n v="200163"/>
    <n v="2329"/>
    <x v="3"/>
    <x v="1"/>
    <x v="1"/>
    <s v="Beverage"/>
    <x v="475"/>
    <d v="2024-01-21T00:00:00"/>
    <d v="2024-02-04T00:00:00"/>
    <n v="18"/>
    <n v="4"/>
    <n v="5"/>
    <n v="67.14"/>
    <n v="335.7"/>
    <n v="0.09"/>
    <n v="30.21"/>
    <n v="305.49"/>
    <n v="198.06"/>
    <n v="107.43"/>
  </r>
  <r>
    <n v="200164"/>
    <n v="4828"/>
    <x v="3"/>
    <x v="2"/>
    <x v="2"/>
    <s v="Phone"/>
    <x v="423"/>
    <d v="2024-12-29T00:00:00"/>
    <d v="2025-01-04T00:00:00"/>
    <n v="7"/>
    <n v="1"/>
    <n v="5"/>
    <n v="521.74"/>
    <n v="2608.6999999999998"/>
    <n v="0.1"/>
    <n v="260.87"/>
    <n v="2347.83"/>
    <n v="1591.31"/>
    <n v="756.52"/>
  </r>
  <r>
    <n v="200165"/>
    <n v="3931"/>
    <x v="1"/>
    <x v="1"/>
    <x v="1"/>
    <s v="Beverage"/>
    <x v="476"/>
    <d v="2024-09-20T00:00:00"/>
    <d v="2024-09-30T00:00:00"/>
    <n v="12"/>
    <n v="2"/>
    <n v="6"/>
    <n v="334.67"/>
    <n v="2008.02"/>
    <n v="0.15"/>
    <n v="301.2"/>
    <n v="1706.82"/>
    <n v="1024.0899999999999"/>
    <n v="682.73"/>
  </r>
  <r>
    <n v="200166"/>
    <n v="1978"/>
    <x v="0"/>
    <x v="1"/>
    <x v="0"/>
    <s v="Sofa"/>
    <x v="477"/>
    <d v="2024-11-11T00:00:00"/>
    <d v="2024-11-24T00:00:00"/>
    <n v="14"/>
    <n v="1"/>
    <n v="11"/>
    <n v="495.43"/>
    <n v="5449.73"/>
    <n v="0.16"/>
    <n v="871.96"/>
    <n v="4577.7700000000004"/>
    <n v="3160.84"/>
    <n v="1416.93"/>
  </r>
  <r>
    <n v="200167"/>
    <n v="1854"/>
    <x v="3"/>
    <x v="0"/>
    <x v="2"/>
    <s v="Laptop"/>
    <x v="478"/>
    <d v="2024-08-18T00:00:00"/>
    <d v="2024-08-22T00:00:00"/>
    <n v="8"/>
    <n v="4"/>
    <n v="12"/>
    <n v="222.38"/>
    <n v="2668.56"/>
    <n v="7.0000000000000007E-2"/>
    <n v="186.8"/>
    <n v="2481.7600000000002"/>
    <n v="1867.99"/>
    <n v="613.77"/>
  </r>
  <r>
    <n v="200168"/>
    <n v="2620"/>
    <x v="2"/>
    <x v="0"/>
    <x v="1"/>
    <s v="Rice"/>
    <x v="479"/>
    <d v="2024-04-17T00:00:00"/>
    <d v="2024-05-07T00:00:00"/>
    <n v="24"/>
    <n v="4"/>
    <n v="1"/>
    <n v="653.29999999999995"/>
    <n v="653.29999999999995"/>
    <n v="0.11"/>
    <n v="71.86"/>
    <n v="581.44000000000005"/>
    <n v="424.64"/>
    <n v="156.80000000000001"/>
  </r>
  <r>
    <n v="200169"/>
    <n v="4406"/>
    <x v="2"/>
    <x v="2"/>
    <x v="0"/>
    <s v="Cookware"/>
    <x v="480"/>
    <d v="2024-07-26T00:00:00"/>
    <d v="2024-08-07T00:00:00"/>
    <n v="17"/>
    <n v="5"/>
    <n v="3"/>
    <n v="56.21"/>
    <n v="168.63"/>
    <n v="0.12"/>
    <n v="20.239999999999998"/>
    <n v="148.38999999999999"/>
    <n v="106.24"/>
    <n v="42.15"/>
  </r>
  <r>
    <n v="200170"/>
    <n v="2157"/>
    <x v="0"/>
    <x v="2"/>
    <x v="0"/>
    <s v="Lamp"/>
    <x v="481"/>
    <d v="2024-09-30T00:00:00"/>
    <d v="2024-10-21T00:00:00"/>
    <n v="22"/>
    <n v="1"/>
    <n v="14"/>
    <n v="436.3"/>
    <n v="6108.2"/>
    <n v="0.15"/>
    <n v="916.23"/>
    <n v="5191.97"/>
    <n v="4031.41"/>
    <n v="1160.56"/>
  </r>
  <r>
    <n v="200171"/>
    <n v="3633"/>
    <x v="3"/>
    <x v="0"/>
    <x v="0"/>
    <s v="Cookware"/>
    <x v="482"/>
    <d v="2024-11-01T00:00:00"/>
    <d v="2024-11-23T00:00:00"/>
    <n v="23"/>
    <n v="1"/>
    <n v="6"/>
    <n v="657.07"/>
    <n v="3942.42"/>
    <n v="0.01"/>
    <n v="39.42"/>
    <n v="3903"/>
    <n v="2404.88"/>
    <n v="1498.12"/>
  </r>
  <r>
    <n v="200172"/>
    <n v="1853"/>
    <x v="0"/>
    <x v="2"/>
    <x v="0"/>
    <s v="Sofa"/>
    <x v="483"/>
    <d v="2024-12-15T00:00:00"/>
    <d v="2024-12-23T00:00:00"/>
    <n v="12"/>
    <n v="4"/>
    <n v="7"/>
    <n v="511.94"/>
    <n v="3583.58"/>
    <n v="0.18"/>
    <n v="645.04"/>
    <n v="2938.54"/>
    <n v="2185.98"/>
    <n v="752.56"/>
  </r>
  <r>
    <n v="200173"/>
    <n v="2736"/>
    <x v="0"/>
    <x v="1"/>
    <x v="2"/>
    <s v="Laptop"/>
    <x v="430"/>
    <d v="2024-06-13T00:00:00"/>
    <d v="2024-06-15T00:00:00"/>
    <n v="5"/>
    <n v="3"/>
    <n v="14"/>
    <n v="330.99"/>
    <n v="4633.8599999999997"/>
    <n v="0.12"/>
    <n v="556.05999999999995"/>
    <n v="4077.8"/>
    <n v="2780.32"/>
    <n v="1297.48"/>
  </r>
  <r>
    <n v="200174"/>
    <n v="3599"/>
    <x v="3"/>
    <x v="2"/>
    <x v="0"/>
    <s v="Cookware"/>
    <x v="484"/>
    <d v="2024-06-19T00:00:00"/>
    <d v="2024-06-23T00:00:00"/>
    <n v="7"/>
    <n v="3"/>
    <n v="1"/>
    <n v="766.04"/>
    <n v="766.04"/>
    <n v="0.2"/>
    <n v="153.21"/>
    <n v="612.83000000000004"/>
    <n v="444.3"/>
    <n v="168.53"/>
  </r>
  <r>
    <n v="200175"/>
    <n v="4826"/>
    <x v="1"/>
    <x v="1"/>
    <x v="1"/>
    <s v="Beverage"/>
    <x v="397"/>
    <d v="2024-01-14T00:00:00"/>
    <d v="2024-02-04T00:00:00"/>
    <n v="26"/>
    <n v="5"/>
    <n v="10"/>
    <n v="413.05"/>
    <n v="4130.5"/>
    <n v="0.09"/>
    <n v="371.74"/>
    <n v="3758.76"/>
    <n v="2395.69"/>
    <n v="1363.07"/>
  </r>
  <r>
    <n v="200176"/>
    <n v="2265"/>
    <x v="3"/>
    <x v="1"/>
    <x v="3"/>
    <s v="Jeans"/>
    <x v="485"/>
    <d v="2024-10-15T00:00:00"/>
    <d v="2024-10-20T00:00:00"/>
    <n v="10"/>
    <n v="5"/>
    <n v="9"/>
    <n v="292.02999999999997"/>
    <n v="2628.27"/>
    <n v="0.1"/>
    <n v="262.83"/>
    <n v="2365.44"/>
    <n v="1682.09"/>
    <n v="683.35"/>
  </r>
  <r>
    <n v="200177"/>
    <n v="1288"/>
    <x v="0"/>
    <x v="2"/>
    <x v="3"/>
    <s v="Shoes"/>
    <x v="385"/>
    <d v="2024-10-25T00:00:00"/>
    <d v="2024-11-09T00:00:00"/>
    <n v="17"/>
    <n v="2"/>
    <n v="4"/>
    <n v="453.67"/>
    <n v="1814.68"/>
    <n v="0.14000000000000001"/>
    <n v="254.06"/>
    <n v="1560.62"/>
    <n v="1233.98"/>
    <n v="326.64"/>
  </r>
  <r>
    <n v="200178"/>
    <n v="3917"/>
    <x v="0"/>
    <x v="1"/>
    <x v="3"/>
    <s v="Shirt"/>
    <x v="411"/>
    <d v="2024-11-28T00:00:00"/>
    <d v="2024-12-09T00:00:00"/>
    <n v="12"/>
    <n v="1"/>
    <n v="1"/>
    <n v="297.58"/>
    <n v="297.58"/>
    <n v="0.06"/>
    <n v="17.850000000000001"/>
    <n v="279.73"/>
    <n v="214.26"/>
    <n v="65.47"/>
  </r>
  <r>
    <n v="200179"/>
    <n v="2220"/>
    <x v="3"/>
    <x v="2"/>
    <x v="3"/>
    <s v="Jeans"/>
    <x v="486"/>
    <d v="2024-01-24T00:00:00"/>
    <d v="2024-01-28T00:00:00"/>
    <n v="5"/>
    <n v="1"/>
    <n v="14"/>
    <n v="294.43"/>
    <n v="4122.0200000000004"/>
    <n v="0.12"/>
    <n v="494.64"/>
    <n v="3627.38"/>
    <n v="2720.53"/>
    <n v="906.85"/>
  </r>
  <r>
    <n v="200180"/>
    <n v="4065"/>
    <x v="0"/>
    <x v="1"/>
    <x v="0"/>
    <s v="Sofa"/>
    <x v="487"/>
    <d v="2024-09-11T00:00:00"/>
    <d v="2024-09-15T00:00:00"/>
    <n v="8"/>
    <n v="4"/>
    <n v="11"/>
    <n v="338.8"/>
    <n v="3726.8"/>
    <n v="0.1"/>
    <n v="372.68"/>
    <n v="3354.12"/>
    <n v="2385.15"/>
    <n v="968.97"/>
  </r>
  <r>
    <n v="200181"/>
    <n v="2168"/>
    <x v="2"/>
    <x v="2"/>
    <x v="0"/>
    <s v="Lamp"/>
    <x v="405"/>
    <d v="2024-05-22T00:00:00"/>
    <d v="2024-06-04T00:00:00"/>
    <n v="18"/>
    <n v="5"/>
    <n v="3"/>
    <n v="32.020000000000003"/>
    <n v="96.06"/>
    <n v="0.18"/>
    <n v="17.29"/>
    <n v="78.77"/>
    <n v="54.75"/>
    <n v="24.02"/>
  </r>
  <r>
    <n v="200182"/>
    <n v="3583"/>
    <x v="1"/>
    <x v="2"/>
    <x v="3"/>
    <s v="Jeans"/>
    <x v="407"/>
    <d v="2024-08-15T00:00:00"/>
    <d v="2024-08-13T00:00:00"/>
    <n v="3"/>
    <n v="5"/>
    <n v="5"/>
    <n v="748.77"/>
    <n v="3743.85"/>
    <n v="0.13"/>
    <n v="486.7"/>
    <n v="3257.15"/>
    <n v="2620.69"/>
    <n v="636.46"/>
  </r>
  <r>
    <n v="200183"/>
    <n v="4455"/>
    <x v="3"/>
    <x v="0"/>
    <x v="2"/>
    <s v="Phone"/>
    <x v="488"/>
    <d v="2024-07-06T00:00:00"/>
    <d v="2024-07-28T00:00:00"/>
    <n v="27"/>
    <n v="5"/>
    <n v="11"/>
    <n v="401.45"/>
    <n v="4415.95"/>
    <n v="0.08"/>
    <n v="353.28"/>
    <n v="4062.67"/>
    <n v="2737.89"/>
    <n v="1324.78"/>
  </r>
  <r>
    <n v="200184"/>
    <n v="2466"/>
    <x v="0"/>
    <x v="2"/>
    <x v="3"/>
    <s v="Jeans"/>
    <x v="489"/>
    <d v="2024-06-21T00:00:00"/>
    <d v="2024-06-20T00:00:00"/>
    <n v="3"/>
    <n v="4"/>
    <n v="11"/>
    <n v="193.23"/>
    <n v="2125.5300000000002"/>
    <n v="0.05"/>
    <n v="106.28"/>
    <n v="2019.25"/>
    <n v="1466.62"/>
    <n v="552.63"/>
  </r>
  <r>
    <n v="200185"/>
    <n v="1881"/>
    <x v="2"/>
    <x v="2"/>
    <x v="3"/>
    <s v="Shoes"/>
    <x v="490"/>
    <d v="2024-08-28T00:00:00"/>
    <d v="2024-08-31T00:00:00"/>
    <n v="7"/>
    <n v="4"/>
    <n v="10"/>
    <n v="420.23"/>
    <n v="4202.3"/>
    <n v="0.08"/>
    <n v="336.18"/>
    <n v="3866.12"/>
    <n v="2605.4299999999998"/>
    <n v="1260.69"/>
  </r>
  <r>
    <n v="200186"/>
    <n v="3849"/>
    <x v="3"/>
    <x v="1"/>
    <x v="2"/>
    <s v="Laptop"/>
    <x v="491"/>
    <d v="2024-04-05T00:00:00"/>
    <d v="2024-04-17T00:00:00"/>
    <n v="15"/>
    <n v="3"/>
    <n v="6"/>
    <n v="72.94"/>
    <n v="437.64"/>
    <n v="7.0000000000000007E-2"/>
    <n v="30.63"/>
    <n v="407.01"/>
    <n v="306.35000000000002"/>
    <n v="100.66"/>
  </r>
  <r>
    <n v="200187"/>
    <n v="1398"/>
    <x v="3"/>
    <x v="2"/>
    <x v="3"/>
    <s v="Shoes"/>
    <x v="391"/>
    <d v="2024-06-23T00:00:00"/>
    <d v="2024-07-02T00:00:00"/>
    <n v="12"/>
    <n v="3"/>
    <n v="9"/>
    <n v="513.89"/>
    <n v="4625.01"/>
    <n v="0.09"/>
    <n v="416.25"/>
    <n v="4208.76"/>
    <n v="2682.51"/>
    <n v="1526.25"/>
  </r>
  <r>
    <n v="200188"/>
    <n v="1055"/>
    <x v="0"/>
    <x v="1"/>
    <x v="3"/>
    <s v="Jacket"/>
    <x v="428"/>
    <d v="2024-06-19T00:00:00"/>
    <d v="2024-07-14T00:00:00"/>
    <n v="30"/>
    <n v="5"/>
    <n v="13"/>
    <n v="200.15"/>
    <n v="2601.9499999999998"/>
    <n v="0"/>
    <n v="0"/>
    <n v="2601.9499999999998"/>
    <n v="1639.23"/>
    <n v="962.72"/>
  </r>
  <r>
    <n v="200189"/>
    <n v="4160"/>
    <x v="0"/>
    <x v="0"/>
    <x v="0"/>
    <s v="Table"/>
    <x v="404"/>
    <d v="2024-02-29T00:00:00"/>
    <d v="2024-03-16T00:00:00"/>
    <n v="17"/>
    <n v="1"/>
    <n v="1"/>
    <n v="408.58"/>
    <n v="408.58"/>
    <n v="0.05"/>
    <n v="20.43"/>
    <n v="388.15"/>
    <n v="232.89"/>
    <n v="155.26"/>
  </r>
  <r>
    <n v="200190"/>
    <n v="1676"/>
    <x v="2"/>
    <x v="1"/>
    <x v="1"/>
    <s v="Pasta"/>
    <x v="492"/>
    <d v="2024-06-28T00:00:00"/>
    <d v="2024-07-27T00:00:00"/>
    <n v="30"/>
    <n v="1"/>
    <n v="14"/>
    <n v="633.36"/>
    <n v="8867.0400000000009"/>
    <n v="0.1"/>
    <n v="886.7"/>
    <n v="7980.34"/>
    <n v="6118.26"/>
    <n v="1862.08"/>
  </r>
  <r>
    <n v="200191"/>
    <n v="1500"/>
    <x v="2"/>
    <x v="0"/>
    <x v="1"/>
    <s v="Beverage"/>
    <x v="390"/>
    <d v="2024-09-20T00:00:00"/>
    <d v="2024-09-20T00:00:00"/>
    <n v="4"/>
    <n v="4"/>
    <n v="4"/>
    <n v="250.43"/>
    <n v="1001.72"/>
    <n v="7.0000000000000007E-2"/>
    <n v="70.12"/>
    <n v="931.6"/>
    <n v="641.1"/>
    <n v="290.5"/>
  </r>
  <r>
    <n v="200192"/>
    <n v="1886"/>
    <x v="2"/>
    <x v="1"/>
    <x v="3"/>
    <s v="Shoes"/>
    <x v="493"/>
    <d v="2024-10-05T00:00:00"/>
    <d v="2024-10-29T00:00:00"/>
    <n v="28"/>
    <n v="4"/>
    <n v="10"/>
    <n v="284.91000000000003"/>
    <n v="2849.1"/>
    <n v="0.1"/>
    <n v="284.91000000000003"/>
    <n v="2564.19"/>
    <n v="1766.44"/>
    <n v="797.75"/>
  </r>
  <r>
    <n v="200193"/>
    <n v="4272"/>
    <x v="0"/>
    <x v="2"/>
    <x v="0"/>
    <s v="Sofa"/>
    <x v="432"/>
    <d v="2024-03-11T00:00:00"/>
    <d v="2024-04-01T00:00:00"/>
    <n v="22"/>
    <n v="1"/>
    <n v="10"/>
    <n v="599.95000000000005"/>
    <n v="5999.5"/>
    <n v="0.05"/>
    <n v="299.98"/>
    <n v="5699.52"/>
    <n v="4019.67"/>
    <n v="1679.85"/>
  </r>
  <r>
    <n v="200194"/>
    <n v="3841"/>
    <x v="3"/>
    <x v="0"/>
    <x v="3"/>
    <s v="Jeans"/>
    <x v="494"/>
    <d v="2024-02-01T00:00:00"/>
    <d v="2024-02-14T00:00:00"/>
    <n v="16"/>
    <n v="3"/>
    <n v="7"/>
    <n v="240.36"/>
    <n v="1682.52"/>
    <n v="0.15"/>
    <n v="252.38"/>
    <n v="1430.14"/>
    <n v="1026.3399999999999"/>
    <n v="403.8"/>
  </r>
  <r>
    <n v="200195"/>
    <n v="3389"/>
    <x v="1"/>
    <x v="2"/>
    <x v="1"/>
    <s v="Pasta"/>
    <x v="495"/>
    <d v="2024-02-27T00:00:00"/>
    <d v="2024-03-04T00:00:00"/>
    <n v="11"/>
    <n v="5"/>
    <n v="8"/>
    <n v="644.97"/>
    <n v="5159.76"/>
    <n v="0.16"/>
    <n v="825.56"/>
    <n v="4334.2"/>
    <n v="2889.47"/>
    <n v="1444.73"/>
  </r>
  <r>
    <n v="200196"/>
    <n v="3450"/>
    <x v="0"/>
    <x v="1"/>
    <x v="0"/>
    <s v="Lamp"/>
    <x v="407"/>
    <d v="2024-08-13T00:00:00"/>
    <d v="2024-09-08T00:00:00"/>
    <n v="29"/>
    <n v="3"/>
    <n v="11"/>
    <n v="66.47"/>
    <n v="731.17"/>
    <n v="0.11"/>
    <n v="80.430000000000007"/>
    <n v="650.74"/>
    <n v="475.26"/>
    <n v="175.48"/>
  </r>
  <r>
    <n v="200197"/>
    <n v="2202"/>
    <x v="2"/>
    <x v="0"/>
    <x v="3"/>
    <s v="Shoes"/>
    <x v="496"/>
    <d v="2024-03-28T00:00:00"/>
    <d v="2024-04-04T00:00:00"/>
    <n v="11"/>
    <n v="4"/>
    <n v="14"/>
    <n v="232.24"/>
    <n v="3251.36"/>
    <n v="0.08"/>
    <n v="260.11"/>
    <n v="2991.25"/>
    <n v="2308.4699999999998"/>
    <n v="682.78"/>
  </r>
  <r>
    <n v="200198"/>
    <n v="3460"/>
    <x v="2"/>
    <x v="0"/>
    <x v="2"/>
    <s v="Phone"/>
    <x v="410"/>
    <d v="2024-06-15T00:00:00"/>
    <d v="2024-07-09T00:00:00"/>
    <n v="26"/>
    <n v="2"/>
    <n v="14"/>
    <n v="329.35"/>
    <n v="4610.8999999999996"/>
    <n v="0.08"/>
    <n v="368.87"/>
    <n v="4242.03"/>
    <n v="3043.19"/>
    <n v="1198.8399999999999"/>
  </r>
  <r>
    <n v="200199"/>
    <n v="4735"/>
    <x v="1"/>
    <x v="1"/>
    <x v="1"/>
    <s v="Snacks"/>
    <x v="497"/>
    <d v="2024-05-07T00:00:00"/>
    <d v="2024-05-21T00:00:00"/>
    <n v="18"/>
    <n v="4"/>
    <n v="11"/>
    <n v="424.45"/>
    <n v="4668.95"/>
    <n v="7.0000000000000007E-2"/>
    <n v="326.83"/>
    <n v="4342.12"/>
    <n v="3081.51"/>
    <n v="1260.6099999999999"/>
  </r>
  <r>
    <n v="200200"/>
    <n v="3203"/>
    <x v="0"/>
    <x v="1"/>
    <x v="2"/>
    <s v="Headphones"/>
    <x v="446"/>
    <d v="2024-07-12T00:00:00"/>
    <d v="2024-07-12T00:00:00"/>
    <n v="3"/>
    <n v="3"/>
    <n v="13"/>
    <n v="438.84"/>
    <n v="5704.92"/>
    <n v="0.13"/>
    <n v="741.64"/>
    <n v="4963.28"/>
    <n v="3765.25"/>
    <n v="1198.03"/>
  </r>
  <r>
    <n v="200201"/>
    <n v="3425"/>
    <x v="1"/>
    <x v="2"/>
    <x v="1"/>
    <s v="Snacks"/>
    <x v="498"/>
    <d v="2024-04-07T00:00:00"/>
    <d v="2024-04-19T00:00:00"/>
    <n v="13"/>
    <n v="1"/>
    <n v="6"/>
    <n v="309.31"/>
    <n v="1855.86"/>
    <n v="0.13"/>
    <n v="241.26"/>
    <n v="1614.6"/>
    <n v="1206.31"/>
    <n v="408.29"/>
  </r>
  <r>
    <n v="200202"/>
    <n v="1820"/>
    <x v="3"/>
    <x v="1"/>
    <x v="3"/>
    <s v="Jacket"/>
    <x v="499"/>
    <d v="2024-04-10T00:00:00"/>
    <d v="2024-04-22T00:00:00"/>
    <n v="13"/>
    <n v="1"/>
    <n v="7"/>
    <n v="590.5"/>
    <n v="4133.5"/>
    <n v="0.11"/>
    <n v="454.68"/>
    <n v="3678.82"/>
    <n v="2852.12"/>
    <n v="826.7"/>
  </r>
  <r>
    <n v="200203"/>
    <n v="4461"/>
    <x v="0"/>
    <x v="2"/>
    <x v="1"/>
    <s v="Snacks"/>
    <x v="478"/>
    <d v="2024-08-15T00:00:00"/>
    <d v="2024-08-18T00:00:00"/>
    <n v="4"/>
    <n v="1"/>
    <n v="5"/>
    <n v="184.86"/>
    <n v="924.3"/>
    <n v="0.04"/>
    <n v="36.97"/>
    <n v="887.33"/>
    <n v="610.04"/>
    <n v="277.29000000000002"/>
  </r>
  <r>
    <n v="200204"/>
    <n v="4340"/>
    <x v="3"/>
    <x v="0"/>
    <x v="3"/>
    <s v="Shirt"/>
    <x v="500"/>
    <d v="2024-07-18T00:00:00"/>
    <d v="2024-07-22T00:00:00"/>
    <n v="9"/>
    <n v="5"/>
    <n v="6"/>
    <n v="571.35"/>
    <n v="3428.1"/>
    <n v="0.02"/>
    <n v="68.56"/>
    <n v="3359.54"/>
    <n v="2228.27"/>
    <n v="1131.27"/>
  </r>
  <r>
    <n v="200205"/>
    <n v="1782"/>
    <x v="0"/>
    <x v="2"/>
    <x v="2"/>
    <s v="Tablet"/>
    <x v="388"/>
    <d v="2024-02-15T00:00:00"/>
    <d v="2024-03-06T00:00:00"/>
    <n v="22"/>
    <n v="2"/>
    <n v="1"/>
    <n v="642.62"/>
    <n v="642.62"/>
    <n v="0.04"/>
    <n v="25.7"/>
    <n v="616.91999999999996"/>
    <n v="430.56"/>
    <n v="186.36"/>
  </r>
  <r>
    <n v="200206"/>
    <n v="1062"/>
    <x v="0"/>
    <x v="1"/>
    <x v="1"/>
    <s v="Beverage"/>
    <x v="501"/>
    <d v="2024-10-07T00:00:00"/>
    <d v="2024-10-18T00:00:00"/>
    <n v="16"/>
    <n v="5"/>
    <n v="7"/>
    <n v="739.62"/>
    <n v="5177.34"/>
    <n v="0.12"/>
    <n v="621.28"/>
    <n v="4556.0600000000004"/>
    <n v="3158.18"/>
    <n v="1397.88"/>
  </r>
  <r>
    <n v="200207"/>
    <n v="1567"/>
    <x v="2"/>
    <x v="2"/>
    <x v="1"/>
    <s v="Pasta"/>
    <x v="402"/>
    <d v="2024-02-28T00:00:00"/>
    <d v="2024-03-24T00:00:00"/>
    <n v="27"/>
    <n v="2"/>
    <n v="12"/>
    <n v="664.84"/>
    <n v="7978.08"/>
    <n v="0.1"/>
    <n v="797.81"/>
    <n v="7180.27"/>
    <n v="4387.9399999999996"/>
    <n v="2792.33"/>
  </r>
  <r>
    <n v="200208"/>
    <n v="4370"/>
    <x v="2"/>
    <x v="2"/>
    <x v="0"/>
    <s v="Table"/>
    <x v="453"/>
    <d v="2024-02-18T00:00:00"/>
    <d v="2024-03-17T00:00:00"/>
    <n v="29"/>
    <n v="1"/>
    <n v="12"/>
    <n v="24.35"/>
    <n v="292.2"/>
    <n v="0"/>
    <n v="0"/>
    <n v="292.2"/>
    <n v="169.48"/>
    <n v="122.72"/>
  </r>
  <r>
    <n v="200209"/>
    <n v="3272"/>
    <x v="3"/>
    <x v="0"/>
    <x v="1"/>
    <s v="Rice"/>
    <x v="502"/>
    <d v="2024-06-19T00:00:00"/>
    <d v="2024-07-09T00:00:00"/>
    <n v="24"/>
    <n v="4"/>
    <n v="1"/>
    <n v="652.64"/>
    <n v="652.64"/>
    <n v="0.1"/>
    <n v="65.260000000000005"/>
    <n v="587.38"/>
    <n v="443.8"/>
    <n v="143.58000000000001"/>
  </r>
  <r>
    <n v="200210"/>
    <n v="4936"/>
    <x v="3"/>
    <x v="2"/>
    <x v="1"/>
    <s v="Beverage"/>
    <x v="396"/>
    <d v="2024-05-11T00:00:00"/>
    <d v="2024-05-13T00:00:00"/>
    <n v="6"/>
    <n v="4"/>
    <n v="3"/>
    <n v="169.96"/>
    <n v="509.88"/>
    <n v="0.09"/>
    <n v="45.89"/>
    <n v="463.99"/>
    <n v="336.52"/>
    <n v="127.47"/>
  </r>
  <r>
    <n v="200211"/>
    <n v="4693"/>
    <x v="2"/>
    <x v="0"/>
    <x v="0"/>
    <s v="Cookware"/>
    <x v="503"/>
    <d v="2024-12-16T00:00:00"/>
    <d v="2025-01-10T00:00:00"/>
    <n v="27"/>
    <n v="2"/>
    <n v="2"/>
    <n v="386.99"/>
    <n v="773.98"/>
    <n v="0"/>
    <n v="0"/>
    <n v="773.98"/>
    <n v="479.87"/>
    <n v="294.11"/>
  </r>
  <r>
    <n v="200212"/>
    <n v="1091"/>
    <x v="1"/>
    <x v="2"/>
    <x v="2"/>
    <s v="Phone"/>
    <x v="397"/>
    <d v="2024-01-12T00:00:00"/>
    <d v="2024-01-31T00:00:00"/>
    <n v="22"/>
    <n v="3"/>
    <n v="7"/>
    <n v="123.51"/>
    <n v="864.57"/>
    <n v="0.05"/>
    <n v="43.23"/>
    <n v="821.34"/>
    <n v="544.67999999999995"/>
    <n v="276.66000000000003"/>
  </r>
  <r>
    <n v="200213"/>
    <n v="1681"/>
    <x v="1"/>
    <x v="2"/>
    <x v="2"/>
    <s v="Headphones"/>
    <x v="504"/>
    <d v="2024-09-03T00:00:00"/>
    <d v="2024-09-30T00:00:00"/>
    <n v="28"/>
    <n v="1"/>
    <n v="10"/>
    <n v="512.47"/>
    <n v="5124.7"/>
    <n v="0.02"/>
    <n v="102.49"/>
    <n v="5022.21"/>
    <n v="3433.55"/>
    <n v="1588.66"/>
  </r>
  <r>
    <n v="200214"/>
    <n v="3911"/>
    <x v="2"/>
    <x v="1"/>
    <x v="1"/>
    <s v="Snacks"/>
    <x v="505"/>
    <d v="2024-03-30T00:00:00"/>
    <d v="2024-04-24T00:00:00"/>
    <n v="28"/>
    <n v="3"/>
    <n v="1"/>
    <n v="223.08"/>
    <n v="223.08"/>
    <n v="0.12"/>
    <n v="26.77"/>
    <n v="196.31"/>
    <n v="165.08"/>
    <n v="31.23"/>
  </r>
  <r>
    <n v="200215"/>
    <n v="1980"/>
    <x v="1"/>
    <x v="2"/>
    <x v="0"/>
    <s v="Table"/>
    <x v="506"/>
    <d v="2024-10-31T00:00:00"/>
    <d v="2024-11-10T00:00:00"/>
    <n v="12"/>
    <n v="2"/>
    <n v="10"/>
    <n v="479.93"/>
    <n v="4799.3"/>
    <n v="0.06"/>
    <n v="287.95999999999998"/>
    <n v="4511.34"/>
    <n v="3455.5"/>
    <n v="1055.8399999999999"/>
  </r>
  <r>
    <n v="200216"/>
    <n v="1034"/>
    <x v="3"/>
    <x v="2"/>
    <x v="0"/>
    <s v="Lamp"/>
    <x v="507"/>
    <d v="2024-06-10T00:00:00"/>
    <d v="2024-06-09T00:00:00"/>
    <n v="3"/>
    <n v="4"/>
    <n v="8"/>
    <n v="33.67"/>
    <n v="269.36"/>
    <n v="0.09"/>
    <n v="24.24"/>
    <n v="245.12"/>
    <n v="156.22999999999999"/>
    <n v="88.89"/>
  </r>
  <r>
    <n v="200217"/>
    <n v="3223"/>
    <x v="0"/>
    <x v="2"/>
    <x v="3"/>
    <s v="Shirt"/>
    <x v="508"/>
    <d v="2024-07-24T00:00:00"/>
    <d v="2024-08-08T00:00:00"/>
    <n v="19"/>
    <n v="4"/>
    <n v="8"/>
    <n v="13.62"/>
    <n v="108.96"/>
    <n v="0.12"/>
    <n v="13.08"/>
    <n v="95.88"/>
    <n v="73"/>
    <n v="22.88"/>
  </r>
  <r>
    <n v="200218"/>
    <n v="4420"/>
    <x v="1"/>
    <x v="1"/>
    <x v="0"/>
    <s v="Sofa"/>
    <x v="509"/>
    <d v="2024-01-29T00:00:00"/>
    <d v="2024-02-14T00:00:00"/>
    <n v="18"/>
    <n v="2"/>
    <n v="9"/>
    <n v="654.28"/>
    <n v="5888.52"/>
    <n v="0.13"/>
    <n v="765.51"/>
    <n v="5123.01"/>
    <n v="3768.65"/>
    <n v="1354.36"/>
  </r>
  <r>
    <n v="200219"/>
    <n v="4169"/>
    <x v="0"/>
    <x v="2"/>
    <x v="0"/>
    <s v="Table"/>
    <x v="373"/>
    <d v="2024-08-25T00:00:00"/>
    <d v="2024-08-28T00:00:00"/>
    <n v="7"/>
    <n v="4"/>
    <n v="14"/>
    <n v="128.87"/>
    <n v="1804.18"/>
    <n v="0.1"/>
    <n v="180.42"/>
    <n v="1623.76"/>
    <n v="1046.42"/>
    <n v="577.34"/>
  </r>
  <r>
    <n v="200220"/>
    <n v="4244"/>
    <x v="0"/>
    <x v="2"/>
    <x v="2"/>
    <s v="Headphones"/>
    <x v="412"/>
    <d v="2024-02-14T00:00:00"/>
    <d v="2024-02-13T00:00:00"/>
    <n v="3"/>
    <n v="4"/>
    <n v="10"/>
    <n v="92.59"/>
    <n v="925.9"/>
    <n v="0.14000000000000001"/>
    <n v="129.63"/>
    <n v="796.27"/>
    <n v="592.58000000000004"/>
    <n v="203.69"/>
  </r>
  <r>
    <n v="200221"/>
    <n v="4000"/>
    <x v="1"/>
    <x v="1"/>
    <x v="0"/>
    <s v="Sofa"/>
    <x v="364"/>
    <d v="2024-02-14T00:00:00"/>
    <d v="2024-03-09T00:00:00"/>
    <n v="26"/>
    <n v="2"/>
    <n v="5"/>
    <n v="86.02"/>
    <n v="430.1"/>
    <n v="0.06"/>
    <n v="25.81"/>
    <n v="404.29"/>
    <n v="249.46"/>
    <n v="154.83000000000001"/>
  </r>
  <r>
    <n v="200222"/>
    <n v="3595"/>
    <x v="2"/>
    <x v="1"/>
    <x v="0"/>
    <s v="Table"/>
    <x v="403"/>
    <d v="2024-12-08T00:00:00"/>
    <d v="2024-12-27T00:00:00"/>
    <n v="20"/>
    <n v="1"/>
    <n v="12"/>
    <n v="461.73"/>
    <n v="5540.76"/>
    <n v="0.06"/>
    <n v="332.45"/>
    <n v="5208.3100000000004"/>
    <n v="3490.68"/>
    <n v="1717.63"/>
  </r>
  <r>
    <n v="200223"/>
    <n v="3093"/>
    <x v="0"/>
    <x v="1"/>
    <x v="2"/>
    <s v="Phone"/>
    <x v="510"/>
    <d v="2024-09-29T00:00:00"/>
    <d v="2024-10-15T00:00:00"/>
    <n v="18"/>
    <n v="2"/>
    <n v="9"/>
    <n v="168.57"/>
    <n v="1517.13"/>
    <n v="0.02"/>
    <n v="30.34"/>
    <n v="1486.79"/>
    <n v="940.62"/>
    <n v="546.16999999999996"/>
  </r>
  <r>
    <n v="200224"/>
    <n v="3713"/>
    <x v="0"/>
    <x v="0"/>
    <x v="1"/>
    <s v="Beverage"/>
    <x v="488"/>
    <d v="2024-07-05T00:00:00"/>
    <d v="2024-07-04T00:00:00"/>
    <n v="3"/>
    <n v="4"/>
    <n v="13"/>
    <n v="223.53"/>
    <n v="2905.89"/>
    <n v="0.03"/>
    <n v="87.18"/>
    <n v="2818.71"/>
    <n v="1946.95"/>
    <n v="871.76"/>
  </r>
  <r>
    <n v="200225"/>
    <n v="3971"/>
    <x v="2"/>
    <x v="0"/>
    <x v="3"/>
    <s v="Jeans"/>
    <x v="393"/>
    <d v="2024-05-24T00:00:00"/>
    <d v="2024-05-26T00:00:00"/>
    <n v="3"/>
    <n v="1"/>
    <n v="13"/>
    <n v="405.93"/>
    <n v="5277.09"/>
    <n v="0"/>
    <n v="0"/>
    <n v="5277.09"/>
    <n v="2849.63"/>
    <n v="2427.46"/>
  </r>
  <r>
    <n v="200226"/>
    <n v="2976"/>
    <x v="1"/>
    <x v="2"/>
    <x v="3"/>
    <s v="Jeans"/>
    <x v="475"/>
    <d v="2024-01-19T00:00:00"/>
    <d v="2024-01-30T00:00:00"/>
    <n v="13"/>
    <n v="2"/>
    <n v="10"/>
    <n v="324.69"/>
    <n v="3246.9"/>
    <n v="0.2"/>
    <n v="649.38"/>
    <n v="2597.52"/>
    <n v="2110.48"/>
    <n v="487.04"/>
  </r>
  <r>
    <n v="200227"/>
    <n v="4678"/>
    <x v="1"/>
    <x v="0"/>
    <x v="1"/>
    <s v="Beverage"/>
    <x v="511"/>
    <d v="2024-08-18T00:00:00"/>
    <d v="2024-08-24T00:00:00"/>
    <n v="8"/>
    <n v="2"/>
    <n v="11"/>
    <n v="602.9"/>
    <n v="6631.9"/>
    <n v="0.17"/>
    <n v="1127.42"/>
    <n v="5504.48"/>
    <n v="4111.78"/>
    <n v="1392.7"/>
  </r>
  <r>
    <n v="200228"/>
    <n v="1192"/>
    <x v="2"/>
    <x v="1"/>
    <x v="1"/>
    <s v="Beverage"/>
    <x v="464"/>
    <d v="2024-02-07T00:00:00"/>
    <d v="2024-02-24T00:00:00"/>
    <n v="20"/>
    <n v="3"/>
    <n v="14"/>
    <n v="562.87"/>
    <n v="7880.18"/>
    <n v="0.12"/>
    <n v="945.62"/>
    <n v="6934.56"/>
    <n v="5752.53"/>
    <n v="1182.03"/>
  </r>
  <r>
    <n v="200229"/>
    <n v="2119"/>
    <x v="2"/>
    <x v="0"/>
    <x v="2"/>
    <s v="Tablet"/>
    <x v="358"/>
    <d v="2024-11-24T00:00:00"/>
    <d v="2024-12-05T00:00:00"/>
    <n v="16"/>
    <n v="5"/>
    <n v="3"/>
    <n v="740.11"/>
    <n v="2220.33"/>
    <n v="0.2"/>
    <n v="444.07"/>
    <n v="1776.26"/>
    <n v="1309.99"/>
    <n v="466.27"/>
  </r>
  <r>
    <n v="200230"/>
    <n v="2019"/>
    <x v="1"/>
    <x v="1"/>
    <x v="3"/>
    <s v="Jeans"/>
    <x v="393"/>
    <d v="2024-05-25T00:00:00"/>
    <d v="2024-06-01T00:00:00"/>
    <n v="9"/>
    <n v="2"/>
    <n v="9"/>
    <n v="347.56"/>
    <n v="3128.04"/>
    <n v="0.08"/>
    <n v="250.24"/>
    <n v="2877.8"/>
    <n v="1595.3"/>
    <n v="1282.5"/>
  </r>
  <r>
    <n v="200231"/>
    <n v="3389"/>
    <x v="1"/>
    <x v="0"/>
    <x v="3"/>
    <s v="Jeans"/>
    <x v="372"/>
    <d v="2024-09-25T00:00:00"/>
    <d v="2024-10-20T00:00:00"/>
    <n v="30"/>
    <n v="5"/>
    <n v="6"/>
    <n v="308.22000000000003"/>
    <n v="1849.32"/>
    <n v="0.13"/>
    <n v="240.41"/>
    <n v="1608.91"/>
    <n v="1276.03"/>
    <n v="332.88"/>
  </r>
  <r>
    <n v="200232"/>
    <n v="2567"/>
    <x v="1"/>
    <x v="1"/>
    <x v="3"/>
    <s v="Shirt"/>
    <x v="430"/>
    <d v="2024-06-11T00:00:00"/>
    <d v="2024-06-29T00:00:00"/>
    <n v="19"/>
    <n v="1"/>
    <n v="7"/>
    <n v="110.88"/>
    <n v="776.16"/>
    <n v="0.08"/>
    <n v="62.09"/>
    <n v="714.07"/>
    <n v="496.74"/>
    <n v="217.33"/>
  </r>
  <r>
    <n v="200233"/>
    <n v="2960"/>
    <x v="2"/>
    <x v="0"/>
    <x v="0"/>
    <s v="Lamp"/>
    <x v="509"/>
    <d v="2024-01-30T00:00:00"/>
    <d v="2024-02-14T00:00:00"/>
    <n v="18"/>
    <n v="3"/>
    <n v="10"/>
    <n v="360.51"/>
    <n v="3605.1"/>
    <n v="7.0000000000000007E-2"/>
    <n v="252.36"/>
    <n v="3352.74"/>
    <n v="2379.37"/>
    <n v="973.37"/>
  </r>
  <r>
    <n v="200234"/>
    <n v="4160"/>
    <x v="0"/>
    <x v="2"/>
    <x v="3"/>
    <s v="Shoes"/>
    <x v="363"/>
    <d v="2024-09-17T00:00:00"/>
    <d v="2024-10-13T00:00:00"/>
    <n v="28"/>
    <n v="2"/>
    <n v="13"/>
    <n v="280.39999999999998"/>
    <n v="3645.2"/>
    <n v="0.17"/>
    <n v="619.67999999999995"/>
    <n v="3025.52"/>
    <n v="2442.2800000000002"/>
    <n v="583.24"/>
  </r>
  <r>
    <n v="200235"/>
    <n v="4380"/>
    <x v="0"/>
    <x v="2"/>
    <x v="0"/>
    <s v="Cookware"/>
    <x v="512"/>
    <d v="2024-05-06T00:00:00"/>
    <d v="2024-05-18T00:00:00"/>
    <n v="14"/>
    <n v="2"/>
    <n v="4"/>
    <n v="205.91"/>
    <n v="823.64"/>
    <n v="0.14000000000000001"/>
    <n v="115.31"/>
    <n v="708.33"/>
    <n v="576.54999999999995"/>
    <n v="131.78"/>
  </r>
  <r>
    <n v="200236"/>
    <n v="1151"/>
    <x v="1"/>
    <x v="0"/>
    <x v="1"/>
    <s v="Rice"/>
    <x v="513"/>
    <d v="2024-12-01T00:00:00"/>
    <d v="2024-12-29T00:00:00"/>
    <n v="29"/>
    <n v="1"/>
    <n v="7"/>
    <n v="452.23"/>
    <n v="3165.61"/>
    <n v="0.09"/>
    <n v="284.89999999999998"/>
    <n v="2880.71"/>
    <n v="2089.3000000000002"/>
    <n v="791.41"/>
  </r>
  <r>
    <n v="200237"/>
    <n v="2425"/>
    <x v="0"/>
    <x v="1"/>
    <x v="1"/>
    <s v="Beverage"/>
    <x v="514"/>
    <d v="2024-05-24T00:00:00"/>
    <d v="2024-06-13T00:00:00"/>
    <n v="25"/>
    <n v="5"/>
    <n v="4"/>
    <n v="580.51"/>
    <n v="2322.04"/>
    <n v="0.08"/>
    <n v="185.76"/>
    <n v="2136.2800000000002"/>
    <n v="1462.89"/>
    <n v="673.39"/>
  </r>
  <r>
    <n v="200238"/>
    <n v="4936"/>
    <x v="3"/>
    <x v="1"/>
    <x v="2"/>
    <s v="Headphones"/>
    <x v="407"/>
    <d v="2024-08-13T00:00:00"/>
    <d v="2024-08-22T00:00:00"/>
    <n v="12"/>
    <n v="3"/>
    <n v="13"/>
    <n v="42.84"/>
    <n v="556.91999999999996"/>
    <n v="0.08"/>
    <n v="44.55"/>
    <n v="512.37"/>
    <n v="350.86"/>
    <n v="161.51"/>
  </r>
  <r>
    <n v="200239"/>
    <n v="1476"/>
    <x v="3"/>
    <x v="0"/>
    <x v="1"/>
    <s v="Snacks"/>
    <x v="391"/>
    <d v="2024-06-22T00:00:00"/>
    <d v="2024-07-03T00:00:00"/>
    <n v="13"/>
    <n v="2"/>
    <n v="7"/>
    <n v="506.89"/>
    <n v="3548.23"/>
    <n v="0.09"/>
    <n v="319.33999999999997"/>
    <n v="3228.89"/>
    <n v="2164.42"/>
    <n v="1064.47"/>
  </r>
  <r>
    <n v="200240"/>
    <n v="4407"/>
    <x v="0"/>
    <x v="1"/>
    <x v="2"/>
    <s v="Headphones"/>
    <x v="373"/>
    <d v="2024-08-23T00:00:00"/>
    <d v="2024-09-14T00:00:00"/>
    <n v="24"/>
    <n v="2"/>
    <n v="10"/>
    <n v="395.99"/>
    <n v="3959.9"/>
    <n v="0.04"/>
    <n v="158.4"/>
    <n v="3801.5"/>
    <n v="2732.33"/>
    <n v="1069.17"/>
  </r>
  <r>
    <n v="200241"/>
    <n v="1089"/>
    <x v="0"/>
    <x v="1"/>
    <x v="1"/>
    <s v="Pasta"/>
    <x v="515"/>
    <d v="2024-08-13T00:00:00"/>
    <d v="2024-09-03T00:00:00"/>
    <n v="26"/>
    <n v="5"/>
    <n v="13"/>
    <n v="522.04999999999995"/>
    <n v="6786.65"/>
    <n v="0"/>
    <n v="0"/>
    <n v="6786.65"/>
    <n v="4071.99"/>
    <n v="2714.66"/>
  </r>
  <r>
    <n v="200242"/>
    <n v="2624"/>
    <x v="3"/>
    <x v="1"/>
    <x v="3"/>
    <s v="Jacket"/>
    <x v="516"/>
    <d v="2024-12-31T00:00:00"/>
    <d v="2025-01-24T00:00:00"/>
    <n v="28"/>
    <n v="4"/>
    <n v="9"/>
    <n v="21.05"/>
    <n v="189.45"/>
    <n v="0.04"/>
    <n v="7.58"/>
    <n v="181.87"/>
    <n v="126.93"/>
    <n v="54.94"/>
  </r>
  <r>
    <n v="200243"/>
    <n v="1107"/>
    <x v="1"/>
    <x v="2"/>
    <x v="1"/>
    <s v="Rice"/>
    <x v="517"/>
    <d v="2024-02-09T00:00:00"/>
    <d v="2024-02-22T00:00:00"/>
    <n v="17"/>
    <n v="4"/>
    <n v="5"/>
    <n v="430.94"/>
    <n v="2154.6999999999998"/>
    <n v="0.18"/>
    <n v="387.85"/>
    <n v="1766.85"/>
    <n v="1400.55"/>
    <n v="366.3"/>
  </r>
  <r>
    <n v="200244"/>
    <n v="3736"/>
    <x v="0"/>
    <x v="2"/>
    <x v="0"/>
    <s v="Cookware"/>
    <x v="449"/>
    <d v="2024-04-06T00:00:00"/>
    <d v="2024-04-28T00:00:00"/>
    <n v="23"/>
    <n v="1"/>
    <n v="14"/>
    <n v="736.57"/>
    <n v="10311.98"/>
    <n v="0.15"/>
    <n v="1546.8"/>
    <n v="8765.18"/>
    <n v="7115.27"/>
    <n v="1649.91"/>
  </r>
  <r>
    <n v="200245"/>
    <n v="2223"/>
    <x v="3"/>
    <x v="0"/>
    <x v="3"/>
    <s v="Shoes"/>
    <x v="498"/>
    <d v="2024-04-08T00:00:00"/>
    <d v="2024-04-20T00:00:00"/>
    <n v="14"/>
    <n v="2"/>
    <n v="7"/>
    <n v="520.19000000000005"/>
    <n v="3641.33"/>
    <n v="0.09"/>
    <n v="327.72"/>
    <n v="3313.61"/>
    <n v="2366.86"/>
    <n v="946.75"/>
  </r>
  <r>
    <n v="200246"/>
    <n v="2044"/>
    <x v="2"/>
    <x v="0"/>
    <x v="3"/>
    <s v="Shoes"/>
    <x v="518"/>
    <d v="2024-02-23T00:00:00"/>
    <d v="2024-02-22T00:00:00"/>
    <n v="4"/>
    <n v="5"/>
    <n v="3"/>
    <n v="606.04"/>
    <n v="1818.12"/>
    <n v="0.11"/>
    <n v="199.99"/>
    <n v="1618.13"/>
    <n v="1109.05"/>
    <n v="509.08"/>
  </r>
  <r>
    <n v="200247"/>
    <n v="2635"/>
    <x v="2"/>
    <x v="0"/>
    <x v="2"/>
    <s v="Phone"/>
    <x v="519"/>
    <d v="2024-12-18T00:00:00"/>
    <d v="2024-12-30T00:00:00"/>
    <n v="17"/>
    <n v="5"/>
    <n v="8"/>
    <n v="445.84"/>
    <n v="3566.72"/>
    <n v="0.15"/>
    <n v="535.01"/>
    <n v="3031.71"/>
    <n v="2247.0300000000002"/>
    <n v="784.68"/>
  </r>
  <r>
    <n v="200248"/>
    <n v="2187"/>
    <x v="3"/>
    <x v="0"/>
    <x v="3"/>
    <s v="Shirt"/>
    <x v="371"/>
    <d v="2024-08-16T00:00:00"/>
    <d v="2024-08-30T00:00:00"/>
    <n v="19"/>
    <n v="5"/>
    <n v="4"/>
    <n v="394.5"/>
    <n v="1578"/>
    <n v="0.14000000000000001"/>
    <n v="220.92"/>
    <n v="1357.08"/>
    <n v="899.46"/>
    <n v="457.62"/>
  </r>
  <r>
    <n v="200249"/>
    <n v="4304"/>
    <x v="0"/>
    <x v="0"/>
    <x v="2"/>
    <s v="Laptop"/>
    <x v="520"/>
    <d v="2024-05-07T00:00:00"/>
    <d v="2024-05-14T00:00:00"/>
    <n v="9"/>
    <n v="2"/>
    <n v="13"/>
    <n v="577.30999999999995"/>
    <n v="7505.03"/>
    <n v="0.05"/>
    <n v="375.25"/>
    <n v="7129.78"/>
    <n v="4578.07"/>
    <n v="2551.71"/>
  </r>
  <r>
    <n v="200250"/>
    <n v="2963"/>
    <x v="2"/>
    <x v="1"/>
    <x v="3"/>
    <s v="Jacket"/>
    <x v="521"/>
    <d v="2024-01-24T00:00:00"/>
    <d v="2024-02-01T00:00:00"/>
    <n v="10"/>
    <n v="2"/>
    <n v="1"/>
    <n v="578.07000000000005"/>
    <n v="578.07000000000005"/>
    <n v="0"/>
    <n v="0"/>
    <n v="578.07000000000005"/>
    <n v="369.96"/>
    <n v="208.11"/>
  </r>
  <r>
    <n v="200251"/>
    <n v="3519"/>
    <x v="2"/>
    <x v="0"/>
    <x v="0"/>
    <s v="Table"/>
    <x v="522"/>
    <d v="2024-04-06T00:00:00"/>
    <d v="2024-04-11T00:00:00"/>
    <n v="10"/>
    <n v="5"/>
    <n v="9"/>
    <n v="18.52"/>
    <n v="166.68"/>
    <n v="0.17"/>
    <n v="28.34"/>
    <n v="138.34"/>
    <n v="108.34"/>
    <n v="30"/>
  </r>
  <r>
    <n v="200252"/>
    <n v="2556"/>
    <x v="0"/>
    <x v="2"/>
    <x v="3"/>
    <s v="Jacket"/>
    <x v="523"/>
    <d v="2024-05-28T00:00:00"/>
    <d v="2024-05-29T00:00:00"/>
    <n v="5"/>
    <n v="4"/>
    <n v="10"/>
    <n v="140.81"/>
    <n v="1408.1"/>
    <n v="0.11"/>
    <n v="154.88999999999999"/>
    <n v="1253.21"/>
    <n v="802.62"/>
    <n v="450.59"/>
  </r>
  <r>
    <n v="200253"/>
    <n v="3703"/>
    <x v="2"/>
    <x v="0"/>
    <x v="2"/>
    <s v="Phone"/>
    <x v="418"/>
    <d v="2024-06-24T00:00:00"/>
    <d v="2024-07-08T00:00:00"/>
    <n v="16"/>
    <n v="2"/>
    <n v="9"/>
    <n v="248.54"/>
    <n v="2236.86"/>
    <n v="0.12"/>
    <n v="268.42"/>
    <n v="1968.44"/>
    <n v="1319.75"/>
    <n v="648.69000000000005"/>
  </r>
  <r>
    <n v="200254"/>
    <n v="3888"/>
    <x v="3"/>
    <x v="1"/>
    <x v="1"/>
    <s v="Pasta"/>
    <x v="452"/>
    <d v="2024-03-18T00:00:00"/>
    <d v="2024-03-24T00:00:00"/>
    <n v="7"/>
    <n v="1"/>
    <n v="1"/>
    <n v="596.88"/>
    <n v="596.88"/>
    <n v="0.04"/>
    <n v="23.88"/>
    <n v="573"/>
    <n v="393.94"/>
    <n v="179.06"/>
  </r>
  <r>
    <n v="200255"/>
    <n v="2482"/>
    <x v="1"/>
    <x v="1"/>
    <x v="3"/>
    <s v="Jeans"/>
    <x v="357"/>
    <d v="2024-04-27T00:00:00"/>
    <d v="2024-05-17T00:00:00"/>
    <n v="21"/>
    <n v="1"/>
    <n v="8"/>
    <n v="734.16"/>
    <n v="5873.28"/>
    <n v="0.2"/>
    <n v="1174.6600000000001"/>
    <n v="4698.62"/>
    <n v="3230.3"/>
    <n v="1468.32"/>
  </r>
  <r>
    <n v="200256"/>
    <n v="2216"/>
    <x v="2"/>
    <x v="1"/>
    <x v="3"/>
    <s v="Jeans"/>
    <x v="524"/>
    <d v="2024-05-29T00:00:00"/>
    <d v="2024-06-21T00:00:00"/>
    <n v="25"/>
    <n v="2"/>
    <n v="9"/>
    <n v="335"/>
    <n v="3015"/>
    <n v="0.15"/>
    <n v="452.25"/>
    <n v="2562.75"/>
    <n v="1718.55"/>
    <n v="844.2"/>
  </r>
  <r>
    <n v="200257"/>
    <n v="4543"/>
    <x v="0"/>
    <x v="0"/>
    <x v="1"/>
    <s v="Snacks"/>
    <x v="401"/>
    <d v="2024-10-05T00:00:00"/>
    <d v="2024-11-03T00:00:00"/>
    <n v="30"/>
    <n v="1"/>
    <n v="13"/>
    <n v="445.34"/>
    <n v="5789.42"/>
    <n v="0.09"/>
    <n v="521.04999999999995"/>
    <n v="5268.37"/>
    <n v="3763.12"/>
    <n v="1505.25"/>
  </r>
  <r>
    <n v="200258"/>
    <n v="4915"/>
    <x v="0"/>
    <x v="0"/>
    <x v="0"/>
    <s v="Cookware"/>
    <x v="457"/>
    <d v="2024-11-12T00:00:00"/>
    <d v="2024-11-12T00:00:00"/>
    <n v="5"/>
    <n v="5"/>
    <n v="12"/>
    <n v="18.28"/>
    <n v="219.36"/>
    <n v="0.09"/>
    <n v="19.739999999999998"/>
    <n v="199.62"/>
    <n v="133.81"/>
    <n v="65.81"/>
  </r>
  <r>
    <n v="200259"/>
    <n v="3221"/>
    <x v="3"/>
    <x v="1"/>
    <x v="1"/>
    <s v="Snacks"/>
    <x v="525"/>
    <d v="2024-01-13T00:00:00"/>
    <d v="2024-01-22T00:00:00"/>
    <n v="12"/>
    <n v="3"/>
    <n v="14"/>
    <n v="152.02000000000001"/>
    <n v="2128.2800000000002"/>
    <n v="0.18"/>
    <n v="383.09"/>
    <n v="1745.19"/>
    <n v="1191.8399999999999"/>
    <n v="553.35"/>
  </r>
  <r>
    <n v="200260"/>
    <n v="2714"/>
    <x v="2"/>
    <x v="1"/>
    <x v="3"/>
    <s v="Shoes"/>
    <x v="526"/>
    <d v="2025-01-03T00:00:00"/>
    <d v="2025-01-05T00:00:00"/>
    <n v="6"/>
    <n v="4"/>
    <n v="3"/>
    <n v="157.81"/>
    <n v="473.43"/>
    <n v="0.14000000000000001"/>
    <n v="66.28"/>
    <n v="407.15"/>
    <n v="307.73"/>
    <n v="99.42"/>
  </r>
  <r>
    <n v="200261"/>
    <n v="2861"/>
    <x v="0"/>
    <x v="0"/>
    <x v="3"/>
    <s v="Jacket"/>
    <x v="527"/>
    <d v="2024-10-03T00:00:00"/>
    <d v="2024-10-07T00:00:00"/>
    <n v="7"/>
    <n v="3"/>
    <n v="3"/>
    <n v="717.85"/>
    <n v="2153.5500000000002"/>
    <n v="0.01"/>
    <n v="21.54"/>
    <n v="2132.0100000000002"/>
    <n v="1184.45"/>
    <n v="947.56"/>
  </r>
  <r>
    <n v="200262"/>
    <n v="4370"/>
    <x v="1"/>
    <x v="2"/>
    <x v="0"/>
    <s v="Sofa"/>
    <x v="448"/>
    <d v="2024-01-27T00:00:00"/>
    <d v="2024-02-10T00:00:00"/>
    <n v="15"/>
    <n v="1"/>
    <n v="1"/>
    <n v="703.23"/>
    <n v="703.23"/>
    <n v="0.12"/>
    <n v="84.39"/>
    <n v="618.84"/>
    <n v="400.84"/>
    <n v="218"/>
  </r>
  <r>
    <n v="200263"/>
    <n v="1068"/>
    <x v="2"/>
    <x v="1"/>
    <x v="1"/>
    <s v="Pasta"/>
    <x v="528"/>
    <d v="2024-08-25T00:00:00"/>
    <d v="2024-09-07T00:00:00"/>
    <n v="16"/>
    <n v="3"/>
    <n v="6"/>
    <n v="6.66"/>
    <n v="39.96"/>
    <n v="0.05"/>
    <n v="2"/>
    <n v="37.96"/>
    <n v="25.17"/>
    <n v="12.79"/>
  </r>
  <r>
    <n v="200264"/>
    <n v="3863"/>
    <x v="2"/>
    <x v="0"/>
    <x v="1"/>
    <s v="Rice"/>
    <x v="529"/>
    <d v="2024-07-30T00:00:00"/>
    <d v="2024-08-12T00:00:00"/>
    <n v="14"/>
    <n v="1"/>
    <n v="14"/>
    <n v="91.49"/>
    <n v="1280.8599999999999"/>
    <n v="0.06"/>
    <n v="76.849999999999994"/>
    <n v="1204.01"/>
    <n v="935.03"/>
    <n v="268.98"/>
  </r>
  <r>
    <n v="200265"/>
    <n v="3178"/>
    <x v="1"/>
    <x v="0"/>
    <x v="1"/>
    <s v="Snacks"/>
    <x v="530"/>
    <d v="2024-02-23T00:00:00"/>
    <d v="2024-03-04T00:00:00"/>
    <n v="14"/>
    <n v="4"/>
    <n v="1"/>
    <n v="651.63"/>
    <n v="651.63"/>
    <n v="0.17"/>
    <n v="110.78"/>
    <n v="540.85"/>
    <n v="423.56"/>
    <n v="117.29"/>
  </r>
  <r>
    <n v="200266"/>
    <n v="4078"/>
    <x v="3"/>
    <x v="0"/>
    <x v="2"/>
    <s v="Laptop"/>
    <x v="531"/>
    <d v="2024-04-26T00:00:00"/>
    <d v="2024-05-20T00:00:00"/>
    <n v="27"/>
    <n v="3"/>
    <n v="11"/>
    <n v="756.2"/>
    <n v="8318.2000000000007"/>
    <n v="0.13"/>
    <n v="1081.3699999999999"/>
    <n v="7236.83"/>
    <n v="5656.38"/>
    <n v="1580.45"/>
  </r>
  <r>
    <n v="200267"/>
    <n v="2976"/>
    <x v="1"/>
    <x v="0"/>
    <x v="2"/>
    <s v="Headphones"/>
    <x v="438"/>
    <d v="2024-01-16T00:00:00"/>
    <d v="2024-02-10T00:00:00"/>
    <n v="30"/>
    <n v="5"/>
    <n v="9"/>
    <n v="311.85000000000002"/>
    <n v="2806.65"/>
    <n v="0.13"/>
    <n v="364.86"/>
    <n v="2441.79"/>
    <n v="1712.06"/>
    <n v="729.73"/>
  </r>
  <r>
    <n v="200268"/>
    <n v="2293"/>
    <x v="2"/>
    <x v="0"/>
    <x v="3"/>
    <s v="Shoes"/>
    <x v="440"/>
    <d v="2024-05-20T00:00:00"/>
    <d v="2024-06-06T00:00:00"/>
    <n v="22"/>
    <n v="5"/>
    <n v="5"/>
    <n v="653.4"/>
    <n v="3267"/>
    <n v="0.13"/>
    <n v="424.71"/>
    <n v="2842.29"/>
    <n v="2319.5700000000002"/>
    <n v="522.72"/>
  </r>
  <r>
    <n v="200269"/>
    <n v="1662"/>
    <x v="2"/>
    <x v="1"/>
    <x v="2"/>
    <s v="Headphones"/>
    <x v="513"/>
    <d v="2024-12-03T00:00:00"/>
    <d v="2024-12-21T00:00:00"/>
    <n v="21"/>
    <n v="3"/>
    <n v="14"/>
    <n v="492.09"/>
    <n v="6889.26"/>
    <n v="0.01"/>
    <n v="68.89"/>
    <n v="6820.37"/>
    <n v="3789.09"/>
    <n v="3031.28"/>
  </r>
  <r>
    <n v="200270"/>
    <n v="4210"/>
    <x v="2"/>
    <x v="0"/>
    <x v="0"/>
    <s v="Table"/>
    <x v="434"/>
    <d v="2024-08-08T00:00:00"/>
    <d v="2024-08-22T00:00:00"/>
    <n v="15"/>
    <n v="1"/>
    <n v="6"/>
    <n v="601.66999999999996"/>
    <n v="3610.02"/>
    <n v="0.04"/>
    <n v="144.4"/>
    <n v="3465.62"/>
    <n v="2310.41"/>
    <n v="1155.21"/>
  </r>
  <r>
    <n v="200271"/>
    <n v="2739"/>
    <x v="0"/>
    <x v="0"/>
    <x v="0"/>
    <s v="Table"/>
    <x v="353"/>
    <d v="2024-10-16T00:00:00"/>
    <d v="2024-11-11T00:00:00"/>
    <n v="29"/>
    <n v="3"/>
    <n v="2"/>
    <n v="312.2"/>
    <n v="624.4"/>
    <n v="0.16"/>
    <n v="99.9"/>
    <n v="524.5"/>
    <n v="405.86"/>
    <n v="118.64"/>
  </r>
  <r>
    <n v="200272"/>
    <n v="3303"/>
    <x v="1"/>
    <x v="0"/>
    <x v="0"/>
    <s v="Sofa"/>
    <x v="532"/>
    <d v="2024-06-02T00:00:00"/>
    <d v="2024-06-19T00:00:00"/>
    <n v="21"/>
    <n v="4"/>
    <n v="2"/>
    <n v="236.23"/>
    <n v="472.46"/>
    <n v="0.1"/>
    <n v="47.25"/>
    <n v="425.21"/>
    <n v="283.48"/>
    <n v="141.72999999999999"/>
  </r>
  <r>
    <n v="200273"/>
    <n v="4706"/>
    <x v="3"/>
    <x v="1"/>
    <x v="3"/>
    <s v="Jacket"/>
    <x v="425"/>
    <d v="2024-04-22T00:00:00"/>
    <d v="2024-05-02T00:00:00"/>
    <n v="13"/>
    <n v="3"/>
    <n v="6"/>
    <n v="597.17999999999995"/>
    <n v="3583.08"/>
    <n v="0.1"/>
    <n v="358.31"/>
    <n v="3224.77"/>
    <n v="2400.66"/>
    <n v="824.11"/>
  </r>
  <r>
    <n v="200274"/>
    <n v="4051"/>
    <x v="1"/>
    <x v="2"/>
    <x v="0"/>
    <s v="Lamp"/>
    <x v="533"/>
    <d v="2024-04-15T00:00:00"/>
    <d v="2024-04-14T00:00:00"/>
    <n v="2"/>
    <n v="3"/>
    <n v="11"/>
    <n v="302.52"/>
    <n v="3327.72"/>
    <n v="0.14000000000000001"/>
    <n v="465.88"/>
    <n v="2861.84"/>
    <n v="2129.7399999999998"/>
    <n v="732.1"/>
  </r>
  <r>
    <n v="200275"/>
    <n v="2496"/>
    <x v="2"/>
    <x v="0"/>
    <x v="1"/>
    <s v="Snacks"/>
    <x v="534"/>
    <d v="2024-12-17T00:00:00"/>
    <d v="2024-12-21T00:00:00"/>
    <n v="6"/>
    <n v="2"/>
    <n v="5"/>
    <n v="713.97"/>
    <n v="3569.85"/>
    <n v="0.09"/>
    <n v="321.29000000000002"/>
    <n v="3248.56"/>
    <n v="2677.39"/>
    <n v="571.16999999999996"/>
  </r>
  <r>
    <n v="200276"/>
    <n v="3084"/>
    <x v="1"/>
    <x v="0"/>
    <x v="3"/>
    <s v="Shirt"/>
    <x v="453"/>
    <d v="2024-02-20T00:00:00"/>
    <d v="2024-03-17T00:00:00"/>
    <n v="29"/>
    <n v="3"/>
    <n v="7"/>
    <n v="306.85000000000002"/>
    <n v="2147.9499999999998"/>
    <n v="0.02"/>
    <n v="42.96"/>
    <n v="2104.9899999999998"/>
    <n v="1546.52"/>
    <n v="558.47"/>
  </r>
  <r>
    <n v="200277"/>
    <n v="2174"/>
    <x v="0"/>
    <x v="2"/>
    <x v="1"/>
    <s v="Beverage"/>
    <x v="403"/>
    <d v="2024-12-10T00:00:00"/>
    <d v="2024-12-28T00:00:00"/>
    <n v="21"/>
    <n v="3"/>
    <n v="8"/>
    <n v="462.98"/>
    <n v="3703.84"/>
    <n v="7.0000000000000007E-2"/>
    <n v="259.27"/>
    <n v="3444.57"/>
    <n v="2629.73"/>
    <n v="814.84"/>
  </r>
  <r>
    <n v="200278"/>
    <n v="3230"/>
    <x v="2"/>
    <x v="0"/>
    <x v="0"/>
    <s v="Table"/>
    <x v="535"/>
    <d v="2024-05-19T00:00:00"/>
    <d v="2024-05-25T00:00:00"/>
    <n v="11"/>
    <n v="5"/>
    <n v="1"/>
    <n v="656.9"/>
    <n v="656.9"/>
    <n v="0.06"/>
    <n v="39.409999999999997"/>
    <n v="617.49"/>
    <n v="440.12"/>
    <n v="177.37"/>
  </r>
  <r>
    <n v="200279"/>
    <n v="1528"/>
    <x v="1"/>
    <x v="0"/>
    <x v="3"/>
    <s v="Jacket"/>
    <x v="536"/>
    <d v="2024-02-28T00:00:00"/>
    <d v="2024-03-05T00:00:00"/>
    <n v="10"/>
    <n v="4"/>
    <n v="5"/>
    <n v="461.32"/>
    <n v="2306.6"/>
    <n v="0.11"/>
    <n v="253.73"/>
    <n v="2052.87"/>
    <n v="1683.82"/>
    <n v="369.05"/>
  </r>
  <r>
    <n v="200280"/>
    <n v="4333"/>
    <x v="2"/>
    <x v="0"/>
    <x v="0"/>
    <s v="Cookware"/>
    <x v="537"/>
    <d v="2024-08-29T00:00:00"/>
    <d v="2024-09-06T00:00:00"/>
    <n v="9"/>
    <n v="1"/>
    <n v="6"/>
    <n v="65.91"/>
    <n v="395.46"/>
    <n v="7.0000000000000007E-2"/>
    <n v="27.68"/>
    <n v="367.78"/>
    <n v="264.95999999999998"/>
    <n v="102.82"/>
  </r>
  <r>
    <n v="200281"/>
    <n v="4246"/>
    <x v="1"/>
    <x v="2"/>
    <x v="0"/>
    <s v="Cookware"/>
    <x v="538"/>
    <d v="2024-07-08T00:00:00"/>
    <d v="2024-07-19T00:00:00"/>
    <n v="15"/>
    <n v="4"/>
    <n v="14"/>
    <n v="8.5500000000000007"/>
    <n v="119.7"/>
    <n v="0.11"/>
    <n v="13.17"/>
    <n v="106.53"/>
    <n v="83.79"/>
    <n v="22.74"/>
  </r>
  <r>
    <n v="200282"/>
    <n v="3671"/>
    <x v="2"/>
    <x v="0"/>
    <x v="1"/>
    <s v="Snacks"/>
    <x v="474"/>
    <d v="2024-08-09T00:00:00"/>
    <d v="2024-08-27T00:00:00"/>
    <n v="23"/>
    <n v="5"/>
    <n v="8"/>
    <n v="329.82"/>
    <n v="2638.56"/>
    <n v="0.18"/>
    <n v="474.94"/>
    <n v="2163.62"/>
    <n v="1794.22"/>
    <n v="369.4"/>
  </r>
  <r>
    <n v="200283"/>
    <n v="3892"/>
    <x v="0"/>
    <x v="2"/>
    <x v="0"/>
    <s v="Table"/>
    <x v="539"/>
    <d v="2024-02-01T00:00:00"/>
    <d v="2024-02-04T00:00:00"/>
    <n v="4"/>
    <n v="1"/>
    <n v="1"/>
    <n v="371.6"/>
    <n v="371.6"/>
    <n v="7.0000000000000007E-2"/>
    <n v="26.01"/>
    <n v="345.59"/>
    <n v="241.54"/>
    <n v="104.05"/>
  </r>
  <r>
    <n v="200284"/>
    <n v="2841"/>
    <x v="1"/>
    <x v="2"/>
    <x v="1"/>
    <s v="Snacks"/>
    <x v="494"/>
    <d v="2024-02-02T00:00:00"/>
    <d v="2024-02-24T00:00:00"/>
    <n v="26"/>
    <n v="4"/>
    <n v="13"/>
    <n v="734.99"/>
    <n v="9554.8700000000008"/>
    <n v="0.1"/>
    <n v="955.49"/>
    <n v="8599.3799999999992"/>
    <n v="6115.12"/>
    <n v="2484.2600000000002"/>
  </r>
  <r>
    <n v="200285"/>
    <n v="4070"/>
    <x v="3"/>
    <x v="1"/>
    <x v="0"/>
    <s v="Table"/>
    <x v="485"/>
    <d v="2024-10-12T00:00:00"/>
    <d v="2024-10-30T00:00:00"/>
    <n v="20"/>
    <n v="2"/>
    <n v="12"/>
    <n v="198.89"/>
    <n v="2386.6799999999998"/>
    <n v="0.03"/>
    <n v="71.599999999999994"/>
    <n v="2315.08"/>
    <n v="1384.27"/>
    <n v="930.81"/>
  </r>
  <r>
    <n v="200286"/>
    <n v="3791"/>
    <x v="0"/>
    <x v="1"/>
    <x v="3"/>
    <s v="Shoes"/>
    <x v="540"/>
    <d v="2024-03-11T00:00:00"/>
    <d v="2024-03-26T00:00:00"/>
    <n v="18"/>
    <n v="3"/>
    <n v="5"/>
    <n v="631.6"/>
    <n v="3158"/>
    <n v="0.09"/>
    <n v="284.22000000000003"/>
    <n v="2873.78"/>
    <n v="1831.64"/>
    <n v="1042.1400000000001"/>
  </r>
  <r>
    <n v="200287"/>
    <n v="1223"/>
    <x v="1"/>
    <x v="0"/>
    <x v="0"/>
    <s v="Table"/>
    <x v="541"/>
    <d v="2024-07-17T00:00:00"/>
    <d v="2024-07-31T00:00:00"/>
    <n v="17"/>
    <n v="3"/>
    <n v="8"/>
    <n v="321.94"/>
    <n v="2575.52"/>
    <n v="0.2"/>
    <n v="515.1"/>
    <n v="2060.42"/>
    <n v="1648.33"/>
    <n v="412.09"/>
  </r>
  <r>
    <n v="200288"/>
    <n v="1317"/>
    <x v="0"/>
    <x v="0"/>
    <x v="2"/>
    <s v="Laptop"/>
    <x v="542"/>
    <d v="2024-09-02T00:00:00"/>
    <d v="2024-09-08T00:00:00"/>
    <n v="9"/>
    <n v="3"/>
    <n v="8"/>
    <n v="180.15"/>
    <n v="1441.2"/>
    <n v="0.08"/>
    <n v="115.3"/>
    <n v="1325.9"/>
    <n v="1109.72"/>
    <n v="216.18"/>
  </r>
  <r>
    <n v="200289"/>
    <n v="4275"/>
    <x v="3"/>
    <x v="0"/>
    <x v="3"/>
    <s v="Jeans"/>
    <x v="543"/>
    <d v="2024-12-09T00:00:00"/>
    <d v="2024-12-11T00:00:00"/>
    <n v="6"/>
    <n v="4"/>
    <n v="1"/>
    <n v="188.66"/>
    <n v="188.66"/>
    <n v="0.12"/>
    <n v="22.64"/>
    <n v="166.02"/>
    <n v="122.63"/>
    <n v="43.39"/>
  </r>
  <r>
    <n v="200290"/>
    <n v="2491"/>
    <x v="0"/>
    <x v="2"/>
    <x v="1"/>
    <s v="Pasta"/>
    <x v="544"/>
    <d v="2024-07-28T00:00:00"/>
    <d v="2024-08-06T00:00:00"/>
    <n v="13"/>
    <n v="4"/>
    <n v="9"/>
    <n v="436.68"/>
    <n v="3930.12"/>
    <n v="7.0000000000000007E-2"/>
    <n v="275.11"/>
    <n v="3655.01"/>
    <n v="2397.37"/>
    <n v="1257.6400000000001"/>
  </r>
  <r>
    <n v="200291"/>
    <n v="4100"/>
    <x v="1"/>
    <x v="0"/>
    <x v="3"/>
    <s v="Jeans"/>
    <x v="545"/>
    <d v="2024-05-28T00:00:00"/>
    <d v="2024-06-08T00:00:00"/>
    <n v="14"/>
    <n v="3"/>
    <n v="9"/>
    <n v="67.37"/>
    <n v="606.33000000000004"/>
    <n v="0"/>
    <n v="0"/>
    <n v="606.33000000000004"/>
    <n v="345.61"/>
    <n v="260.72000000000003"/>
  </r>
  <r>
    <n v="200292"/>
    <n v="4420"/>
    <x v="2"/>
    <x v="0"/>
    <x v="2"/>
    <s v="Headphones"/>
    <x v="546"/>
    <d v="2024-05-22T00:00:00"/>
    <d v="2024-05-31T00:00:00"/>
    <n v="13"/>
    <n v="4"/>
    <n v="2"/>
    <n v="527.70000000000005"/>
    <n v="1055.4000000000001"/>
    <n v="0.12"/>
    <n v="126.65"/>
    <n v="928.75"/>
    <n v="591.02"/>
    <n v="337.73"/>
  </r>
  <r>
    <n v="200293"/>
    <n v="1363"/>
    <x v="1"/>
    <x v="1"/>
    <x v="2"/>
    <s v="Phone"/>
    <x v="547"/>
    <d v="2024-02-03T00:00:00"/>
    <d v="2024-02-15T00:00:00"/>
    <n v="14"/>
    <n v="2"/>
    <n v="7"/>
    <n v="441.26"/>
    <n v="3088.82"/>
    <n v="0.12"/>
    <n v="370.66"/>
    <n v="2718.16"/>
    <n v="2069.5100000000002"/>
    <n v="648.65"/>
  </r>
  <r>
    <n v="200294"/>
    <n v="1215"/>
    <x v="0"/>
    <x v="1"/>
    <x v="0"/>
    <s v="Table"/>
    <x v="544"/>
    <d v="2024-07-26T00:00:00"/>
    <d v="2024-08-01T00:00:00"/>
    <n v="8"/>
    <n v="2"/>
    <n v="11"/>
    <n v="187.15"/>
    <n v="2058.65"/>
    <n v="0.12"/>
    <n v="247.04"/>
    <n v="1811.61"/>
    <n v="1276.3599999999999"/>
    <n v="535.25"/>
  </r>
  <r>
    <n v="200295"/>
    <n v="3423"/>
    <x v="3"/>
    <x v="0"/>
    <x v="2"/>
    <s v="Tablet"/>
    <x v="542"/>
    <d v="2024-09-03T00:00:00"/>
    <d v="2024-09-05T00:00:00"/>
    <n v="6"/>
    <n v="4"/>
    <n v="10"/>
    <n v="300.08999999999997"/>
    <n v="3000.9"/>
    <n v="0.09"/>
    <n v="270.08"/>
    <n v="2730.82"/>
    <n v="2010.6"/>
    <n v="720.22"/>
  </r>
  <r>
    <n v="200296"/>
    <n v="4020"/>
    <x v="1"/>
    <x v="2"/>
    <x v="0"/>
    <s v="Table"/>
    <x v="548"/>
    <d v="2024-01-20T00:00:00"/>
    <d v="2024-01-21T00:00:00"/>
    <n v="6"/>
    <n v="5"/>
    <n v="14"/>
    <n v="501.39"/>
    <n v="7019.46"/>
    <n v="0.12"/>
    <n v="842.34"/>
    <n v="6177.12"/>
    <n v="4422.26"/>
    <n v="1754.86"/>
  </r>
  <r>
    <n v="200297"/>
    <n v="1709"/>
    <x v="0"/>
    <x v="0"/>
    <x v="3"/>
    <s v="Shirt"/>
    <x v="463"/>
    <d v="2024-06-23T00:00:00"/>
    <d v="2024-06-20T00:00:00"/>
    <n v="2"/>
    <n v="5"/>
    <n v="6"/>
    <n v="405.37"/>
    <n v="2432.2199999999998"/>
    <n v="0.08"/>
    <n v="194.58"/>
    <n v="2237.64"/>
    <n v="1410.69"/>
    <n v="826.95"/>
  </r>
  <r>
    <n v="200298"/>
    <n v="3537"/>
    <x v="1"/>
    <x v="1"/>
    <x v="3"/>
    <s v="Jacket"/>
    <x v="549"/>
    <d v="2024-06-10T00:00:00"/>
    <d v="2024-06-24T00:00:00"/>
    <n v="15"/>
    <n v="1"/>
    <n v="1"/>
    <n v="493.18"/>
    <n v="493.18"/>
    <n v="0.09"/>
    <n v="44.39"/>
    <n v="448.79"/>
    <n v="310.7"/>
    <n v="138.09"/>
  </r>
  <r>
    <n v="200299"/>
    <n v="1738"/>
    <x v="3"/>
    <x v="0"/>
    <x v="3"/>
    <s v="Shirt"/>
    <x v="377"/>
    <d v="2024-04-20T00:00:00"/>
    <d v="2024-04-27T00:00:00"/>
    <n v="11"/>
    <n v="4"/>
    <n v="3"/>
    <n v="45.32"/>
    <n v="135.96"/>
    <n v="0.05"/>
    <n v="6.8"/>
    <n v="129.16"/>
    <n v="88.37"/>
    <n v="40.79"/>
  </r>
  <r>
    <n v="200300"/>
    <n v="2968"/>
    <x v="3"/>
    <x v="0"/>
    <x v="2"/>
    <s v="Headphones"/>
    <x v="550"/>
    <d v="2024-09-18T00:00:00"/>
    <d v="2024-09-23T00:00:00"/>
    <n v="10"/>
    <n v="5"/>
    <n v="14"/>
    <n v="660.26"/>
    <n v="9243.64"/>
    <n v="0.08"/>
    <n v="739.49"/>
    <n v="8504.15"/>
    <n v="5546.18"/>
    <n v="2957.97"/>
  </r>
  <r>
    <n v="200301"/>
    <n v="2322"/>
    <x v="2"/>
    <x v="2"/>
    <x v="3"/>
    <s v="Shoes"/>
    <x v="512"/>
    <d v="2024-05-07T00:00:00"/>
    <d v="2024-05-11T00:00:00"/>
    <n v="7"/>
    <n v="3"/>
    <n v="11"/>
    <n v="196.65"/>
    <n v="2163.15"/>
    <n v="0.09"/>
    <n v="194.68"/>
    <n v="1968.47"/>
    <n v="1449.31"/>
    <n v="519.16"/>
  </r>
  <r>
    <n v="200302"/>
    <n v="3260"/>
    <x v="1"/>
    <x v="1"/>
    <x v="0"/>
    <s v="Cookware"/>
    <x v="356"/>
    <d v="2024-05-26T00:00:00"/>
    <d v="2024-06-13T00:00:00"/>
    <n v="23"/>
    <n v="5"/>
    <n v="12"/>
    <n v="782.94"/>
    <n v="9395.2800000000007"/>
    <n v="0.12"/>
    <n v="1127.43"/>
    <n v="8267.85"/>
    <n v="5637.17"/>
    <n v="2630.68"/>
  </r>
  <r>
    <n v="200303"/>
    <n v="2711"/>
    <x v="3"/>
    <x v="2"/>
    <x v="1"/>
    <s v="Snacks"/>
    <x v="551"/>
    <d v="2024-03-07T00:00:00"/>
    <d v="2024-03-22T00:00:00"/>
    <n v="19"/>
    <n v="4"/>
    <n v="3"/>
    <n v="501.67"/>
    <n v="1505.01"/>
    <n v="0.11"/>
    <n v="165.55"/>
    <n v="1339.46"/>
    <n v="797.66"/>
    <n v="541.79999999999995"/>
  </r>
  <r>
    <n v="200304"/>
    <n v="3707"/>
    <x v="3"/>
    <x v="2"/>
    <x v="0"/>
    <s v="Lamp"/>
    <x v="552"/>
    <d v="2024-06-04T00:00:00"/>
    <d v="2024-06-14T00:00:00"/>
    <n v="13"/>
    <n v="3"/>
    <n v="1"/>
    <n v="95.18"/>
    <n v="95.18"/>
    <n v="0.14000000000000001"/>
    <n v="13.33"/>
    <n v="81.849999999999994"/>
    <n v="59.01"/>
    <n v="22.84"/>
  </r>
  <r>
    <n v="200305"/>
    <n v="1443"/>
    <x v="1"/>
    <x v="2"/>
    <x v="1"/>
    <s v="Rice"/>
    <x v="497"/>
    <d v="2024-05-06T00:00:00"/>
    <d v="2024-05-25T00:00:00"/>
    <n v="22"/>
    <n v="3"/>
    <n v="4"/>
    <n v="415.05"/>
    <n v="1660.2"/>
    <n v="0.04"/>
    <n v="66.41"/>
    <n v="1593.79"/>
    <n v="1095.73"/>
    <n v="498.06"/>
  </r>
  <r>
    <n v="200306"/>
    <n v="4863"/>
    <x v="3"/>
    <x v="2"/>
    <x v="1"/>
    <s v="Beverage"/>
    <x v="497"/>
    <d v="2024-05-04T00:00:00"/>
    <d v="2024-05-29T00:00:00"/>
    <n v="26"/>
    <n v="1"/>
    <n v="11"/>
    <n v="239.92"/>
    <n v="2639.12"/>
    <n v="0.05"/>
    <n v="131.96"/>
    <n v="2507.16"/>
    <n v="1820.99"/>
    <n v="686.17"/>
  </r>
  <r>
    <n v="200307"/>
    <n v="4488"/>
    <x v="1"/>
    <x v="0"/>
    <x v="1"/>
    <s v="Rice"/>
    <x v="553"/>
    <d v="2024-11-23T00:00:00"/>
    <d v="2024-12-09T00:00:00"/>
    <n v="21"/>
    <n v="5"/>
    <n v="7"/>
    <n v="318.45"/>
    <n v="2229.15"/>
    <n v="0.08"/>
    <n v="178.33"/>
    <n v="2050.8200000000002"/>
    <n v="1404.36"/>
    <n v="646.46"/>
  </r>
  <r>
    <n v="200308"/>
    <n v="3007"/>
    <x v="1"/>
    <x v="0"/>
    <x v="2"/>
    <s v="Tablet"/>
    <x v="554"/>
    <d v="2024-04-07T00:00:00"/>
    <d v="2024-04-29T00:00:00"/>
    <n v="26"/>
    <n v="4"/>
    <n v="3"/>
    <n v="403.29"/>
    <n v="1209.8699999999999"/>
    <n v="0.18"/>
    <n v="217.78"/>
    <n v="992.09"/>
    <n v="713.82"/>
    <n v="278.27"/>
  </r>
  <r>
    <n v="200309"/>
    <n v="4460"/>
    <x v="1"/>
    <x v="1"/>
    <x v="0"/>
    <s v="Cookware"/>
    <x v="555"/>
    <d v="2024-02-03T00:00:00"/>
    <d v="2024-02-10T00:00:00"/>
    <n v="8"/>
    <n v="1"/>
    <n v="9"/>
    <n v="357.8"/>
    <n v="3220.2"/>
    <n v="0.17"/>
    <n v="547.42999999999995"/>
    <n v="2672.77"/>
    <n v="1803.31"/>
    <n v="869.46"/>
  </r>
  <r>
    <n v="200310"/>
    <n v="3198"/>
    <x v="2"/>
    <x v="2"/>
    <x v="2"/>
    <s v="Tablet"/>
    <x v="556"/>
    <d v="2024-07-08T00:00:00"/>
    <d v="2024-07-31T00:00:00"/>
    <n v="26"/>
    <n v="3"/>
    <n v="4"/>
    <n v="327.33999999999997"/>
    <n v="1309.3599999999999"/>
    <n v="0.15"/>
    <n v="196.4"/>
    <n v="1112.96"/>
    <n v="877.27"/>
    <n v="235.69"/>
  </r>
  <r>
    <n v="200311"/>
    <n v="4319"/>
    <x v="1"/>
    <x v="2"/>
    <x v="1"/>
    <s v="Rice"/>
    <x v="509"/>
    <d v="2024-01-30T00:00:00"/>
    <d v="2024-02-21T00:00:00"/>
    <n v="25"/>
    <n v="3"/>
    <n v="9"/>
    <n v="517.84"/>
    <n v="4660.5600000000004"/>
    <n v="0.05"/>
    <n v="233.03"/>
    <n v="4427.53"/>
    <n v="3262.39"/>
    <n v="1165.1400000000001"/>
  </r>
  <r>
    <n v="200312"/>
    <n v="1042"/>
    <x v="3"/>
    <x v="2"/>
    <x v="0"/>
    <s v="Table"/>
    <x v="557"/>
    <d v="2024-02-11T00:00:00"/>
    <d v="2024-02-24T00:00:00"/>
    <n v="15"/>
    <n v="2"/>
    <n v="12"/>
    <n v="54.84"/>
    <n v="658.08"/>
    <n v="0.16"/>
    <n v="105.29"/>
    <n v="552.79"/>
    <n v="434.33"/>
    <n v="118.46"/>
  </r>
  <r>
    <n v="200313"/>
    <n v="4535"/>
    <x v="3"/>
    <x v="0"/>
    <x v="2"/>
    <s v="Phone"/>
    <x v="360"/>
    <d v="2024-05-01T00:00:00"/>
    <d v="2024-05-07T00:00:00"/>
    <n v="7"/>
    <n v="1"/>
    <n v="5"/>
    <n v="138.62"/>
    <n v="693.1"/>
    <n v="0.14000000000000001"/>
    <n v="97.03"/>
    <n v="596.07000000000005"/>
    <n v="478.24"/>
    <n v="117.83"/>
  </r>
  <r>
    <n v="200314"/>
    <n v="1663"/>
    <x v="0"/>
    <x v="0"/>
    <x v="2"/>
    <s v="Phone"/>
    <x v="410"/>
    <d v="2024-06-16T00:00:00"/>
    <d v="2024-07-11T00:00:00"/>
    <n v="28"/>
    <n v="3"/>
    <n v="11"/>
    <n v="294.22000000000003"/>
    <n v="3236.42"/>
    <n v="0.03"/>
    <n v="97.09"/>
    <n v="3139.33"/>
    <n v="1812.4"/>
    <n v="1326.93"/>
  </r>
  <r>
    <n v="200315"/>
    <n v="1721"/>
    <x v="1"/>
    <x v="2"/>
    <x v="0"/>
    <s v="Sofa"/>
    <x v="417"/>
    <d v="2024-12-15T00:00:00"/>
    <d v="2025-01-06T00:00:00"/>
    <n v="25"/>
    <n v="3"/>
    <n v="14"/>
    <n v="606.97"/>
    <n v="8497.58"/>
    <n v="0.04"/>
    <n v="339.9"/>
    <n v="8157.68"/>
    <n v="5608.4"/>
    <n v="2549.2800000000002"/>
  </r>
  <r>
    <n v="200316"/>
    <n v="3276"/>
    <x v="3"/>
    <x v="1"/>
    <x v="0"/>
    <s v="Lamp"/>
    <x v="413"/>
    <d v="2024-07-15T00:00:00"/>
    <d v="2024-07-27T00:00:00"/>
    <n v="17"/>
    <n v="5"/>
    <n v="4"/>
    <n v="709.8"/>
    <n v="2839.2"/>
    <n v="7.0000000000000007E-2"/>
    <n v="198.74"/>
    <n v="2640.46"/>
    <n v="1646.74"/>
    <n v="993.72"/>
  </r>
  <r>
    <n v="200317"/>
    <n v="2680"/>
    <x v="2"/>
    <x v="1"/>
    <x v="1"/>
    <s v="Rice"/>
    <x v="558"/>
    <d v="2024-04-27T00:00:00"/>
    <d v="2024-05-02T00:00:00"/>
    <n v="8"/>
    <n v="3"/>
    <n v="14"/>
    <n v="52.9"/>
    <n v="740.6"/>
    <n v="0.1"/>
    <n v="74.06"/>
    <n v="666.54"/>
    <n v="429.55"/>
    <n v="236.99"/>
  </r>
  <r>
    <n v="200318"/>
    <n v="4657"/>
    <x v="0"/>
    <x v="1"/>
    <x v="1"/>
    <s v="Snacks"/>
    <x v="459"/>
    <d v="2024-09-18T00:00:00"/>
    <d v="2024-09-26T00:00:00"/>
    <n v="9"/>
    <n v="1"/>
    <n v="11"/>
    <n v="317.98"/>
    <n v="3497.78"/>
    <n v="0.04"/>
    <n v="139.91"/>
    <n v="3357.87"/>
    <n v="2098.67"/>
    <n v="1259.2"/>
  </r>
  <r>
    <n v="200319"/>
    <n v="1278"/>
    <x v="1"/>
    <x v="1"/>
    <x v="1"/>
    <s v="Snacks"/>
    <x v="433"/>
    <d v="2024-01-09T00:00:00"/>
    <d v="2024-02-03T00:00:00"/>
    <n v="27"/>
    <n v="2"/>
    <n v="1"/>
    <n v="341.06"/>
    <n v="341.06"/>
    <n v="0.12"/>
    <n v="40.93"/>
    <n v="300.13"/>
    <n v="259.20999999999998"/>
    <n v="40.92"/>
  </r>
  <r>
    <n v="200320"/>
    <n v="3451"/>
    <x v="1"/>
    <x v="1"/>
    <x v="0"/>
    <s v="Table"/>
    <x v="559"/>
    <d v="2024-05-08T00:00:00"/>
    <d v="2024-05-16T00:00:00"/>
    <n v="10"/>
    <n v="2"/>
    <n v="2"/>
    <n v="158.19999999999999"/>
    <n v="316.39999999999998"/>
    <n v="0.06"/>
    <n v="18.98"/>
    <n v="297.42"/>
    <n v="202.5"/>
    <n v="94.92"/>
  </r>
  <r>
    <n v="200321"/>
    <n v="4915"/>
    <x v="1"/>
    <x v="0"/>
    <x v="2"/>
    <s v="Tablet"/>
    <x v="560"/>
    <d v="2024-08-28T00:00:00"/>
    <d v="2024-09-08T00:00:00"/>
    <n v="14"/>
    <n v="3"/>
    <n v="4"/>
    <n v="467.62"/>
    <n v="1870.48"/>
    <n v="0.19"/>
    <n v="355.39"/>
    <n v="1515.09"/>
    <n v="1122.29"/>
    <n v="392.8"/>
  </r>
  <r>
    <n v="200322"/>
    <n v="4213"/>
    <x v="3"/>
    <x v="1"/>
    <x v="2"/>
    <s v="Phone"/>
    <x v="472"/>
    <d v="2024-07-01T00:00:00"/>
    <d v="2024-07-19T00:00:00"/>
    <n v="21"/>
    <n v="3"/>
    <n v="10"/>
    <n v="628.12"/>
    <n v="6281.2"/>
    <n v="0.1"/>
    <n v="628.12"/>
    <n v="5653.08"/>
    <n v="3831.53"/>
    <n v="1821.55"/>
  </r>
  <r>
    <n v="200323"/>
    <n v="4212"/>
    <x v="3"/>
    <x v="0"/>
    <x v="2"/>
    <s v="Phone"/>
    <x v="530"/>
    <d v="2024-02-24T00:00:00"/>
    <d v="2024-02-29T00:00:00"/>
    <n v="10"/>
    <n v="5"/>
    <n v="12"/>
    <n v="261.04000000000002"/>
    <n v="3132.48"/>
    <n v="0.03"/>
    <n v="93.97"/>
    <n v="3038.51"/>
    <n v="1879.49"/>
    <n v="1159.02"/>
  </r>
  <r>
    <n v="200324"/>
    <n v="1393"/>
    <x v="1"/>
    <x v="2"/>
    <x v="0"/>
    <s v="Table"/>
    <x v="561"/>
    <d v="2024-08-10T00:00:00"/>
    <d v="2024-09-03T00:00:00"/>
    <n v="28"/>
    <n v="4"/>
    <n v="2"/>
    <n v="490.6"/>
    <n v="981.2"/>
    <n v="0.04"/>
    <n v="39.25"/>
    <n v="941.95"/>
    <n v="608.34"/>
    <n v="333.61"/>
  </r>
  <r>
    <n v="200325"/>
    <n v="4863"/>
    <x v="0"/>
    <x v="0"/>
    <x v="0"/>
    <s v="Cookware"/>
    <x v="491"/>
    <d v="2024-04-05T00:00:00"/>
    <d v="2024-04-22T00:00:00"/>
    <n v="20"/>
    <n v="3"/>
    <n v="5"/>
    <n v="154.43"/>
    <n v="772.15"/>
    <n v="0.12"/>
    <n v="92.66"/>
    <n v="679.49"/>
    <n v="471.01"/>
    <n v="208.48"/>
  </r>
  <r>
    <n v="200326"/>
    <n v="1248"/>
    <x v="2"/>
    <x v="2"/>
    <x v="3"/>
    <s v="Shoes"/>
    <x v="562"/>
    <d v="2024-10-27T00:00:00"/>
    <d v="2024-11-06T00:00:00"/>
    <n v="15"/>
    <n v="5"/>
    <n v="6"/>
    <n v="426.08"/>
    <n v="2556.48"/>
    <n v="0.06"/>
    <n v="153.38999999999999"/>
    <n v="2403.09"/>
    <n v="1431.63"/>
    <n v="971.46"/>
  </r>
  <r>
    <n v="200327"/>
    <n v="2462"/>
    <x v="3"/>
    <x v="0"/>
    <x v="1"/>
    <s v="Snacks"/>
    <x v="481"/>
    <d v="2024-10-01T00:00:00"/>
    <d v="2024-10-07T00:00:00"/>
    <n v="8"/>
    <n v="2"/>
    <n v="14"/>
    <n v="593.9"/>
    <n v="8314.6"/>
    <n v="0.02"/>
    <n v="166.29"/>
    <n v="8148.31"/>
    <n v="6235.95"/>
    <n v="1912.36"/>
  </r>
  <r>
    <n v="200328"/>
    <n v="2090"/>
    <x v="1"/>
    <x v="0"/>
    <x v="2"/>
    <s v="Phone"/>
    <x v="431"/>
    <d v="2024-01-19T00:00:00"/>
    <d v="2024-01-25T00:00:00"/>
    <n v="7"/>
    <n v="1"/>
    <n v="5"/>
    <n v="724.57"/>
    <n v="3622.85"/>
    <n v="0.14000000000000001"/>
    <n v="507.2"/>
    <n v="3115.65"/>
    <n v="2427.31"/>
    <n v="688.34"/>
  </r>
  <r>
    <n v="200329"/>
    <n v="2237"/>
    <x v="0"/>
    <x v="2"/>
    <x v="1"/>
    <s v="Pasta"/>
    <x v="563"/>
    <d v="2024-08-21T00:00:00"/>
    <d v="2024-08-22T00:00:00"/>
    <n v="5"/>
    <n v="4"/>
    <n v="13"/>
    <n v="674.9"/>
    <n v="8773.7000000000007"/>
    <n v="0.08"/>
    <n v="701.9"/>
    <n v="8071.8"/>
    <n v="5615.17"/>
    <n v="2456.63"/>
  </r>
  <r>
    <n v="200330"/>
    <n v="3045"/>
    <x v="0"/>
    <x v="0"/>
    <x v="1"/>
    <s v="Rice"/>
    <x v="564"/>
    <d v="2024-11-25T00:00:00"/>
    <d v="2024-12-12T00:00:00"/>
    <n v="21"/>
    <n v="4"/>
    <n v="5"/>
    <n v="466.7"/>
    <n v="2333.5"/>
    <n v="0.08"/>
    <n v="186.68"/>
    <n v="2146.8200000000002"/>
    <n v="1330.09"/>
    <n v="816.73"/>
  </r>
  <r>
    <n v="200331"/>
    <n v="3625"/>
    <x v="2"/>
    <x v="2"/>
    <x v="2"/>
    <s v="Tablet"/>
    <x v="565"/>
    <d v="2024-03-19T00:00:00"/>
    <d v="2024-04-13T00:00:00"/>
    <n v="29"/>
    <n v="4"/>
    <n v="13"/>
    <n v="655.96"/>
    <n v="8527.48"/>
    <n v="7.0000000000000007E-2"/>
    <n v="596.91999999999996"/>
    <n v="7930.56"/>
    <n v="4945.9399999999996"/>
    <n v="2984.62"/>
  </r>
  <r>
    <n v="200332"/>
    <n v="2766"/>
    <x v="1"/>
    <x v="0"/>
    <x v="0"/>
    <s v="Cookware"/>
    <x v="566"/>
    <d v="2024-06-13T00:00:00"/>
    <d v="2024-06-20T00:00:00"/>
    <n v="8"/>
    <n v="1"/>
    <n v="4"/>
    <n v="292.92"/>
    <n v="1171.68"/>
    <n v="0.06"/>
    <n v="70.3"/>
    <n v="1101.3800000000001"/>
    <n v="761.59"/>
    <n v="339.79"/>
  </r>
  <r>
    <n v="200333"/>
    <n v="4147"/>
    <x v="3"/>
    <x v="0"/>
    <x v="3"/>
    <s v="Jacket"/>
    <x v="567"/>
    <d v="2024-10-13T00:00:00"/>
    <d v="2024-10-24T00:00:00"/>
    <n v="16"/>
    <n v="5"/>
    <n v="2"/>
    <n v="55.15"/>
    <n v="110.3"/>
    <n v="0.11"/>
    <n v="12.13"/>
    <n v="98.17"/>
    <n v="68.39"/>
    <n v="29.78"/>
  </r>
  <r>
    <n v="200334"/>
    <n v="3623"/>
    <x v="1"/>
    <x v="2"/>
    <x v="2"/>
    <s v="Laptop"/>
    <x v="391"/>
    <d v="2024-06-21T00:00:00"/>
    <d v="2024-07-19T00:00:00"/>
    <n v="29"/>
    <n v="1"/>
    <n v="12"/>
    <n v="424.89"/>
    <n v="5098.68"/>
    <n v="0.09"/>
    <n v="458.88"/>
    <n v="4639.8"/>
    <n v="3467.1"/>
    <n v="1172.7"/>
  </r>
  <r>
    <n v="200335"/>
    <n v="2081"/>
    <x v="3"/>
    <x v="0"/>
    <x v="2"/>
    <s v="Headphones"/>
    <x v="385"/>
    <d v="2024-10-27T00:00:00"/>
    <d v="2024-11-14T00:00:00"/>
    <n v="22"/>
    <n v="4"/>
    <n v="10"/>
    <n v="701.47"/>
    <n v="7014.7"/>
    <n v="0.12"/>
    <n v="841.76"/>
    <n v="6172.94"/>
    <n v="5190.88"/>
    <n v="982.06"/>
  </r>
  <r>
    <n v="200336"/>
    <n v="1819"/>
    <x v="2"/>
    <x v="1"/>
    <x v="2"/>
    <s v="Laptop"/>
    <x v="486"/>
    <d v="2024-01-25T00:00:00"/>
    <d v="2024-02-13T00:00:00"/>
    <n v="21"/>
    <n v="2"/>
    <n v="13"/>
    <n v="236.74"/>
    <n v="3077.62"/>
    <n v="0.08"/>
    <n v="246.21"/>
    <n v="2831.41"/>
    <n v="2062.0100000000002"/>
    <n v="769.4"/>
  </r>
  <r>
    <n v="200337"/>
    <n v="3492"/>
    <x v="1"/>
    <x v="0"/>
    <x v="0"/>
    <s v="Sofa"/>
    <x v="358"/>
    <d v="2024-11-22T00:00:00"/>
    <d v="2024-11-25T00:00:00"/>
    <n v="6"/>
    <n v="3"/>
    <n v="5"/>
    <n v="627.54999999999995"/>
    <n v="3137.75"/>
    <n v="0.05"/>
    <n v="156.88999999999999"/>
    <n v="2980.86"/>
    <n v="2039.54"/>
    <n v="941.32"/>
  </r>
  <r>
    <n v="200338"/>
    <n v="2542"/>
    <x v="1"/>
    <x v="2"/>
    <x v="0"/>
    <s v="Cookware"/>
    <x v="470"/>
    <d v="2024-04-19T00:00:00"/>
    <d v="2024-05-02T00:00:00"/>
    <n v="15"/>
    <n v="2"/>
    <n v="2"/>
    <n v="171.17"/>
    <n v="342.34"/>
    <n v="0.11"/>
    <n v="37.659999999999997"/>
    <n v="304.68"/>
    <n v="249.91"/>
    <n v="54.77"/>
  </r>
  <r>
    <n v="200339"/>
    <n v="3984"/>
    <x v="1"/>
    <x v="0"/>
    <x v="1"/>
    <s v="Rice"/>
    <x v="441"/>
    <d v="2024-07-23T00:00:00"/>
    <d v="2024-08-14T00:00:00"/>
    <n v="26"/>
    <n v="4"/>
    <n v="3"/>
    <n v="165.62"/>
    <n v="496.86"/>
    <n v="0.13"/>
    <n v="64.59"/>
    <n v="432.27"/>
    <n v="332.9"/>
    <n v="99.37"/>
  </r>
  <r>
    <n v="200340"/>
    <n v="3855"/>
    <x v="2"/>
    <x v="1"/>
    <x v="3"/>
    <s v="Jeans"/>
    <x v="400"/>
    <d v="2024-08-22T00:00:00"/>
    <d v="2024-09-09T00:00:00"/>
    <n v="20"/>
    <n v="2"/>
    <n v="12"/>
    <n v="50.21"/>
    <n v="602.52"/>
    <n v="0.22"/>
    <n v="132.55000000000001"/>
    <n v="469.97"/>
    <n v="397.66"/>
    <n v="72.31"/>
  </r>
  <r>
    <n v="200341"/>
    <n v="3696"/>
    <x v="2"/>
    <x v="2"/>
    <x v="2"/>
    <s v="Tablet"/>
    <x v="522"/>
    <d v="2024-04-02T00:00:00"/>
    <d v="2024-04-03T00:00:00"/>
    <n v="2"/>
    <n v="1"/>
    <n v="9"/>
    <n v="65.02"/>
    <n v="585.17999999999995"/>
    <n v="0.05"/>
    <n v="29.26"/>
    <n v="555.91999999999996"/>
    <n v="421.33"/>
    <n v="134.59"/>
  </r>
  <r>
    <n v="200342"/>
    <n v="3531"/>
    <x v="3"/>
    <x v="1"/>
    <x v="1"/>
    <s v="Pasta"/>
    <x v="568"/>
    <d v="2024-04-27T00:00:00"/>
    <d v="2024-05-22T00:00:00"/>
    <n v="27"/>
    <n v="2"/>
    <n v="1"/>
    <n v="481.98"/>
    <n v="481.98"/>
    <n v="0.1"/>
    <n v="48.2"/>
    <n v="433.78"/>
    <n v="361.48"/>
    <n v="72.3"/>
  </r>
  <r>
    <n v="200343"/>
    <n v="1149"/>
    <x v="0"/>
    <x v="1"/>
    <x v="2"/>
    <s v="Phone"/>
    <x v="479"/>
    <d v="2024-04-18T00:00:00"/>
    <d v="2024-05-01T00:00:00"/>
    <n v="18"/>
    <n v="5"/>
    <n v="14"/>
    <n v="400.19"/>
    <n v="5602.66"/>
    <n v="0.19"/>
    <n v="1064.51"/>
    <n v="4538.1499999999996"/>
    <n v="3977.89"/>
    <n v="560.26"/>
  </r>
  <r>
    <n v="200344"/>
    <n v="4774"/>
    <x v="1"/>
    <x v="0"/>
    <x v="0"/>
    <s v="Lamp"/>
    <x v="390"/>
    <d v="2024-09-21T00:00:00"/>
    <d v="2024-10-02T00:00:00"/>
    <n v="16"/>
    <n v="5"/>
    <n v="13"/>
    <n v="333.3"/>
    <n v="4332.8999999999996"/>
    <n v="0.09"/>
    <n v="389.96"/>
    <n v="3942.94"/>
    <n v="2859.71"/>
    <n v="1083.23"/>
  </r>
  <r>
    <n v="200345"/>
    <n v="4475"/>
    <x v="2"/>
    <x v="0"/>
    <x v="2"/>
    <s v="Headphones"/>
    <x v="504"/>
    <d v="2024-09-07T00:00:00"/>
    <d v="2024-09-28T00:00:00"/>
    <n v="26"/>
    <n v="5"/>
    <n v="6"/>
    <n v="224.39"/>
    <n v="1346.34"/>
    <n v="0.06"/>
    <n v="80.78"/>
    <n v="1265.56"/>
    <n v="834.73"/>
    <n v="430.83"/>
  </r>
  <r>
    <n v="200346"/>
    <n v="4114"/>
    <x v="3"/>
    <x v="2"/>
    <x v="1"/>
    <s v="Snacks"/>
    <x v="545"/>
    <d v="2024-05-29T00:00:00"/>
    <d v="2024-06-05T00:00:00"/>
    <n v="11"/>
    <n v="4"/>
    <n v="6"/>
    <n v="650.34"/>
    <n v="3902.04"/>
    <n v="0"/>
    <n v="0"/>
    <n v="3902.04"/>
    <n v="2497.31"/>
    <n v="1404.73"/>
  </r>
  <r>
    <n v="200347"/>
    <n v="1829"/>
    <x v="3"/>
    <x v="0"/>
    <x v="2"/>
    <s v="Headphones"/>
    <x v="414"/>
    <d v="2024-02-10T00:00:00"/>
    <d v="2024-02-13T00:00:00"/>
    <n v="6"/>
    <n v="3"/>
    <n v="2"/>
    <n v="178.93"/>
    <n v="357.86"/>
    <n v="0.02"/>
    <n v="7.16"/>
    <n v="350.7"/>
    <n v="236.19"/>
    <n v="114.51"/>
  </r>
  <r>
    <n v="200348"/>
    <n v="3779"/>
    <x v="0"/>
    <x v="1"/>
    <x v="0"/>
    <s v="Cookware"/>
    <x v="531"/>
    <d v="2024-04-25T00:00:00"/>
    <d v="2024-04-25T00:00:00"/>
    <n v="2"/>
    <n v="2"/>
    <n v="7"/>
    <n v="564.89"/>
    <n v="3954.23"/>
    <n v="0.08"/>
    <n v="316.33999999999997"/>
    <n v="3637.89"/>
    <n v="2728.42"/>
    <n v="909.47"/>
  </r>
  <r>
    <n v="200349"/>
    <n v="4028"/>
    <x v="2"/>
    <x v="0"/>
    <x v="0"/>
    <s v="Table"/>
    <x v="569"/>
    <d v="2024-07-20T00:00:00"/>
    <d v="2024-08-05T00:00:00"/>
    <n v="19"/>
    <n v="3"/>
    <n v="9"/>
    <n v="85.76"/>
    <n v="771.84"/>
    <n v="0.12"/>
    <n v="92.62"/>
    <n v="679.22"/>
    <n v="447.67"/>
    <n v="231.55"/>
  </r>
  <r>
    <n v="200350"/>
    <n v="3294"/>
    <x v="2"/>
    <x v="0"/>
    <x v="0"/>
    <s v="Lamp"/>
    <x v="457"/>
    <d v="2024-11-11T00:00:00"/>
    <d v="2024-11-10T00:00:00"/>
    <n v="3"/>
    <n v="4"/>
    <n v="10"/>
    <n v="129.93"/>
    <n v="1299.3"/>
    <n v="0.1"/>
    <n v="129.93"/>
    <n v="1169.3699999999999"/>
    <n v="818.56"/>
    <n v="350.81"/>
  </r>
  <r>
    <n v="200351"/>
    <n v="3811"/>
    <x v="1"/>
    <x v="0"/>
    <x v="2"/>
    <s v="Phone"/>
    <x v="469"/>
    <d v="2024-08-16T00:00:00"/>
    <d v="2024-09-02T00:00:00"/>
    <n v="20"/>
    <n v="3"/>
    <n v="12"/>
    <n v="529.9"/>
    <n v="6358.8"/>
    <n v="0.06"/>
    <n v="381.53"/>
    <n v="5977.27"/>
    <n v="3688.1"/>
    <n v="2289.17"/>
  </r>
  <r>
    <n v="200352"/>
    <n v="3126"/>
    <x v="3"/>
    <x v="1"/>
    <x v="1"/>
    <s v="Pasta"/>
    <x v="432"/>
    <d v="2024-03-14T00:00:00"/>
    <d v="2024-03-16T00:00:00"/>
    <n v="6"/>
    <n v="4"/>
    <n v="1"/>
    <n v="490.33"/>
    <n v="490.33"/>
    <n v="0.16"/>
    <n v="78.45"/>
    <n v="411.88"/>
    <n v="279.49"/>
    <n v="132.38999999999999"/>
  </r>
  <r>
    <n v="200353"/>
    <n v="4549"/>
    <x v="3"/>
    <x v="0"/>
    <x v="2"/>
    <s v="Headphones"/>
    <x v="570"/>
    <d v="2024-06-29T00:00:00"/>
    <d v="2024-06-30T00:00:00"/>
    <n v="6"/>
    <n v="5"/>
    <n v="3"/>
    <n v="89.02"/>
    <n v="267.06"/>
    <n v="0.05"/>
    <n v="13.35"/>
    <n v="253.71"/>
    <n v="173.59"/>
    <n v="80.12"/>
  </r>
  <r>
    <n v="200354"/>
    <n v="1337"/>
    <x v="2"/>
    <x v="0"/>
    <x v="2"/>
    <s v="Tablet"/>
    <x v="392"/>
    <d v="2024-10-19T00:00:00"/>
    <d v="2024-10-24T00:00:00"/>
    <n v="10"/>
    <n v="5"/>
    <n v="6"/>
    <n v="88.07"/>
    <n v="528.41999999999996"/>
    <n v="0.12"/>
    <n v="63.41"/>
    <n v="465.01"/>
    <n v="354.04"/>
    <n v="110.97"/>
  </r>
  <r>
    <n v="200355"/>
    <n v="1668"/>
    <x v="2"/>
    <x v="2"/>
    <x v="3"/>
    <s v="Shoes"/>
    <x v="563"/>
    <d v="2024-08-21T00:00:00"/>
    <d v="2024-08-21T00:00:00"/>
    <n v="4"/>
    <n v="4"/>
    <n v="10"/>
    <n v="740.74"/>
    <n v="7407.4"/>
    <n v="0.16"/>
    <n v="1185.18"/>
    <n v="6222.22"/>
    <n v="5037.03"/>
    <n v="1185.19"/>
  </r>
  <r>
    <n v="200356"/>
    <n v="3920"/>
    <x v="1"/>
    <x v="2"/>
    <x v="2"/>
    <s v="Laptop"/>
    <x v="465"/>
    <d v="2024-06-08T00:00:00"/>
    <d v="2024-06-23T00:00:00"/>
    <n v="19"/>
    <n v="4"/>
    <n v="10"/>
    <n v="560.38"/>
    <n v="5603.8"/>
    <n v="0.11"/>
    <n v="616.41999999999996"/>
    <n v="4987.38"/>
    <n v="3418.32"/>
    <n v="1569.06"/>
  </r>
  <r>
    <n v="200357"/>
    <n v="2992"/>
    <x v="0"/>
    <x v="0"/>
    <x v="3"/>
    <s v="Shoes"/>
    <x v="554"/>
    <d v="2024-04-08T00:00:00"/>
    <d v="2024-04-22T00:00:00"/>
    <n v="19"/>
    <n v="5"/>
    <n v="11"/>
    <n v="508.47"/>
    <n v="5593.17"/>
    <n v="0.11"/>
    <n v="615.25"/>
    <n v="4977.92"/>
    <n v="3803.36"/>
    <n v="1174.56"/>
  </r>
  <r>
    <n v="200358"/>
    <n v="3638"/>
    <x v="2"/>
    <x v="1"/>
    <x v="0"/>
    <s v="Cookware"/>
    <x v="375"/>
    <d v="2024-10-27T00:00:00"/>
    <d v="2024-10-27T00:00:00"/>
    <n v="2"/>
    <n v="2"/>
    <n v="10"/>
    <n v="301.27"/>
    <n v="3012.7"/>
    <n v="0.02"/>
    <n v="60.25"/>
    <n v="2952.45"/>
    <n v="1867.87"/>
    <n v="1084.58"/>
  </r>
  <r>
    <n v="200359"/>
    <n v="1468"/>
    <x v="2"/>
    <x v="2"/>
    <x v="0"/>
    <s v="Table"/>
    <x v="571"/>
    <d v="2024-03-01T00:00:00"/>
    <d v="2024-03-03T00:00:00"/>
    <n v="7"/>
    <n v="5"/>
    <n v="7"/>
    <n v="605.05999999999995"/>
    <n v="4235.42"/>
    <n v="0.1"/>
    <n v="423.54"/>
    <n v="3811.88"/>
    <n v="2414.19"/>
    <n v="1397.69"/>
  </r>
  <r>
    <n v="200360"/>
    <n v="2786"/>
    <x v="1"/>
    <x v="0"/>
    <x v="3"/>
    <s v="Shirt"/>
    <x v="389"/>
    <d v="2024-03-13T00:00:00"/>
    <d v="2024-03-17T00:00:00"/>
    <n v="5"/>
    <n v="1"/>
    <n v="5"/>
    <n v="158.19"/>
    <n v="790.95"/>
    <n v="0.18"/>
    <n v="142.37"/>
    <n v="648.58000000000004"/>
    <n v="474.57"/>
    <n v="174.01"/>
  </r>
  <r>
    <n v="200361"/>
    <n v="3137"/>
    <x v="3"/>
    <x v="0"/>
    <x v="3"/>
    <s v="Shirt"/>
    <x v="430"/>
    <d v="2024-06-13T00:00:00"/>
    <d v="2024-07-08T00:00:00"/>
    <n v="28"/>
    <n v="3"/>
    <n v="1"/>
    <n v="426.48"/>
    <n v="426.48"/>
    <n v="0.12"/>
    <n v="51.18"/>
    <n v="375.3"/>
    <n v="268.68"/>
    <n v="106.62"/>
  </r>
  <r>
    <n v="200362"/>
    <n v="4460"/>
    <x v="2"/>
    <x v="1"/>
    <x v="2"/>
    <s v="Tablet"/>
    <x v="569"/>
    <d v="2024-07-21T00:00:00"/>
    <d v="2024-07-26T00:00:00"/>
    <n v="9"/>
    <n v="4"/>
    <n v="4"/>
    <n v="534.11"/>
    <n v="2136.44"/>
    <n v="0.13"/>
    <n v="277.74"/>
    <n v="1858.7"/>
    <n v="1260.5"/>
    <n v="598.20000000000005"/>
  </r>
  <r>
    <n v="200363"/>
    <n v="1750"/>
    <x v="2"/>
    <x v="2"/>
    <x v="1"/>
    <s v="Pasta"/>
    <x v="500"/>
    <d v="2024-07-16T00:00:00"/>
    <d v="2024-08-11T00:00:00"/>
    <n v="29"/>
    <n v="3"/>
    <n v="11"/>
    <n v="718.96"/>
    <n v="7908.56"/>
    <n v="0.14000000000000001"/>
    <n v="1107.2"/>
    <n v="6801.36"/>
    <n v="5219.6499999999996"/>
    <n v="1581.71"/>
  </r>
  <r>
    <n v="200364"/>
    <n v="2662"/>
    <x v="3"/>
    <x v="1"/>
    <x v="0"/>
    <s v="Table"/>
    <x v="440"/>
    <d v="2024-05-17T00:00:00"/>
    <d v="2024-05-25T00:00:00"/>
    <n v="10"/>
    <n v="2"/>
    <n v="12"/>
    <n v="590.39"/>
    <n v="7084.68"/>
    <n v="0.13"/>
    <n v="921.01"/>
    <n v="6163.67"/>
    <n v="4250.8100000000004"/>
    <n v="1912.86"/>
  </r>
  <r>
    <n v="200365"/>
    <n v="1439"/>
    <x v="3"/>
    <x v="1"/>
    <x v="0"/>
    <s v="Table"/>
    <x v="542"/>
    <d v="2024-09-04T00:00:00"/>
    <d v="2024-09-20T00:00:00"/>
    <n v="21"/>
    <n v="5"/>
    <n v="8"/>
    <n v="170.57"/>
    <n v="1364.56"/>
    <n v="0.03"/>
    <n v="40.94"/>
    <n v="1323.62"/>
    <n v="927.9"/>
    <n v="395.72"/>
  </r>
  <r>
    <n v="200366"/>
    <n v="4247"/>
    <x v="1"/>
    <x v="0"/>
    <x v="2"/>
    <s v="Tablet"/>
    <x v="492"/>
    <d v="2024-07-01T00:00:00"/>
    <d v="2024-07-06T00:00:00"/>
    <n v="9"/>
    <n v="4"/>
    <n v="5"/>
    <n v="168.14"/>
    <n v="840.7"/>
    <n v="0.14000000000000001"/>
    <n v="117.7"/>
    <n v="723"/>
    <n v="622.12"/>
    <n v="100.88"/>
  </r>
  <r>
    <n v="200367"/>
    <n v="3981"/>
    <x v="0"/>
    <x v="1"/>
    <x v="0"/>
    <s v="Lamp"/>
    <x v="572"/>
    <d v="2024-04-27T00:00:00"/>
    <d v="2024-05-15T00:00:00"/>
    <n v="23"/>
    <n v="5"/>
    <n v="9"/>
    <n v="275.56"/>
    <n v="2480.04"/>
    <n v="0"/>
    <n v="0"/>
    <n v="2480.04"/>
    <n v="1661.63"/>
    <n v="818.41"/>
  </r>
  <r>
    <n v="200368"/>
    <n v="1834"/>
    <x v="1"/>
    <x v="2"/>
    <x v="0"/>
    <s v="Sofa"/>
    <x v="573"/>
    <d v="2024-06-04T00:00:00"/>
    <d v="2024-06-24T00:00:00"/>
    <n v="21"/>
    <n v="1"/>
    <n v="1"/>
    <n v="607.28"/>
    <n v="607.28"/>
    <n v="0.03"/>
    <n v="18.22"/>
    <n v="589.05999999999995"/>
    <n v="376.51"/>
    <n v="212.55"/>
  </r>
  <r>
    <n v="200369"/>
    <n v="2823"/>
    <x v="1"/>
    <x v="1"/>
    <x v="3"/>
    <s v="Jeans"/>
    <x v="574"/>
    <d v="2024-09-10T00:00:00"/>
    <d v="2024-09-19T00:00:00"/>
    <n v="14"/>
    <n v="5"/>
    <n v="5"/>
    <n v="170.03"/>
    <n v="850.15"/>
    <n v="0.05"/>
    <n v="42.51"/>
    <n v="807.64"/>
    <n v="484.59"/>
    <n v="323.05"/>
  </r>
  <r>
    <n v="200370"/>
    <n v="3915"/>
    <x v="1"/>
    <x v="2"/>
    <x v="0"/>
    <s v="Sofa"/>
    <x v="487"/>
    <d v="2024-09-08T00:00:00"/>
    <d v="2024-10-05T00:00:00"/>
    <n v="28"/>
    <n v="1"/>
    <n v="4"/>
    <n v="343.31"/>
    <n v="1373.24"/>
    <n v="0.11"/>
    <n v="151.06"/>
    <n v="1222.18"/>
    <n v="1029.93"/>
    <n v="192.25"/>
  </r>
  <r>
    <n v="200371"/>
    <n v="4103"/>
    <x v="0"/>
    <x v="1"/>
    <x v="1"/>
    <s v="Snacks"/>
    <x v="575"/>
    <d v="2024-08-02T00:00:00"/>
    <d v="2024-08-06T00:00:00"/>
    <n v="9"/>
    <n v="5"/>
    <n v="3"/>
    <n v="137.22999999999999"/>
    <n v="411.69"/>
    <n v="0.08"/>
    <n v="32.94"/>
    <n v="378.75"/>
    <n v="267.60000000000002"/>
    <n v="111.15"/>
  </r>
  <r>
    <n v="200372"/>
    <n v="2427"/>
    <x v="0"/>
    <x v="1"/>
    <x v="3"/>
    <s v="Jacket"/>
    <x v="576"/>
    <d v="2024-12-21T00:00:00"/>
    <d v="2025-01-15T00:00:00"/>
    <n v="30"/>
    <n v="5"/>
    <n v="13"/>
    <n v="25.72"/>
    <n v="334.36"/>
    <n v="0.14000000000000001"/>
    <n v="46.81"/>
    <n v="287.55"/>
    <n v="234.05"/>
    <n v="53.5"/>
  </r>
  <r>
    <n v="200373"/>
    <n v="1979"/>
    <x v="2"/>
    <x v="0"/>
    <x v="3"/>
    <s v="Shirt"/>
    <x v="577"/>
    <d v="2024-05-25T00:00:00"/>
    <d v="2024-06-10T00:00:00"/>
    <n v="21"/>
    <n v="5"/>
    <n v="9"/>
    <n v="105"/>
    <n v="945"/>
    <n v="0.14000000000000001"/>
    <n v="132.30000000000001"/>
    <n v="812.7"/>
    <n v="652.04999999999995"/>
    <n v="160.65"/>
  </r>
  <r>
    <n v="200374"/>
    <n v="1762"/>
    <x v="3"/>
    <x v="1"/>
    <x v="3"/>
    <s v="Jeans"/>
    <x v="578"/>
    <d v="2024-09-01T00:00:00"/>
    <d v="2024-09-22T00:00:00"/>
    <n v="26"/>
    <n v="5"/>
    <n v="5"/>
    <n v="453.91"/>
    <n v="2269.5500000000002"/>
    <n v="0.06"/>
    <n v="136.16999999999999"/>
    <n v="2133.38"/>
    <n v="1475.21"/>
    <n v="658.17"/>
  </r>
  <r>
    <n v="200375"/>
    <n v="2513"/>
    <x v="3"/>
    <x v="1"/>
    <x v="2"/>
    <s v="Tablet"/>
    <x v="404"/>
    <d v="2024-03-02T00:00:00"/>
    <d v="2024-03-04T00:00:00"/>
    <n v="5"/>
    <n v="3"/>
    <n v="14"/>
    <n v="89.56"/>
    <n v="1253.8399999999999"/>
    <n v="0.19"/>
    <n v="238.23"/>
    <n v="1015.61"/>
    <n v="689.61"/>
    <n v="326"/>
  </r>
  <r>
    <n v="200376"/>
    <n v="2525"/>
    <x v="2"/>
    <x v="1"/>
    <x v="1"/>
    <s v="Snacks"/>
    <x v="537"/>
    <d v="2024-09-01T00:00:00"/>
    <d v="2024-09-21T00:00:00"/>
    <n v="24"/>
    <n v="4"/>
    <n v="4"/>
    <n v="178.09"/>
    <n v="712.36"/>
    <n v="0.11"/>
    <n v="78.36"/>
    <n v="634"/>
    <n v="498.65"/>
    <n v="135.35"/>
  </r>
  <r>
    <n v="200377"/>
    <n v="3895"/>
    <x v="1"/>
    <x v="1"/>
    <x v="0"/>
    <s v="Cookware"/>
    <x v="579"/>
    <d v="2024-02-11T00:00:00"/>
    <d v="2024-02-23T00:00:00"/>
    <n v="15"/>
    <n v="3"/>
    <n v="10"/>
    <n v="56.43"/>
    <n v="564.29999999999995"/>
    <n v="0.05"/>
    <n v="28.22"/>
    <n v="536.08000000000004"/>
    <n v="355.51"/>
    <n v="180.57"/>
  </r>
  <r>
    <n v="200378"/>
    <n v="2418"/>
    <x v="2"/>
    <x v="2"/>
    <x v="3"/>
    <s v="Shoes"/>
    <x v="580"/>
    <d v="2024-10-29T00:00:00"/>
    <d v="2024-11-23T00:00:00"/>
    <n v="28"/>
    <n v="3"/>
    <n v="3"/>
    <n v="366.3"/>
    <n v="1098.9000000000001"/>
    <n v="0.11"/>
    <n v="120.88"/>
    <n v="978.02"/>
    <n v="692.31"/>
    <n v="285.70999999999998"/>
  </r>
  <r>
    <n v="200379"/>
    <n v="4654"/>
    <x v="3"/>
    <x v="1"/>
    <x v="2"/>
    <s v="Headphones"/>
    <x v="479"/>
    <d v="2024-04-17T00:00:00"/>
    <d v="2024-05-03T00:00:00"/>
    <n v="20"/>
    <n v="4"/>
    <n v="12"/>
    <n v="675.82"/>
    <n v="8109.84"/>
    <n v="0.15"/>
    <n v="1216.48"/>
    <n v="6893.36"/>
    <n v="5595.79"/>
    <n v="1297.57"/>
  </r>
  <r>
    <n v="200380"/>
    <n v="2516"/>
    <x v="1"/>
    <x v="2"/>
    <x v="2"/>
    <s v="Headphones"/>
    <x v="581"/>
    <d v="2024-11-23T00:00:00"/>
    <d v="2024-12-01T00:00:00"/>
    <n v="9"/>
    <n v="1"/>
    <n v="13"/>
    <n v="327.58999999999997"/>
    <n v="4258.67"/>
    <n v="0.16"/>
    <n v="681.39"/>
    <n v="3577.28"/>
    <n v="2640.38"/>
    <n v="936.9"/>
  </r>
  <r>
    <n v="200381"/>
    <n v="3503"/>
    <x v="0"/>
    <x v="0"/>
    <x v="1"/>
    <s v="Pasta"/>
    <x v="574"/>
    <d v="2024-09-07T00:00:00"/>
    <d v="2024-10-05T00:00:00"/>
    <n v="30"/>
    <n v="2"/>
    <n v="4"/>
    <n v="754.65"/>
    <n v="3018.6"/>
    <n v="0.08"/>
    <n v="241.49"/>
    <n v="2777.11"/>
    <n v="1962.09"/>
    <n v="815.02"/>
  </r>
  <r>
    <n v="200382"/>
    <n v="3976"/>
    <x v="3"/>
    <x v="2"/>
    <x v="3"/>
    <s v="Shirt"/>
    <x v="354"/>
    <d v="2024-01-30T00:00:00"/>
    <d v="2024-02-02T00:00:00"/>
    <n v="5"/>
    <n v="2"/>
    <n v="10"/>
    <n v="658.89"/>
    <n v="6588.9"/>
    <n v="0.06"/>
    <n v="395.33"/>
    <n v="6193.57"/>
    <n v="4744.01"/>
    <n v="1449.56"/>
  </r>
  <r>
    <n v="200383"/>
    <n v="4975"/>
    <x v="1"/>
    <x v="0"/>
    <x v="3"/>
    <s v="Jeans"/>
    <x v="569"/>
    <d v="2024-07-20T00:00:00"/>
    <d v="2024-07-28T00:00:00"/>
    <n v="11"/>
    <n v="3"/>
    <n v="3"/>
    <n v="560.01"/>
    <n v="1680.03"/>
    <n v="0.12"/>
    <n v="201.6"/>
    <n v="1478.43"/>
    <n v="1125.6199999999999"/>
    <n v="352.81"/>
  </r>
  <r>
    <n v="200384"/>
    <n v="2617"/>
    <x v="2"/>
    <x v="0"/>
    <x v="2"/>
    <s v="Headphones"/>
    <x v="575"/>
    <d v="2024-08-01T00:00:00"/>
    <d v="2024-08-23T00:00:00"/>
    <n v="26"/>
    <n v="4"/>
    <n v="5"/>
    <n v="650.47"/>
    <n v="3252.35"/>
    <n v="0.05"/>
    <n v="162.62"/>
    <n v="3089.73"/>
    <n v="2374.2199999999998"/>
    <n v="715.51"/>
  </r>
  <r>
    <n v="200385"/>
    <n v="3293"/>
    <x v="2"/>
    <x v="1"/>
    <x v="2"/>
    <s v="Headphones"/>
    <x v="582"/>
    <d v="2024-12-26T00:00:00"/>
    <d v="2025-01-02T00:00:00"/>
    <n v="10"/>
    <n v="3"/>
    <n v="14"/>
    <n v="222.58"/>
    <n v="3116.12"/>
    <n v="0.15"/>
    <n v="467.42"/>
    <n v="2648.7"/>
    <n v="1900.83"/>
    <n v="747.87"/>
  </r>
  <r>
    <n v="200386"/>
    <n v="3152"/>
    <x v="2"/>
    <x v="1"/>
    <x v="0"/>
    <s v="Table"/>
    <x v="583"/>
    <d v="2024-07-05T00:00:00"/>
    <d v="2024-07-29T00:00:00"/>
    <n v="26"/>
    <n v="2"/>
    <n v="6"/>
    <n v="459.52"/>
    <n v="2757.12"/>
    <n v="0.08"/>
    <n v="220.57"/>
    <n v="2536.5500000000002"/>
    <n v="1874.84"/>
    <n v="661.71"/>
  </r>
  <r>
    <n v="200387"/>
    <n v="4589"/>
    <x v="1"/>
    <x v="1"/>
    <x v="1"/>
    <s v="Rice"/>
    <x v="544"/>
    <d v="2024-07-26T00:00:00"/>
    <d v="2024-08-07T00:00:00"/>
    <n v="14"/>
    <n v="2"/>
    <n v="7"/>
    <n v="700.96"/>
    <n v="4906.72"/>
    <n v="0.03"/>
    <n v="147.19999999999999"/>
    <n v="4759.5200000000004"/>
    <n v="3287.5"/>
    <n v="1472.02"/>
  </r>
  <r>
    <n v="200388"/>
    <n v="2119"/>
    <x v="3"/>
    <x v="1"/>
    <x v="2"/>
    <s v="Laptop"/>
    <x v="505"/>
    <d v="2024-04-01T00:00:00"/>
    <d v="2024-04-07T00:00:00"/>
    <n v="11"/>
    <n v="5"/>
    <n v="5"/>
    <n v="159.21"/>
    <n v="796.05"/>
    <n v="0.15"/>
    <n v="119.41"/>
    <n v="676.64"/>
    <n v="501.51"/>
    <n v="175.13"/>
  </r>
  <r>
    <n v="200389"/>
    <n v="1582"/>
    <x v="3"/>
    <x v="0"/>
    <x v="2"/>
    <s v="Tablet"/>
    <x v="584"/>
    <d v="2024-10-23T00:00:00"/>
    <d v="2024-11-05T00:00:00"/>
    <n v="16"/>
    <n v="3"/>
    <n v="6"/>
    <n v="730.1"/>
    <n v="4380.6000000000004"/>
    <n v="0.02"/>
    <n v="87.61"/>
    <n v="4292.99"/>
    <n v="2847.39"/>
    <n v="1445.6"/>
  </r>
  <r>
    <n v="200390"/>
    <n v="3812"/>
    <x v="3"/>
    <x v="0"/>
    <x v="3"/>
    <s v="Jacket"/>
    <x v="396"/>
    <d v="2024-05-10T00:00:00"/>
    <d v="2024-05-18T00:00:00"/>
    <n v="11"/>
    <n v="3"/>
    <n v="3"/>
    <n v="553.99"/>
    <n v="1661.97"/>
    <n v="0.2"/>
    <n v="332.39"/>
    <n v="1329.58"/>
    <n v="997.18"/>
    <n v="332.4"/>
  </r>
  <r>
    <n v="200391"/>
    <n v="2085"/>
    <x v="1"/>
    <x v="2"/>
    <x v="3"/>
    <s v="Shirt"/>
    <x v="450"/>
    <d v="2024-09-04T00:00:00"/>
    <d v="2024-09-26T00:00:00"/>
    <n v="26"/>
    <n v="4"/>
    <n v="7"/>
    <n v="690.4"/>
    <n v="4832.8"/>
    <n v="0.03"/>
    <n v="144.97999999999999"/>
    <n v="4687.82"/>
    <n v="2948.01"/>
    <n v="1739.81"/>
  </r>
  <r>
    <n v="200392"/>
    <n v="1760"/>
    <x v="0"/>
    <x v="2"/>
    <x v="3"/>
    <s v="Jacket"/>
    <x v="368"/>
    <d v="2024-07-07T00:00:00"/>
    <d v="2024-07-17T00:00:00"/>
    <n v="15"/>
    <n v="5"/>
    <n v="2"/>
    <n v="24.03"/>
    <n v="48.06"/>
    <n v="0.06"/>
    <n v="2.88"/>
    <n v="45.18"/>
    <n v="33.159999999999997"/>
    <n v="12.02"/>
  </r>
  <r>
    <n v="200393"/>
    <n v="4435"/>
    <x v="3"/>
    <x v="0"/>
    <x v="2"/>
    <s v="Tablet"/>
    <x v="493"/>
    <d v="2024-10-03T00:00:00"/>
    <d v="2024-10-04T00:00:00"/>
    <n v="3"/>
    <n v="2"/>
    <n v="5"/>
    <n v="776.65"/>
    <n v="3883.25"/>
    <n v="0.06"/>
    <n v="233"/>
    <n v="3650.26"/>
    <n v="2757.11"/>
    <n v="893.15"/>
  </r>
  <r>
    <n v="200394"/>
    <n v="3279"/>
    <x v="3"/>
    <x v="0"/>
    <x v="2"/>
    <s v="Laptop"/>
    <x v="401"/>
    <d v="2024-10-09T00:00:00"/>
    <d v="2024-11-03T00:00:00"/>
    <n v="30"/>
    <n v="5"/>
    <n v="2"/>
    <n v="107.04"/>
    <n v="214.08"/>
    <n v="0.01"/>
    <n v="2.14"/>
    <n v="211.94"/>
    <n v="137.01"/>
    <n v="74.930000000000007"/>
  </r>
  <r>
    <n v="200395"/>
    <n v="4519"/>
    <x v="0"/>
    <x v="2"/>
    <x v="2"/>
    <s v="Headphones"/>
    <x v="402"/>
    <d v="2024-03-02T00:00:00"/>
    <d v="2024-03-21T00:00:00"/>
    <n v="24"/>
    <n v="5"/>
    <n v="9"/>
    <n v="110.08"/>
    <n v="990.72"/>
    <n v="0.11"/>
    <n v="108.98"/>
    <n v="881.74"/>
    <n v="594.42999999999995"/>
    <n v="287.31"/>
  </r>
  <r>
    <n v="200396"/>
    <n v="1906"/>
    <x v="0"/>
    <x v="2"/>
    <x v="2"/>
    <s v="Tablet"/>
    <x v="585"/>
    <d v="2024-09-29T00:00:00"/>
    <d v="2024-10-27T00:00:00"/>
    <n v="29"/>
    <n v="1"/>
    <n v="10"/>
    <n v="685.03"/>
    <n v="6850.3"/>
    <n v="0.03"/>
    <n v="205.51"/>
    <n v="6644.79"/>
    <n v="4041.68"/>
    <n v="2603.11"/>
  </r>
  <r>
    <n v="200397"/>
    <n v="3493"/>
    <x v="3"/>
    <x v="2"/>
    <x v="1"/>
    <s v="Snacks"/>
    <x v="388"/>
    <d v="2024-02-15T00:00:00"/>
    <d v="2024-03-01T00:00:00"/>
    <n v="17"/>
    <n v="2"/>
    <n v="11"/>
    <n v="478.78"/>
    <n v="5266.58"/>
    <n v="0.11"/>
    <n v="579.32000000000005"/>
    <n v="4687.26"/>
    <n v="3423.28"/>
    <n v="1263.98"/>
  </r>
  <r>
    <n v="200398"/>
    <n v="4730"/>
    <x v="1"/>
    <x v="2"/>
    <x v="2"/>
    <s v="Laptop"/>
    <x v="401"/>
    <d v="2024-10-07T00:00:00"/>
    <d v="2024-11-03T00:00:00"/>
    <n v="30"/>
    <n v="3"/>
    <n v="8"/>
    <n v="164.24"/>
    <n v="1313.92"/>
    <n v="0.14000000000000001"/>
    <n v="183.95"/>
    <n v="1129.97"/>
    <n v="919.74"/>
    <n v="210.23"/>
  </r>
  <r>
    <n v="200399"/>
    <n v="4737"/>
    <x v="2"/>
    <x v="2"/>
    <x v="1"/>
    <s v="Snacks"/>
    <x v="586"/>
    <d v="2024-01-26T00:00:00"/>
    <d v="2024-01-24T00:00:00"/>
    <n v="3"/>
    <n v="5"/>
    <n v="3"/>
    <n v="565.32000000000005"/>
    <n v="1695.96"/>
    <n v="0.06"/>
    <n v="101.76"/>
    <n v="1594.2"/>
    <n v="1136.29"/>
    <n v="457.91"/>
  </r>
  <r>
    <n v="200400"/>
    <n v="3592"/>
    <x v="3"/>
    <x v="1"/>
    <x v="3"/>
    <s v="Shirt"/>
    <x v="470"/>
    <d v="2024-04-19T00:00:00"/>
    <d v="2024-05-04T00:00:00"/>
    <n v="17"/>
    <n v="2"/>
    <n v="11"/>
    <n v="81.22"/>
    <n v="893.42"/>
    <n v="0.12"/>
    <n v="107.21"/>
    <n v="786.21"/>
    <n v="607.53"/>
    <n v="178.68"/>
  </r>
  <r>
    <n v="200401"/>
    <n v="4322"/>
    <x v="0"/>
    <x v="0"/>
    <x v="0"/>
    <s v="Cookware"/>
    <x v="587"/>
    <d v="2024-11-10T00:00:00"/>
    <d v="2024-11-11T00:00:00"/>
    <n v="3"/>
    <n v="2"/>
    <n v="11"/>
    <n v="459.69"/>
    <n v="5056.59"/>
    <n v="0.06"/>
    <n v="303.39999999999998"/>
    <n v="4753.1899999999996"/>
    <n v="3539.61"/>
    <n v="1213.58"/>
  </r>
  <r>
    <n v="200402"/>
    <n v="2951"/>
    <x v="3"/>
    <x v="2"/>
    <x v="3"/>
    <s v="Jacket"/>
    <x v="567"/>
    <d v="2024-10-13T00:00:00"/>
    <d v="2024-10-17T00:00:00"/>
    <n v="9"/>
    <n v="5"/>
    <n v="8"/>
    <n v="578.34"/>
    <n v="4626.72"/>
    <n v="0.1"/>
    <n v="462.67"/>
    <n v="4164.05"/>
    <n v="2544.6999999999998"/>
    <n v="1619.35"/>
  </r>
  <r>
    <n v="200403"/>
    <n v="1570"/>
    <x v="1"/>
    <x v="0"/>
    <x v="3"/>
    <s v="Shirt"/>
    <x v="588"/>
    <d v="2024-03-26T00:00:00"/>
    <d v="2024-04-08T00:00:00"/>
    <n v="17"/>
    <n v="4"/>
    <n v="11"/>
    <n v="75.28"/>
    <n v="828.08"/>
    <n v="0.11"/>
    <n v="91.09"/>
    <n v="736.99"/>
    <n v="496.85"/>
    <n v="240.14"/>
  </r>
  <r>
    <n v="200404"/>
    <n v="1239"/>
    <x v="2"/>
    <x v="0"/>
    <x v="0"/>
    <s v="Sofa"/>
    <x v="551"/>
    <d v="2024-03-07T00:00:00"/>
    <d v="2024-03-10T00:00:00"/>
    <n v="7"/>
    <n v="4"/>
    <n v="2"/>
    <n v="384.4"/>
    <n v="768.8"/>
    <n v="0.13"/>
    <n v="99.94"/>
    <n v="668.86"/>
    <n v="530.47"/>
    <n v="138.38999999999999"/>
  </r>
  <r>
    <n v="200405"/>
    <n v="4098"/>
    <x v="2"/>
    <x v="2"/>
    <x v="3"/>
    <s v="Jacket"/>
    <x v="589"/>
    <d v="2024-05-15T00:00:00"/>
    <d v="2024-05-12T00:00:00"/>
    <n v="2"/>
    <n v="5"/>
    <n v="8"/>
    <n v="294.19"/>
    <n v="2353.52"/>
    <n v="0.14000000000000001"/>
    <n v="329.49"/>
    <n v="2024.03"/>
    <n v="1435.65"/>
    <n v="588.38"/>
  </r>
  <r>
    <n v="200406"/>
    <n v="4425"/>
    <x v="1"/>
    <x v="1"/>
    <x v="1"/>
    <s v="Rice"/>
    <x v="560"/>
    <d v="2024-08-26T00:00:00"/>
    <d v="2024-09-18T00:00:00"/>
    <n v="24"/>
    <n v="1"/>
    <n v="2"/>
    <n v="454.72"/>
    <n v="909.44"/>
    <n v="0.11"/>
    <n v="100.04"/>
    <n v="809.4"/>
    <n v="618.41999999999996"/>
    <n v="190.98"/>
  </r>
  <r>
    <n v="200407"/>
    <n v="2715"/>
    <x v="1"/>
    <x v="0"/>
    <x v="0"/>
    <s v="Sofa"/>
    <x v="590"/>
    <d v="2024-07-29T00:00:00"/>
    <d v="2024-08-05T00:00:00"/>
    <n v="10"/>
    <n v="3"/>
    <n v="8"/>
    <n v="709.14"/>
    <n v="5673.12"/>
    <n v="0.17"/>
    <n v="964.43"/>
    <n v="4708.6899999999996"/>
    <n v="3574.07"/>
    <n v="1134.6199999999999"/>
  </r>
  <r>
    <n v="200408"/>
    <n v="1570"/>
    <x v="1"/>
    <x v="1"/>
    <x v="3"/>
    <s v="Shirt"/>
    <x v="482"/>
    <d v="2024-11-03T00:00:00"/>
    <d v="2024-11-28T00:00:00"/>
    <n v="28"/>
    <n v="3"/>
    <n v="1"/>
    <n v="21.56"/>
    <n v="21.56"/>
    <n v="0.13"/>
    <n v="2.8"/>
    <n v="18.760000000000002"/>
    <n v="11.86"/>
    <n v="6.9"/>
  </r>
  <r>
    <n v="200409"/>
    <n v="1767"/>
    <x v="0"/>
    <x v="1"/>
    <x v="1"/>
    <s v="Rice"/>
    <x v="411"/>
    <d v="2024-11-30T00:00:00"/>
    <d v="2024-12-19T00:00:00"/>
    <n v="22"/>
    <n v="3"/>
    <n v="13"/>
    <n v="331.42"/>
    <n v="4308.46"/>
    <n v="0.14000000000000001"/>
    <n v="603.17999999999995"/>
    <n v="3705.28"/>
    <n v="2843.58"/>
    <n v="861.7"/>
  </r>
  <r>
    <n v="200410"/>
    <n v="4827"/>
    <x v="1"/>
    <x v="1"/>
    <x v="2"/>
    <s v="Phone"/>
    <x v="486"/>
    <d v="2024-01-24T00:00:00"/>
    <d v="2024-01-27T00:00:00"/>
    <n v="4"/>
    <n v="1"/>
    <n v="6"/>
    <n v="379.41"/>
    <n v="2276.46"/>
    <n v="0.1"/>
    <n v="227.65"/>
    <n v="2048.81"/>
    <n v="1593.52"/>
    <n v="455.29"/>
  </r>
  <r>
    <n v="200411"/>
    <n v="3315"/>
    <x v="3"/>
    <x v="0"/>
    <x v="1"/>
    <s v="Beverage"/>
    <x v="591"/>
    <d v="2024-12-08T00:00:00"/>
    <d v="2024-12-17T00:00:00"/>
    <n v="14"/>
    <n v="5"/>
    <n v="12"/>
    <n v="6.37"/>
    <n v="76.44"/>
    <n v="0.09"/>
    <n v="6.88"/>
    <n v="69.56"/>
    <n v="55.04"/>
    <n v="14.52"/>
  </r>
  <r>
    <n v="200412"/>
    <n v="1136"/>
    <x v="0"/>
    <x v="0"/>
    <x v="3"/>
    <s v="Shirt"/>
    <x v="592"/>
    <d v="2024-11-08T00:00:00"/>
    <d v="2024-11-20T00:00:00"/>
    <n v="15"/>
    <n v="3"/>
    <n v="14"/>
    <n v="325.01"/>
    <n v="4550.1400000000003"/>
    <n v="0.12"/>
    <n v="546.02"/>
    <n v="4004.12"/>
    <n v="3230.6"/>
    <n v="773.52"/>
  </r>
  <r>
    <n v="200413"/>
    <n v="1104"/>
    <x v="1"/>
    <x v="0"/>
    <x v="2"/>
    <s v="Phone"/>
    <x v="593"/>
    <d v="2024-01-05T00:00:00"/>
    <d v="2024-02-03T00:00:00"/>
    <n v="30"/>
    <n v="1"/>
    <n v="2"/>
    <n v="80.930000000000007"/>
    <n v="161.86000000000001"/>
    <n v="0.06"/>
    <n v="9.7100000000000009"/>
    <n v="152.15"/>
    <n v="97.12"/>
    <n v="55.03"/>
  </r>
  <r>
    <n v="200414"/>
    <n v="4331"/>
    <x v="0"/>
    <x v="2"/>
    <x v="2"/>
    <s v="Tablet"/>
    <x v="594"/>
    <d v="2024-11-05T00:00:00"/>
    <d v="2024-11-16T00:00:00"/>
    <n v="13"/>
    <n v="2"/>
    <n v="11"/>
    <n v="320.67"/>
    <n v="3527.37"/>
    <n v="0.04"/>
    <n v="141.09"/>
    <n v="3386.28"/>
    <n v="2398.61"/>
    <n v="987.67"/>
  </r>
  <r>
    <n v="200415"/>
    <n v="4823"/>
    <x v="1"/>
    <x v="2"/>
    <x v="0"/>
    <s v="Cookware"/>
    <x v="595"/>
    <d v="2024-05-02T00:00:00"/>
    <d v="2024-05-26T00:00:00"/>
    <n v="28"/>
    <n v="4"/>
    <n v="13"/>
    <n v="157.6"/>
    <n v="2048.8000000000002"/>
    <n v="0.17"/>
    <n v="348.3"/>
    <n v="1700.5"/>
    <n v="1434.16"/>
    <n v="266.33999999999997"/>
  </r>
  <r>
    <n v="200416"/>
    <n v="3408"/>
    <x v="1"/>
    <x v="1"/>
    <x v="3"/>
    <s v="Jacket"/>
    <x v="515"/>
    <d v="2024-08-12T00:00:00"/>
    <d v="2024-08-22T00:00:00"/>
    <n v="14"/>
    <n v="4"/>
    <n v="5"/>
    <n v="270.14"/>
    <n v="1350.7"/>
    <n v="0.08"/>
    <n v="108.06"/>
    <n v="1242.6400000000001"/>
    <n v="891.46"/>
    <n v="351.18"/>
  </r>
  <r>
    <n v="200417"/>
    <n v="4149"/>
    <x v="3"/>
    <x v="0"/>
    <x v="3"/>
    <s v="Jeans"/>
    <x v="358"/>
    <d v="2024-11-22T00:00:00"/>
    <d v="2024-12-16T00:00:00"/>
    <n v="27"/>
    <n v="3"/>
    <n v="13"/>
    <n v="773.48"/>
    <n v="10055.24"/>
    <n v="0.11"/>
    <n v="1106.08"/>
    <n v="8949.16"/>
    <n v="6737.01"/>
    <n v="2212.15"/>
  </r>
  <r>
    <n v="200418"/>
    <n v="4974"/>
    <x v="3"/>
    <x v="2"/>
    <x v="2"/>
    <s v="Headphones"/>
    <x v="596"/>
    <d v="2024-10-27T00:00:00"/>
    <d v="2024-11-13T00:00:00"/>
    <n v="20"/>
    <n v="3"/>
    <n v="5"/>
    <n v="199.01"/>
    <n v="995.05"/>
    <n v="0.12"/>
    <n v="119.41"/>
    <n v="875.64"/>
    <n v="577.13"/>
    <n v="298.51"/>
  </r>
  <r>
    <n v="200419"/>
    <n v="1881"/>
    <x v="0"/>
    <x v="2"/>
    <x v="0"/>
    <s v="Cookware"/>
    <x v="597"/>
    <d v="2024-02-25T00:00:00"/>
    <d v="2024-03-07T00:00:00"/>
    <n v="15"/>
    <n v="4"/>
    <n v="13"/>
    <n v="451.8"/>
    <n v="5873.4"/>
    <n v="0.05"/>
    <n v="293.67"/>
    <n v="5579.73"/>
    <n v="3758.98"/>
    <n v="1820.75"/>
  </r>
  <r>
    <n v="200420"/>
    <n v="3072"/>
    <x v="0"/>
    <x v="1"/>
    <x v="1"/>
    <s v="Beverage"/>
    <x v="404"/>
    <d v="2024-03-02T00:00:00"/>
    <d v="2024-03-23T00:00:00"/>
    <n v="24"/>
    <n v="3"/>
    <n v="11"/>
    <n v="526.66"/>
    <n v="5793.26"/>
    <n v="0.16"/>
    <n v="926.92"/>
    <n v="4866.34"/>
    <n v="3765.62"/>
    <n v="1100.72"/>
  </r>
  <r>
    <n v="200421"/>
    <n v="3365"/>
    <x v="1"/>
    <x v="1"/>
    <x v="1"/>
    <s v="Pasta"/>
    <x v="422"/>
    <d v="2024-02-16T00:00:00"/>
    <d v="2024-02-14T00:00:00"/>
    <n v="3"/>
    <n v="5"/>
    <n v="2"/>
    <n v="183.79"/>
    <n v="367.58"/>
    <n v="0.08"/>
    <n v="29.41"/>
    <n v="338.17"/>
    <n v="238.93"/>
    <n v="99.24"/>
  </r>
  <r>
    <n v="200422"/>
    <n v="3759"/>
    <x v="0"/>
    <x v="1"/>
    <x v="3"/>
    <s v="Jeans"/>
    <x v="598"/>
    <d v="2024-06-04T00:00:00"/>
    <d v="2024-06-14T00:00:00"/>
    <n v="14"/>
    <n v="4"/>
    <n v="5"/>
    <n v="621"/>
    <n v="3105"/>
    <n v="0.01"/>
    <n v="31.05"/>
    <n v="3073.95"/>
    <n v="2111.4"/>
    <n v="962.55"/>
  </r>
  <r>
    <n v="200423"/>
    <n v="2950"/>
    <x v="0"/>
    <x v="1"/>
    <x v="2"/>
    <s v="Phone"/>
    <x v="595"/>
    <d v="2024-05-03T00:00:00"/>
    <d v="2024-05-27T00:00:00"/>
    <n v="29"/>
    <n v="5"/>
    <n v="7"/>
    <n v="377.66"/>
    <n v="2643.62"/>
    <n v="0.12"/>
    <n v="317.23"/>
    <n v="2326.39"/>
    <n v="1956.28"/>
    <n v="370.11"/>
  </r>
  <r>
    <n v="200424"/>
    <n v="2075"/>
    <x v="2"/>
    <x v="1"/>
    <x v="3"/>
    <s v="Shoes"/>
    <x v="370"/>
    <d v="2024-09-16T00:00:00"/>
    <d v="2024-10-08T00:00:00"/>
    <n v="24"/>
    <n v="2"/>
    <n v="13"/>
    <n v="746.54"/>
    <n v="9705.02"/>
    <n v="0.1"/>
    <n v="970.5"/>
    <n v="8734.52"/>
    <n v="5823.01"/>
    <n v="2911.51"/>
  </r>
  <r>
    <n v="200425"/>
    <n v="2209"/>
    <x v="2"/>
    <x v="1"/>
    <x v="3"/>
    <s v="Jacket"/>
    <x v="362"/>
    <d v="2024-09-04T00:00:00"/>
    <d v="2024-09-27T00:00:00"/>
    <n v="24"/>
    <n v="1"/>
    <n v="1"/>
    <n v="200.63"/>
    <n v="200.63"/>
    <n v="0.13"/>
    <n v="26.08"/>
    <n v="174.55"/>
    <n v="134.41999999999999"/>
    <n v="40.130000000000003"/>
  </r>
  <r>
    <n v="200426"/>
    <n v="2492"/>
    <x v="0"/>
    <x v="1"/>
    <x v="1"/>
    <s v="Pasta"/>
    <x v="445"/>
    <d v="2024-05-20T00:00:00"/>
    <d v="2024-06-05T00:00:00"/>
    <n v="20"/>
    <n v="4"/>
    <n v="9"/>
    <n v="354.41"/>
    <n v="3189.69"/>
    <n v="0.13"/>
    <n v="414.66"/>
    <n v="2775.03"/>
    <n v="2009.5"/>
    <n v="765.53"/>
  </r>
  <r>
    <n v="200427"/>
    <n v="3258"/>
    <x v="3"/>
    <x v="2"/>
    <x v="3"/>
    <s v="Jeans"/>
    <x v="387"/>
    <d v="2024-12-22T00:00:00"/>
    <d v="2024-12-29T00:00:00"/>
    <n v="12"/>
    <n v="5"/>
    <n v="7"/>
    <n v="7.3"/>
    <n v="51.1"/>
    <n v="0.06"/>
    <n v="3.07"/>
    <n v="48.03"/>
    <n v="35.770000000000003"/>
    <n v="12.26"/>
  </r>
  <r>
    <n v="200428"/>
    <n v="3513"/>
    <x v="3"/>
    <x v="2"/>
    <x v="2"/>
    <s v="Laptop"/>
    <x v="378"/>
    <d v="2024-02-01T00:00:00"/>
    <d v="2024-02-20T00:00:00"/>
    <n v="21"/>
    <n v="2"/>
    <n v="14"/>
    <n v="512.66999999999996"/>
    <n v="7177.38"/>
    <n v="0.23"/>
    <n v="1650.8"/>
    <n v="5526.58"/>
    <n v="5311.26"/>
    <n v="215.32"/>
  </r>
  <r>
    <n v="200429"/>
    <n v="1680"/>
    <x v="1"/>
    <x v="1"/>
    <x v="1"/>
    <s v="Rice"/>
    <x v="431"/>
    <d v="2024-01-23T00:00:00"/>
    <d v="2024-02-02T00:00:00"/>
    <n v="15"/>
    <n v="5"/>
    <n v="7"/>
    <n v="331.64"/>
    <n v="2321.48"/>
    <n v="0.23"/>
    <n v="533.94000000000005"/>
    <n v="1787.54"/>
    <n v="1601.82"/>
    <n v="185.72"/>
  </r>
  <r>
    <n v="200430"/>
    <n v="2079"/>
    <x v="3"/>
    <x v="0"/>
    <x v="2"/>
    <s v="Laptop"/>
    <x v="466"/>
    <d v="2024-09-03T00:00:00"/>
    <d v="2024-09-06T00:00:00"/>
    <n v="5"/>
    <n v="2"/>
    <n v="11"/>
    <n v="403.96"/>
    <n v="4443.5600000000004"/>
    <n v="0.02"/>
    <n v="88.87"/>
    <n v="4354.6899999999996"/>
    <n v="3021.62"/>
    <n v="1333.07"/>
  </r>
  <r>
    <n v="200431"/>
    <n v="3850"/>
    <x v="1"/>
    <x v="0"/>
    <x v="3"/>
    <s v="Shoes"/>
    <x v="599"/>
    <d v="2024-10-17T00:00:00"/>
    <d v="2024-10-28T00:00:00"/>
    <n v="12"/>
    <n v="1"/>
    <n v="4"/>
    <n v="109.59"/>
    <n v="438.36"/>
    <n v="7.0000000000000007E-2"/>
    <n v="30.69"/>
    <n v="407.67"/>
    <n v="293.7"/>
    <n v="113.97"/>
  </r>
  <r>
    <n v="200432"/>
    <n v="1338"/>
    <x v="0"/>
    <x v="2"/>
    <x v="0"/>
    <s v="Lamp"/>
    <x v="387"/>
    <d v="2024-12-22T00:00:00"/>
    <d v="2024-12-24T00:00:00"/>
    <n v="7"/>
    <n v="5"/>
    <n v="11"/>
    <n v="736.56"/>
    <n v="8102.16"/>
    <n v="0.12"/>
    <n v="972.26"/>
    <n v="7129.9"/>
    <n v="5185.38"/>
    <n v="1944.52"/>
  </r>
  <r>
    <n v="200433"/>
    <n v="1733"/>
    <x v="1"/>
    <x v="2"/>
    <x v="0"/>
    <s v="Lamp"/>
    <x v="600"/>
    <d v="2024-07-28T00:00:00"/>
    <d v="2024-08-20T00:00:00"/>
    <n v="24"/>
    <n v="1"/>
    <n v="7"/>
    <n v="319.87"/>
    <n v="2239.09"/>
    <n v="0.06"/>
    <n v="134.35"/>
    <n v="2104.7399999999998"/>
    <n v="1477.8"/>
    <n v="626.94000000000005"/>
  </r>
  <r>
    <n v="200434"/>
    <n v="4263"/>
    <x v="3"/>
    <x v="1"/>
    <x v="1"/>
    <s v="Snacks"/>
    <x v="601"/>
    <d v="2024-10-17T00:00:00"/>
    <d v="2024-11-07T00:00:00"/>
    <n v="23"/>
    <n v="2"/>
    <n v="7"/>
    <n v="373.64"/>
    <n v="2615.48"/>
    <n v="0.04"/>
    <n v="104.62"/>
    <n v="2510.86"/>
    <n v="1700.06"/>
    <n v="810.8"/>
  </r>
  <r>
    <n v="200435"/>
    <n v="4997"/>
    <x v="0"/>
    <x v="2"/>
    <x v="0"/>
    <s v="Table"/>
    <x v="508"/>
    <d v="2024-07-25T00:00:00"/>
    <d v="2024-08-04T00:00:00"/>
    <n v="15"/>
    <n v="5"/>
    <n v="11"/>
    <n v="177.43"/>
    <n v="1951.73"/>
    <n v="0.21"/>
    <n v="409.86"/>
    <n v="1541.87"/>
    <n v="1346.69"/>
    <n v="195.18"/>
  </r>
  <r>
    <n v="200436"/>
    <n v="4382"/>
    <x v="3"/>
    <x v="1"/>
    <x v="0"/>
    <s v="Lamp"/>
    <x v="379"/>
    <d v="2024-11-19T00:00:00"/>
    <d v="2024-12-07T00:00:00"/>
    <n v="23"/>
    <n v="5"/>
    <n v="11"/>
    <n v="5.99"/>
    <n v="65.89"/>
    <n v="0.11"/>
    <n v="7.25"/>
    <n v="58.64"/>
    <n v="49.42"/>
    <n v="9.2200000000000006"/>
  </r>
  <r>
    <n v="200437"/>
    <n v="3868"/>
    <x v="2"/>
    <x v="1"/>
    <x v="3"/>
    <s v="Jeans"/>
    <x v="564"/>
    <d v="2024-11-26T00:00:00"/>
    <d v="2024-12-08T00:00:00"/>
    <n v="17"/>
    <n v="5"/>
    <n v="6"/>
    <n v="705.09"/>
    <n v="4230.54"/>
    <n v="0.08"/>
    <n v="338.44"/>
    <n v="3892.1"/>
    <n v="2834.46"/>
    <n v="1057.6400000000001"/>
  </r>
  <r>
    <n v="200438"/>
    <n v="4268"/>
    <x v="2"/>
    <x v="2"/>
    <x v="1"/>
    <s v="Beverage"/>
    <x v="602"/>
    <d v="2024-12-12T00:00:00"/>
    <d v="2024-12-24T00:00:00"/>
    <n v="14"/>
    <n v="2"/>
    <n v="8"/>
    <n v="600.79999999999995"/>
    <n v="4806.3999999999996"/>
    <n v="0.12"/>
    <n v="576.77"/>
    <n v="4229.63"/>
    <n v="3364.48"/>
    <n v="865.15"/>
  </r>
  <r>
    <n v="200439"/>
    <n v="4499"/>
    <x v="0"/>
    <x v="0"/>
    <x v="2"/>
    <s v="Headphones"/>
    <x v="603"/>
    <d v="2024-07-09T00:00:00"/>
    <d v="2024-07-26T00:00:00"/>
    <n v="18"/>
    <n v="1"/>
    <n v="10"/>
    <n v="227.44"/>
    <n v="2274.4"/>
    <n v="0"/>
    <n v="0"/>
    <n v="2274.4"/>
    <n v="1432.87"/>
    <n v="841.53"/>
  </r>
  <r>
    <n v="200440"/>
    <n v="3190"/>
    <x v="0"/>
    <x v="2"/>
    <x v="2"/>
    <s v="Phone"/>
    <x v="604"/>
    <d v="2024-12-22T00:00:00"/>
    <d v="2024-12-25T00:00:00"/>
    <n v="4"/>
    <n v="1"/>
    <n v="4"/>
    <n v="501.99"/>
    <n v="2007.96"/>
    <n v="0.06"/>
    <n v="120.48"/>
    <n v="1887.48"/>
    <n v="1385.49"/>
    <n v="501.99"/>
  </r>
  <r>
    <n v="200441"/>
    <n v="1737"/>
    <x v="0"/>
    <x v="1"/>
    <x v="3"/>
    <s v="Jacket"/>
    <x v="605"/>
    <d v="2024-05-01T00:00:00"/>
    <d v="2024-05-02T00:00:00"/>
    <n v="3"/>
    <n v="2"/>
    <n v="6"/>
    <n v="510.87"/>
    <n v="3065.22"/>
    <n v="0.03"/>
    <n v="91.96"/>
    <n v="2973.26"/>
    <n v="2176.31"/>
    <n v="796.95"/>
  </r>
  <r>
    <n v="200442"/>
    <n v="3105"/>
    <x v="3"/>
    <x v="1"/>
    <x v="2"/>
    <s v="Laptop"/>
    <x v="606"/>
    <d v="2024-09-08T00:00:00"/>
    <d v="2024-09-20T00:00:00"/>
    <n v="16"/>
    <n v="4"/>
    <n v="9"/>
    <n v="458.41"/>
    <n v="4125.6899999999996"/>
    <n v="0.1"/>
    <n v="412.57"/>
    <n v="3713.12"/>
    <n v="2599.1799999999998"/>
    <n v="1113.94"/>
  </r>
  <r>
    <n v="200443"/>
    <n v="2815"/>
    <x v="0"/>
    <x v="1"/>
    <x v="2"/>
    <s v="Tablet"/>
    <x v="444"/>
    <d v="2024-06-09T00:00:00"/>
    <d v="2024-06-19T00:00:00"/>
    <n v="11"/>
    <n v="1"/>
    <n v="7"/>
    <n v="154.30000000000001"/>
    <n v="1080.0999999999999"/>
    <n v="0.12"/>
    <n v="129.61000000000001"/>
    <n v="950.49"/>
    <n v="691.26"/>
    <n v="259.23"/>
  </r>
  <r>
    <n v="200444"/>
    <n v="3618"/>
    <x v="2"/>
    <x v="1"/>
    <x v="1"/>
    <s v="Pasta"/>
    <x v="598"/>
    <d v="2024-06-04T00:00:00"/>
    <d v="2024-06-08T00:00:00"/>
    <n v="8"/>
    <n v="4"/>
    <n v="13"/>
    <n v="252.6"/>
    <n v="3283.8"/>
    <n v="0.09"/>
    <n v="295.54000000000002"/>
    <n v="2988.26"/>
    <n v="1970.28"/>
    <n v="1017.98"/>
  </r>
  <r>
    <n v="200445"/>
    <n v="3481"/>
    <x v="2"/>
    <x v="2"/>
    <x v="0"/>
    <s v="Cookware"/>
    <x v="607"/>
    <d v="2024-12-07T00:00:00"/>
    <d v="2024-12-27T00:00:00"/>
    <n v="25"/>
    <n v="5"/>
    <n v="12"/>
    <n v="178.87"/>
    <n v="2146.44"/>
    <n v="0.14000000000000001"/>
    <n v="300.5"/>
    <n v="1845.94"/>
    <n v="1309.33"/>
    <n v="536.61"/>
  </r>
  <r>
    <n v="200446"/>
    <n v="3767"/>
    <x v="2"/>
    <x v="0"/>
    <x v="2"/>
    <s v="Phone"/>
    <x v="608"/>
    <d v="2024-06-04T00:00:00"/>
    <d v="2024-06-17T00:00:00"/>
    <n v="15"/>
    <n v="2"/>
    <n v="5"/>
    <n v="173.67"/>
    <n v="868.35"/>
    <n v="0"/>
    <n v="0"/>
    <n v="868.35"/>
    <n v="564.42999999999995"/>
    <n v="303.92"/>
  </r>
  <r>
    <n v="200447"/>
    <n v="2210"/>
    <x v="1"/>
    <x v="0"/>
    <x v="1"/>
    <s v="Rice"/>
    <x v="378"/>
    <d v="2024-02-01T00:00:00"/>
    <d v="2024-02-17T00:00:00"/>
    <n v="18"/>
    <n v="2"/>
    <n v="6"/>
    <n v="213.9"/>
    <n v="1283.4000000000001"/>
    <n v="0.08"/>
    <n v="102.67"/>
    <n v="1180.73"/>
    <n v="872.71"/>
    <n v="308.02"/>
  </r>
  <r>
    <n v="200448"/>
    <n v="2148"/>
    <x v="1"/>
    <x v="0"/>
    <x v="2"/>
    <s v="Tablet"/>
    <x v="399"/>
    <d v="2024-07-17T00:00:00"/>
    <d v="2024-08-10T00:00:00"/>
    <n v="26"/>
    <n v="2"/>
    <n v="4"/>
    <n v="639.24"/>
    <n v="2556.96"/>
    <n v="0.16"/>
    <n v="409.11"/>
    <n v="2147.85"/>
    <n v="1610.88"/>
    <n v="536.97"/>
  </r>
  <r>
    <n v="200449"/>
    <n v="2566"/>
    <x v="0"/>
    <x v="2"/>
    <x v="0"/>
    <s v="Lamp"/>
    <x v="386"/>
    <d v="2024-11-10T00:00:00"/>
    <d v="2024-11-30T00:00:00"/>
    <n v="24"/>
    <n v="4"/>
    <n v="9"/>
    <n v="312.86"/>
    <n v="2815.74"/>
    <n v="0.15"/>
    <n v="422.36"/>
    <n v="2393.38"/>
    <n v="1971.02"/>
    <n v="422.36"/>
  </r>
  <r>
    <n v="200450"/>
    <n v="2243"/>
    <x v="2"/>
    <x v="0"/>
    <x v="2"/>
    <s v="Headphones"/>
    <x v="478"/>
    <d v="2024-08-16T00:00:00"/>
    <d v="2024-08-30T00:00:00"/>
    <n v="16"/>
    <n v="2"/>
    <n v="7"/>
    <n v="777.27"/>
    <n v="5440.89"/>
    <n v="0.06"/>
    <n v="326.45"/>
    <n v="5114.4399999999996"/>
    <n v="3536.58"/>
    <n v="1577.86"/>
  </r>
  <r>
    <n v="200451"/>
    <n v="3138"/>
    <x v="0"/>
    <x v="2"/>
    <x v="2"/>
    <s v="Laptop"/>
    <x v="378"/>
    <d v="2024-02-02T00:00:00"/>
    <d v="2024-02-04T00:00:00"/>
    <n v="5"/>
    <n v="3"/>
    <n v="2"/>
    <n v="395.46"/>
    <n v="790.92"/>
    <n v="0.11"/>
    <n v="87"/>
    <n v="703.92"/>
    <n v="506.19"/>
    <n v="197.73"/>
  </r>
  <r>
    <n v="200452"/>
    <n v="4418"/>
    <x v="2"/>
    <x v="1"/>
    <x v="2"/>
    <s v="Headphones"/>
    <x v="609"/>
    <d v="2024-09-07T00:00:00"/>
    <d v="2024-09-26T00:00:00"/>
    <n v="20"/>
    <n v="1"/>
    <n v="12"/>
    <n v="94.62"/>
    <n v="1135.44"/>
    <n v="0.13"/>
    <n v="147.61000000000001"/>
    <n v="987.83"/>
    <n v="681.26"/>
    <n v="306.57"/>
  </r>
  <r>
    <n v="200453"/>
    <n v="3517"/>
    <x v="3"/>
    <x v="1"/>
    <x v="0"/>
    <s v="Table"/>
    <x v="509"/>
    <d v="2024-02-01T00:00:00"/>
    <d v="2024-02-01T00:00:00"/>
    <n v="5"/>
    <n v="5"/>
    <n v="11"/>
    <n v="771.56"/>
    <n v="8487.16"/>
    <n v="0.11"/>
    <n v="933.59"/>
    <n v="7553.57"/>
    <n v="5516.65"/>
    <n v="2036.92"/>
  </r>
  <r>
    <n v="200454"/>
    <n v="3712"/>
    <x v="0"/>
    <x v="2"/>
    <x v="0"/>
    <s v="Table"/>
    <x v="568"/>
    <d v="2024-04-26T00:00:00"/>
    <d v="2024-05-11T00:00:00"/>
    <n v="16"/>
    <n v="1"/>
    <n v="8"/>
    <n v="256.87"/>
    <n v="2054.96"/>
    <n v="0.04"/>
    <n v="82.2"/>
    <n v="1972.76"/>
    <n v="1335.72"/>
    <n v="637.04"/>
  </r>
  <r>
    <n v="200455"/>
    <n v="1492"/>
    <x v="2"/>
    <x v="2"/>
    <x v="3"/>
    <s v="Jacket"/>
    <x v="610"/>
    <d v="2024-12-25T00:00:00"/>
    <d v="2025-01-23T00:00:00"/>
    <n v="30"/>
    <n v="1"/>
    <n v="3"/>
    <n v="81.31"/>
    <n v="243.93"/>
    <n v="0.12"/>
    <n v="29.27"/>
    <n v="214.66"/>
    <n v="134.16"/>
    <n v="80.5"/>
  </r>
  <r>
    <n v="200456"/>
    <n v="1176"/>
    <x v="0"/>
    <x v="0"/>
    <x v="2"/>
    <s v="Laptop"/>
    <x v="611"/>
    <d v="2024-08-15T00:00:00"/>
    <d v="2024-09-10T00:00:00"/>
    <n v="29"/>
    <n v="3"/>
    <n v="14"/>
    <n v="602.61"/>
    <n v="8436.5400000000009"/>
    <n v="0.02"/>
    <n v="168.73"/>
    <n v="8267.81"/>
    <n v="4640.1000000000004"/>
    <n v="3627.71"/>
  </r>
  <r>
    <n v="200457"/>
    <n v="4063"/>
    <x v="2"/>
    <x v="1"/>
    <x v="1"/>
    <s v="Snacks"/>
    <x v="421"/>
    <d v="2024-03-02T00:00:00"/>
    <d v="2024-03-14T00:00:00"/>
    <n v="16"/>
    <n v="4"/>
    <n v="13"/>
    <n v="233.94"/>
    <n v="3041.22"/>
    <n v="0.09"/>
    <n v="273.70999999999998"/>
    <n v="2767.51"/>
    <n v="1885.56"/>
    <n v="881.95"/>
  </r>
  <r>
    <n v="200458"/>
    <n v="3171"/>
    <x v="2"/>
    <x v="0"/>
    <x v="2"/>
    <s v="Headphones"/>
    <x v="408"/>
    <d v="2024-09-26T00:00:00"/>
    <d v="2024-09-25T00:00:00"/>
    <n v="4"/>
    <n v="5"/>
    <n v="7"/>
    <n v="435.74"/>
    <n v="3050.18"/>
    <n v="0.2"/>
    <n v="610.04"/>
    <n v="2440.14"/>
    <n v="1952.12"/>
    <n v="488.02"/>
  </r>
  <r>
    <n v="200459"/>
    <n v="3601"/>
    <x v="3"/>
    <x v="0"/>
    <x v="3"/>
    <s v="Jeans"/>
    <x v="393"/>
    <d v="2024-05-28T00:00:00"/>
    <d v="2024-06-02T00:00:00"/>
    <n v="10"/>
    <n v="5"/>
    <n v="1"/>
    <n v="629.89"/>
    <n v="629.89"/>
    <n v="0.09"/>
    <n v="56.69"/>
    <n v="573.20000000000005"/>
    <n v="346.44"/>
    <n v="226.76"/>
  </r>
  <r>
    <n v="200460"/>
    <n v="4960"/>
    <x v="2"/>
    <x v="1"/>
    <x v="2"/>
    <s v="Phone"/>
    <x v="612"/>
    <d v="2024-01-12T00:00:00"/>
    <d v="2024-01-29T00:00:00"/>
    <n v="21"/>
    <n v="4"/>
    <n v="12"/>
    <n v="293.57"/>
    <n v="3522.84"/>
    <n v="0.09"/>
    <n v="317.06"/>
    <n v="3205.78"/>
    <n v="2113.6999999999998"/>
    <n v="1092.08"/>
  </r>
  <r>
    <n v="200461"/>
    <n v="2264"/>
    <x v="3"/>
    <x v="1"/>
    <x v="1"/>
    <s v="Rice"/>
    <x v="437"/>
    <d v="2024-04-22T00:00:00"/>
    <d v="2024-05-13T00:00:00"/>
    <n v="22"/>
    <n v="1"/>
    <n v="3"/>
    <n v="92.12"/>
    <n v="276.36"/>
    <n v="0.12"/>
    <n v="33.159999999999997"/>
    <n v="243.2"/>
    <n v="154.76"/>
    <n v="88.44"/>
  </r>
  <r>
    <n v="200462"/>
    <n v="2018"/>
    <x v="1"/>
    <x v="1"/>
    <x v="1"/>
    <s v="Snacks"/>
    <x v="513"/>
    <d v="2024-12-03T00:00:00"/>
    <d v="2024-12-30T00:00:00"/>
    <n v="30"/>
    <n v="3"/>
    <n v="1"/>
    <n v="619.67999999999995"/>
    <n v="619.67999999999995"/>
    <n v="0.12"/>
    <n v="74.36"/>
    <n v="545.32000000000005"/>
    <n v="408.99"/>
    <n v="136.33000000000001"/>
  </r>
  <r>
    <n v="200463"/>
    <n v="4002"/>
    <x v="1"/>
    <x v="0"/>
    <x v="3"/>
    <s v="Jacket"/>
    <x v="552"/>
    <d v="2024-06-05T00:00:00"/>
    <d v="2024-06-09T00:00:00"/>
    <n v="8"/>
    <n v="4"/>
    <n v="10"/>
    <n v="215.02"/>
    <n v="2150.1999999999998"/>
    <n v="0.17"/>
    <n v="365.53"/>
    <n v="1784.67"/>
    <n v="1290.1199999999999"/>
    <n v="494.55"/>
  </r>
  <r>
    <n v="200464"/>
    <n v="1533"/>
    <x v="1"/>
    <x v="2"/>
    <x v="1"/>
    <s v="Beverage"/>
    <x v="567"/>
    <d v="2024-10-09T00:00:00"/>
    <d v="2024-11-03T00:00:00"/>
    <n v="26"/>
    <n v="1"/>
    <n v="6"/>
    <n v="173.93"/>
    <n v="1043.58"/>
    <n v="0.08"/>
    <n v="83.49"/>
    <n v="960.09"/>
    <n v="720.07"/>
    <n v="240.02"/>
  </r>
  <r>
    <n v="200465"/>
    <n v="3334"/>
    <x v="0"/>
    <x v="1"/>
    <x v="3"/>
    <s v="Shoes"/>
    <x v="606"/>
    <d v="2024-09-08T00:00:00"/>
    <d v="2024-09-16T00:00:00"/>
    <n v="12"/>
    <n v="4"/>
    <n v="4"/>
    <n v="245.32"/>
    <n v="981.28"/>
    <n v="0.08"/>
    <n v="78.5"/>
    <n v="902.78"/>
    <n v="716.33"/>
    <n v="186.45"/>
  </r>
  <r>
    <n v="200466"/>
    <n v="4569"/>
    <x v="3"/>
    <x v="2"/>
    <x v="2"/>
    <s v="Phone"/>
    <x v="419"/>
    <d v="2024-03-08T00:00:00"/>
    <d v="2024-03-26T00:00:00"/>
    <n v="21"/>
    <n v="3"/>
    <n v="10"/>
    <n v="384.65"/>
    <n v="3846.5"/>
    <n v="7.0000000000000007E-2"/>
    <n v="269.26"/>
    <n v="3577.24"/>
    <n v="2423.3000000000002"/>
    <n v="1153.94"/>
  </r>
  <r>
    <n v="200467"/>
    <n v="4565"/>
    <x v="0"/>
    <x v="0"/>
    <x v="1"/>
    <s v="Rice"/>
    <x v="613"/>
    <d v="2024-11-21T00:00:00"/>
    <d v="2024-11-26T00:00:00"/>
    <n v="6"/>
    <n v="1"/>
    <n v="8"/>
    <n v="201.08"/>
    <n v="1608.64"/>
    <n v="0.06"/>
    <n v="96.52"/>
    <n v="1512.12"/>
    <n v="1093.8800000000001"/>
    <n v="418.24"/>
  </r>
  <r>
    <n v="200468"/>
    <n v="1744"/>
    <x v="3"/>
    <x v="0"/>
    <x v="3"/>
    <s v="Shoes"/>
    <x v="614"/>
    <d v="2024-06-25T00:00:00"/>
    <d v="2024-06-26T00:00:00"/>
    <n v="5"/>
    <n v="4"/>
    <n v="4"/>
    <n v="91.26"/>
    <n v="365.04"/>
    <n v="7.0000000000000007E-2"/>
    <n v="25.55"/>
    <n v="339.49"/>
    <n v="229.98"/>
    <n v="109.51"/>
  </r>
  <r>
    <n v="200469"/>
    <n v="1194"/>
    <x v="3"/>
    <x v="2"/>
    <x v="0"/>
    <s v="Lamp"/>
    <x v="396"/>
    <d v="2024-05-11T00:00:00"/>
    <d v="2024-05-17T00:00:00"/>
    <n v="10"/>
    <n v="4"/>
    <n v="9"/>
    <n v="370.54"/>
    <n v="3334.86"/>
    <n v="0.03"/>
    <n v="100.05"/>
    <n v="3234.81"/>
    <n v="2201.0100000000002"/>
    <n v="1033.8"/>
  </r>
  <r>
    <n v="200470"/>
    <n v="3653"/>
    <x v="2"/>
    <x v="0"/>
    <x v="0"/>
    <s v="Cookware"/>
    <x v="370"/>
    <d v="2024-09-16T00:00:00"/>
    <d v="2024-09-18T00:00:00"/>
    <n v="4"/>
    <n v="2"/>
    <n v="9"/>
    <n v="363.7"/>
    <n v="3273.3"/>
    <n v="0.09"/>
    <n v="294.60000000000002"/>
    <n v="2978.7"/>
    <n v="2127.64"/>
    <n v="851.06"/>
  </r>
  <r>
    <n v="200471"/>
    <n v="1540"/>
    <x v="3"/>
    <x v="0"/>
    <x v="2"/>
    <s v="Tablet"/>
    <x v="436"/>
    <d v="2024-04-22T00:00:00"/>
    <d v="2024-05-12T00:00:00"/>
    <n v="24"/>
    <n v="4"/>
    <n v="5"/>
    <n v="64.739999999999995"/>
    <n v="323.7"/>
    <n v="0.13"/>
    <n v="42.08"/>
    <n v="281.62"/>
    <n v="197.46"/>
    <n v="84.16"/>
  </r>
  <r>
    <n v="200472"/>
    <n v="3852"/>
    <x v="2"/>
    <x v="0"/>
    <x v="2"/>
    <s v="Headphones"/>
    <x v="518"/>
    <d v="2024-02-21T00:00:00"/>
    <d v="2024-03-15T00:00:00"/>
    <n v="26"/>
    <n v="3"/>
    <n v="10"/>
    <n v="235.76"/>
    <n v="2357.6"/>
    <n v="0.23"/>
    <n v="542.25"/>
    <n v="1815.35"/>
    <n v="1343.83"/>
    <n v="471.52"/>
  </r>
  <r>
    <n v="200473"/>
    <n v="2957"/>
    <x v="1"/>
    <x v="0"/>
    <x v="3"/>
    <s v="Jacket"/>
    <x v="478"/>
    <d v="2024-08-19T00:00:00"/>
    <d v="2024-09-11T00:00:00"/>
    <n v="28"/>
    <n v="5"/>
    <n v="8"/>
    <n v="455.89"/>
    <n v="3647.12"/>
    <n v="0.22"/>
    <n v="802.37"/>
    <n v="2844.75"/>
    <n v="2224.7399999999998"/>
    <n v="620.01"/>
  </r>
  <r>
    <n v="200474"/>
    <n v="3159"/>
    <x v="1"/>
    <x v="1"/>
    <x v="0"/>
    <s v="Sofa"/>
    <x v="483"/>
    <d v="2024-12-15T00:00:00"/>
    <d v="2024-12-29T00:00:00"/>
    <n v="18"/>
    <n v="4"/>
    <n v="4"/>
    <n v="450.51"/>
    <n v="1802.04"/>
    <n v="0.11"/>
    <n v="198.22"/>
    <n v="1603.82"/>
    <n v="1243.4100000000001"/>
    <n v="360.41"/>
  </r>
  <r>
    <n v="200475"/>
    <n v="4336"/>
    <x v="1"/>
    <x v="2"/>
    <x v="2"/>
    <s v="Laptop"/>
    <x v="615"/>
    <d v="2024-07-25T00:00:00"/>
    <d v="2024-07-30T00:00:00"/>
    <n v="7"/>
    <n v="2"/>
    <n v="10"/>
    <n v="394.48"/>
    <n v="3944.8"/>
    <n v="0.11"/>
    <n v="433.93"/>
    <n v="3510.87"/>
    <n v="2406.33"/>
    <n v="1104.54"/>
  </r>
  <r>
    <n v="200476"/>
    <n v="1433"/>
    <x v="2"/>
    <x v="0"/>
    <x v="3"/>
    <s v="Jeans"/>
    <x v="534"/>
    <d v="2024-12-19T00:00:00"/>
    <d v="2025-01-02T00:00:00"/>
    <n v="18"/>
    <n v="4"/>
    <n v="5"/>
    <n v="370.78"/>
    <n v="1853.9"/>
    <n v="0.06"/>
    <n v="111.23"/>
    <n v="1742.67"/>
    <n v="1112.3399999999999"/>
    <n v="630.33000000000004"/>
  </r>
  <r>
    <n v="200477"/>
    <n v="2796"/>
    <x v="2"/>
    <x v="1"/>
    <x v="0"/>
    <s v="Sofa"/>
    <x v="616"/>
    <d v="2024-11-02T00:00:00"/>
    <d v="2024-11-05T00:00:00"/>
    <n v="4"/>
    <n v="1"/>
    <n v="2"/>
    <n v="469.53"/>
    <n v="939.06"/>
    <n v="0.16"/>
    <n v="150.25"/>
    <n v="788.81"/>
    <n v="601"/>
    <n v="187.81"/>
  </r>
  <r>
    <n v="200478"/>
    <n v="4369"/>
    <x v="2"/>
    <x v="0"/>
    <x v="1"/>
    <s v="Snacks"/>
    <x v="532"/>
    <d v="2024-06-01T00:00:00"/>
    <d v="2024-06-04T00:00:00"/>
    <n v="6"/>
    <n v="3"/>
    <n v="5"/>
    <n v="682.37"/>
    <n v="3411.85"/>
    <n v="0.12"/>
    <n v="409.42"/>
    <n v="3002.43"/>
    <n v="2456.5300000000002"/>
    <n v="545.9"/>
  </r>
  <r>
    <n v="200479"/>
    <n v="4948"/>
    <x v="0"/>
    <x v="1"/>
    <x v="1"/>
    <s v="Rice"/>
    <x v="617"/>
    <d v="2024-04-30T00:00:00"/>
    <d v="2024-05-10T00:00:00"/>
    <n v="13"/>
    <n v="3"/>
    <n v="7"/>
    <n v="745.67"/>
    <n v="5219.6899999999996"/>
    <n v="0.18"/>
    <n v="939.54"/>
    <n v="4280.1499999999996"/>
    <n v="3445"/>
    <n v="835.15"/>
  </r>
  <r>
    <n v="200480"/>
    <n v="2374"/>
    <x v="0"/>
    <x v="0"/>
    <x v="1"/>
    <s v="Snacks"/>
    <x v="478"/>
    <d v="2024-08-17T00:00:00"/>
    <d v="2024-08-23T00:00:00"/>
    <n v="9"/>
    <n v="3"/>
    <n v="14"/>
    <n v="89.33"/>
    <n v="1250.6199999999999"/>
    <n v="0.11"/>
    <n v="137.57"/>
    <n v="1113.05"/>
    <n v="675.33"/>
    <n v="437.72"/>
  </r>
  <r>
    <n v="200481"/>
    <n v="4257"/>
    <x v="2"/>
    <x v="2"/>
    <x v="2"/>
    <s v="Tablet"/>
    <x v="618"/>
    <d v="2024-08-13T00:00:00"/>
    <d v="2024-08-29T00:00:00"/>
    <n v="20"/>
    <n v="4"/>
    <n v="1"/>
    <n v="519.13"/>
    <n v="519.13"/>
    <n v="7.0000000000000007E-2"/>
    <n v="36.340000000000003"/>
    <n v="482.79"/>
    <n v="316.67"/>
    <n v="166.12"/>
  </r>
  <r>
    <n v="200482"/>
    <n v="3048"/>
    <x v="1"/>
    <x v="2"/>
    <x v="1"/>
    <s v="Pasta"/>
    <x v="453"/>
    <d v="2024-02-22T00:00:00"/>
    <d v="2024-03-08T00:00:00"/>
    <n v="20"/>
    <n v="5"/>
    <n v="5"/>
    <n v="537.58000000000004"/>
    <n v="2687.9"/>
    <n v="0.09"/>
    <n v="241.91"/>
    <n v="2445.9899999999998"/>
    <n v="1774.01"/>
    <n v="671.98"/>
  </r>
  <r>
    <n v="200483"/>
    <n v="4306"/>
    <x v="3"/>
    <x v="2"/>
    <x v="3"/>
    <s v="Shirt"/>
    <x v="548"/>
    <d v="2024-01-19T00:00:00"/>
    <d v="2024-02-11T00:00:00"/>
    <n v="27"/>
    <n v="4"/>
    <n v="7"/>
    <n v="778.26"/>
    <n v="5447.82"/>
    <n v="0.13"/>
    <n v="708.22"/>
    <n v="4739.6000000000004"/>
    <n v="2941.82"/>
    <n v="1797.78"/>
  </r>
  <r>
    <n v="200484"/>
    <n v="1707"/>
    <x v="2"/>
    <x v="0"/>
    <x v="0"/>
    <s v="Sofa"/>
    <x v="619"/>
    <d v="2024-08-01T00:00:00"/>
    <d v="2024-08-13T00:00:00"/>
    <n v="13"/>
    <n v="1"/>
    <n v="6"/>
    <n v="255.76"/>
    <n v="1534.56"/>
    <n v="0.05"/>
    <n v="76.73"/>
    <n v="1457.83"/>
    <n v="1043.5"/>
    <n v="414.33"/>
  </r>
  <r>
    <n v="200485"/>
    <n v="1312"/>
    <x v="0"/>
    <x v="0"/>
    <x v="1"/>
    <s v="Rice"/>
    <x v="572"/>
    <d v="2024-04-23T00:00:00"/>
    <d v="2024-05-11T00:00:00"/>
    <n v="19"/>
    <n v="1"/>
    <n v="8"/>
    <n v="694.58"/>
    <n v="5556.64"/>
    <n v="0.12"/>
    <n v="666.8"/>
    <n v="4889.84"/>
    <n v="3389.55"/>
    <n v="1500.29"/>
  </r>
  <r>
    <n v="200486"/>
    <n v="3873"/>
    <x v="2"/>
    <x v="0"/>
    <x v="0"/>
    <s v="Table"/>
    <x v="620"/>
    <d v="2024-09-28T00:00:00"/>
    <d v="2024-10-19T00:00:00"/>
    <n v="23"/>
    <n v="2"/>
    <n v="6"/>
    <n v="349.16"/>
    <n v="2094.96"/>
    <n v="0.11"/>
    <n v="230.45"/>
    <n v="1864.51"/>
    <n v="1298.8800000000001"/>
    <n v="565.63"/>
  </r>
  <r>
    <n v="200487"/>
    <n v="1672"/>
    <x v="2"/>
    <x v="1"/>
    <x v="2"/>
    <s v="Phone"/>
    <x v="621"/>
    <d v="2024-09-14T00:00:00"/>
    <d v="2024-09-16T00:00:00"/>
    <n v="5"/>
    <n v="3"/>
    <n v="3"/>
    <n v="146.01"/>
    <n v="438.03"/>
    <n v="0.13"/>
    <n v="56.94"/>
    <n v="381.09"/>
    <n v="271.58"/>
    <n v="109.51"/>
  </r>
  <r>
    <n v="200488"/>
    <n v="2129"/>
    <x v="2"/>
    <x v="2"/>
    <x v="0"/>
    <s v="Sofa"/>
    <x v="437"/>
    <d v="2024-04-25T00:00:00"/>
    <d v="2024-04-29T00:00:00"/>
    <n v="8"/>
    <n v="4"/>
    <n v="14"/>
    <n v="376.56"/>
    <n v="5271.84"/>
    <n v="0.08"/>
    <n v="421.75"/>
    <n v="4850.09"/>
    <n v="3373.98"/>
    <n v="1476.11"/>
  </r>
  <r>
    <n v="200489"/>
    <n v="2916"/>
    <x v="0"/>
    <x v="1"/>
    <x v="3"/>
    <s v="Shirt"/>
    <x v="519"/>
    <d v="2024-12-15T00:00:00"/>
    <d v="2024-12-31T00:00:00"/>
    <n v="18"/>
    <n v="2"/>
    <n v="12"/>
    <n v="673.23"/>
    <n v="8078.76"/>
    <n v="0.12"/>
    <n v="969.45"/>
    <n v="7109.31"/>
    <n v="5655.13"/>
    <n v="1454.18"/>
  </r>
  <r>
    <n v="200490"/>
    <n v="1026"/>
    <x v="1"/>
    <x v="1"/>
    <x v="1"/>
    <s v="Beverage"/>
    <x v="532"/>
    <d v="2024-05-31T00:00:00"/>
    <d v="2024-06-03T00:00:00"/>
    <n v="5"/>
    <n v="2"/>
    <n v="8"/>
    <n v="420.13"/>
    <n v="3361.04"/>
    <n v="0.08"/>
    <n v="268.88"/>
    <n v="3092.16"/>
    <n v="1848.57"/>
    <n v="1243.5899999999999"/>
  </r>
  <r>
    <n v="200491"/>
    <n v="1246"/>
    <x v="2"/>
    <x v="2"/>
    <x v="3"/>
    <s v="Shirt"/>
    <x v="622"/>
    <d v="2024-12-29T00:00:00"/>
    <d v="2024-12-27T00:00:00"/>
    <n v="2"/>
    <n v="4"/>
    <n v="6"/>
    <n v="243.98"/>
    <n v="1463.88"/>
    <n v="0.15"/>
    <n v="219.58"/>
    <n v="1244.3"/>
    <n v="907.61"/>
    <n v="336.69"/>
  </r>
  <r>
    <n v="200492"/>
    <n v="2631"/>
    <x v="0"/>
    <x v="2"/>
    <x v="1"/>
    <s v="Snacks"/>
    <x v="520"/>
    <d v="2024-05-06T00:00:00"/>
    <d v="2024-06-04T00:00:00"/>
    <n v="30"/>
    <n v="1"/>
    <n v="7"/>
    <n v="686.02"/>
    <n v="4802.1400000000003"/>
    <n v="0.1"/>
    <n v="480.21"/>
    <n v="4321.93"/>
    <n v="3505.56"/>
    <n v="816.37"/>
  </r>
  <r>
    <n v="200493"/>
    <n v="2126"/>
    <x v="2"/>
    <x v="2"/>
    <x v="1"/>
    <s v="Beverage"/>
    <x v="623"/>
    <d v="2024-07-23T00:00:00"/>
    <d v="2024-08-21T00:00:00"/>
    <n v="30"/>
    <n v="1"/>
    <n v="8"/>
    <n v="512.36"/>
    <n v="4098.88"/>
    <n v="0.1"/>
    <n v="409.89"/>
    <n v="3688.99"/>
    <n v="3156.14"/>
    <n v="532.85"/>
  </r>
  <r>
    <n v="200494"/>
    <n v="4272"/>
    <x v="3"/>
    <x v="1"/>
    <x v="2"/>
    <s v="Laptop"/>
    <x v="624"/>
    <d v="2024-10-29T00:00:00"/>
    <d v="2024-11-08T00:00:00"/>
    <n v="11"/>
    <n v="1"/>
    <n v="1"/>
    <n v="520.47"/>
    <n v="520.47"/>
    <n v="0.03"/>
    <n v="15.61"/>
    <n v="504.86"/>
    <n v="296.67"/>
    <n v="208.19"/>
  </r>
  <r>
    <n v="200495"/>
    <n v="2624"/>
    <x v="1"/>
    <x v="2"/>
    <x v="0"/>
    <s v="Table"/>
    <x v="625"/>
    <d v="2024-03-08T00:00:00"/>
    <d v="2024-03-12T00:00:00"/>
    <n v="5"/>
    <n v="1"/>
    <n v="2"/>
    <n v="318.58999999999997"/>
    <n v="637.17999999999995"/>
    <n v="0.09"/>
    <n v="57.35"/>
    <n v="579.83000000000004"/>
    <n v="401.42"/>
    <n v="178.41"/>
  </r>
  <r>
    <n v="200496"/>
    <n v="3510"/>
    <x v="3"/>
    <x v="0"/>
    <x v="0"/>
    <s v="Table"/>
    <x v="453"/>
    <d v="2024-02-19T00:00:00"/>
    <d v="2024-02-29T00:00:00"/>
    <n v="12"/>
    <n v="2"/>
    <n v="9"/>
    <n v="459.51"/>
    <n v="4135.59"/>
    <n v="0.12"/>
    <n v="496.27"/>
    <n v="3639.32"/>
    <n v="2770.85"/>
    <n v="868.47"/>
  </r>
  <r>
    <n v="200497"/>
    <n v="3494"/>
    <x v="3"/>
    <x v="0"/>
    <x v="2"/>
    <s v="Laptop"/>
    <x v="353"/>
    <d v="2024-10-18T00:00:00"/>
    <d v="2024-10-26T00:00:00"/>
    <n v="13"/>
    <n v="5"/>
    <n v="4"/>
    <n v="225.48"/>
    <n v="901.92"/>
    <n v="0.19"/>
    <n v="171.36"/>
    <n v="730.56"/>
    <n v="550.16999999999996"/>
    <n v="180.39"/>
  </r>
  <r>
    <n v="200498"/>
    <n v="3060"/>
    <x v="0"/>
    <x v="0"/>
    <x v="1"/>
    <s v="Pasta"/>
    <x v="446"/>
    <d v="2024-07-14T00:00:00"/>
    <d v="2024-07-18T00:00:00"/>
    <n v="9"/>
    <n v="5"/>
    <n v="9"/>
    <n v="168.58"/>
    <n v="1517.22"/>
    <n v="0.12"/>
    <n v="182.07"/>
    <n v="1335.15"/>
    <n v="1031.71"/>
    <n v="303.44"/>
  </r>
  <r>
    <n v="200499"/>
    <n v="2304"/>
    <x v="1"/>
    <x v="2"/>
    <x v="3"/>
    <s v="Jacket"/>
    <x v="626"/>
    <d v="2024-04-15T00:00:00"/>
    <d v="2024-04-28T00:00:00"/>
    <n v="18"/>
    <n v="5"/>
    <n v="12"/>
    <n v="299.14999999999998"/>
    <n v="3589.8"/>
    <n v="0.08"/>
    <n v="287.18"/>
    <n v="3302.62"/>
    <n v="2333.37"/>
    <n v="969.25"/>
  </r>
  <r>
    <n v="200500"/>
    <n v="4184"/>
    <x v="3"/>
    <x v="0"/>
    <x v="3"/>
    <s v="Shirt"/>
    <x v="602"/>
    <d v="2024-12-15T00:00:00"/>
    <d v="2024-12-26T00:00:00"/>
    <n v="16"/>
    <n v="5"/>
    <n v="4"/>
    <n v="366.68"/>
    <n v="1466.72"/>
    <n v="0.08"/>
    <n v="117.34"/>
    <n v="1349.38"/>
    <n v="850.7"/>
    <n v="498.68"/>
  </r>
  <r>
    <n v="200501"/>
    <n v="1395"/>
    <x v="1"/>
    <x v="1"/>
    <x v="2"/>
    <s v="Headphones"/>
    <x v="537"/>
    <d v="2024-08-29T00:00:00"/>
    <d v="2024-09-08T00:00:00"/>
    <n v="11"/>
    <n v="1"/>
    <n v="11"/>
    <n v="635.24"/>
    <n v="6987.64"/>
    <n v="0.12"/>
    <n v="838.52"/>
    <n v="6149.12"/>
    <n v="3982.95"/>
    <n v="2166.17"/>
  </r>
  <r>
    <n v="200502"/>
    <n v="2659"/>
    <x v="0"/>
    <x v="2"/>
    <x v="0"/>
    <s v="Table"/>
    <x v="627"/>
    <d v="2024-06-30T00:00:00"/>
    <d v="2024-07-12T00:00:00"/>
    <n v="16"/>
    <n v="4"/>
    <n v="11"/>
    <n v="268.56"/>
    <n v="2954.16"/>
    <n v="0.03"/>
    <n v="88.62"/>
    <n v="2865.54"/>
    <n v="1979.29"/>
    <n v="886.25"/>
  </r>
  <r>
    <n v="200503"/>
    <n v="4554"/>
    <x v="3"/>
    <x v="1"/>
    <x v="0"/>
    <s v="Lamp"/>
    <x v="628"/>
    <d v="2024-07-18T00:00:00"/>
    <d v="2024-08-14T00:00:00"/>
    <n v="29"/>
    <n v="2"/>
    <n v="1"/>
    <n v="143.02000000000001"/>
    <n v="143.02000000000001"/>
    <n v="0.1"/>
    <n v="14.3"/>
    <n v="128.72"/>
    <n v="74.37"/>
    <n v="54.35"/>
  </r>
  <r>
    <n v="200504"/>
    <n v="1846"/>
    <x v="0"/>
    <x v="0"/>
    <x v="2"/>
    <s v="Headphones"/>
    <x v="396"/>
    <d v="2024-05-10T00:00:00"/>
    <d v="2024-06-06T00:00:00"/>
    <n v="30"/>
    <n v="3"/>
    <n v="1"/>
    <n v="49.2"/>
    <n v="49.2"/>
    <n v="0.06"/>
    <n v="2.95"/>
    <n v="46.25"/>
    <n v="28.54"/>
    <n v="17.71"/>
  </r>
  <r>
    <n v="200505"/>
    <n v="1940"/>
    <x v="1"/>
    <x v="0"/>
    <x v="1"/>
    <s v="Beverage"/>
    <x v="629"/>
    <d v="2024-07-14T00:00:00"/>
    <d v="2024-07-27T00:00:00"/>
    <n v="16"/>
    <n v="3"/>
    <n v="4"/>
    <n v="489.93"/>
    <n v="1959.72"/>
    <n v="0.05"/>
    <n v="97.99"/>
    <n v="1861.73"/>
    <n v="1077.8499999999999"/>
    <n v="783.88"/>
  </r>
  <r>
    <n v="200506"/>
    <n v="2412"/>
    <x v="0"/>
    <x v="1"/>
    <x v="3"/>
    <s v="Jeans"/>
    <x v="630"/>
    <d v="2024-08-10T00:00:00"/>
    <d v="2024-08-07T00:00:00"/>
    <n v="2"/>
    <n v="5"/>
    <n v="7"/>
    <n v="358.36"/>
    <n v="2508.52"/>
    <n v="0.12"/>
    <n v="301.02"/>
    <n v="2207.5"/>
    <n v="1580.37"/>
    <n v="627.13"/>
  </r>
  <r>
    <n v="200507"/>
    <n v="4235"/>
    <x v="3"/>
    <x v="0"/>
    <x v="1"/>
    <s v="Snacks"/>
    <x v="440"/>
    <d v="2024-05-20T00:00:00"/>
    <d v="2024-06-09T00:00:00"/>
    <n v="25"/>
    <n v="5"/>
    <n v="1"/>
    <n v="99.03"/>
    <n v="99.03"/>
    <n v="0.09"/>
    <n v="8.91"/>
    <n v="90.12"/>
    <n v="61.4"/>
    <n v="28.72"/>
  </r>
  <r>
    <n v="200508"/>
    <n v="3692"/>
    <x v="1"/>
    <x v="0"/>
    <x v="2"/>
    <s v="Tablet"/>
    <x v="631"/>
    <d v="2024-06-09T00:00:00"/>
    <d v="2024-06-23T00:00:00"/>
    <n v="18"/>
    <n v="4"/>
    <n v="3"/>
    <n v="726.83"/>
    <n v="2180.4899999999998"/>
    <n v="0.15"/>
    <n v="327.07"/>
    <n v="1853.42"/>
    <n v="1395.51"/>
    <n v="457.91"/>
  </r>
  <r>
    <n v="200509"/>
    <n v="3026"/>
    <x v="2"/>
    <x v="1"/>
    <x v="0"/>
    <s v="Lamp"/>
    <x v="466"/>
    <d v="2024-09-04T00:00:00"/>
    <d v="2024-09-13T00:00:00"/>
    <n v="12"/>
    <n v="3"/>
    <n v="14"/>
    <n v="323.7"/>
    <n v="4531.8"/>
    <n v="7.0000000000000007E-2"/>
    <n v="317.23"/>
    <n v="4214.57"/>
    <n v="3444.17"/>
    <n v="770.4"/>
  </r>
  <r>
    <n v="200510"/>
    <n v="1416"/>
    <x v="1"/>
    <x v="1"/>
    <x v="1"/>
    <s v="Snacks"/>
    <x v="632"/>
    <d v="2024-12-21T00:00:00"/>
    <d v="2025-01-11T00:00:00"/>
    <n v="22"/>
    <n v="1"/>
    <n v="5"/>
    <n v="797.06"/>
    <n v="3985.3"/>
    <n v="0.13"/>
    <n v="518.09"/>
    <n v="3467.21"/>
    <n v="2749.86"/>
    <n v="717.35"/>
  </r>
  <r>
    <n v="200511"/>
    <n v="3431"/>
    <x v="1"/>
    <x v="2"/>
    <x v="2"/>
    <s v="Headphones"/>
    <x v="384"/>
    <d v="2024-09-11T00:00:00"/>
    <d v="2024-09-15T00:00:00"/>
    <n v="7"/>
    <n v="3"/>
    <n v="2"/>
    <n v="492.08"/>
    <n v="984.16"/>
    <n v="7.0000000000000007E-2"/>
    <n v="68.89"/>
    <n v="915.27"/>
    <n v="738.12"/>
    <n v="177.15"/>
  </r>
  <r>
    <n v="200512"/>
    <n v="2561"/>
    <x v="2"/>
    <x v="1"/>
    <x v="3"/>
    <s v="Shirt"/>
    <x v="381"/>
    <d v="2024-12-01T00:00:00"/>
    <d v="2024-12-25T00:00:00"/>
    <n v="29"/>
    <n v="5"/>
    <n v="1"/>
    <n v="123.87"/>
    <n v="123.87"/>
    <n v="0.06"/>
    <n v="7.43"/>
    <n v="116.44"/>
    <n v="78.040000000000006"/>
    <n v="38.4"/>
  </r>
  <r>
    <n v="200513"/>
    <n v="4197"/>
    <x v="3"/>
    <x v="2"/>
    <x v="3"/>
    <s v="Shirt"/>
    <x v="633"/>
    <d v="2024-04-08T00:00:00"/>
    <d v="2024-04-30T00:00:00"/>
    <n v="26"/>
    <n v="4"/>
    <n v="2"/>
    <n v="145.91"/>
    <n v="291.82"/>
    <n v="0.1"/>
    <n v="29.18"/>
    <n v="262.64"/>
    <n v="151.75"/>
    <n v="110.89"/>
  </r>
  <r>
    <n v="200514"/>
    <n v="3947"/>
    <x v="0"/>
    <x v="2"/>
    <x v="3"/>
    <s v="Shoes"/>
    <x v="357"/>
    <d v="2024-04-27T00:00:00"/>
    <d v="2024-05-10T00:00:00"/>
    <n v="14"/>
    <n v="1"/>
    <n v="8"/>
    <n v="349.62"/>
    <n v="2796.96"/>
    <n v="0.16"/>
    <n v="447.51"/>
    <n v="2349.4499999999998"/>
    <n v="1929.9"/>
    <n v="419.55"/>
  </r>
  <r>
    <n v="200515"/>
    <n v="1265"/>
    <x v="0"/>
    <x v="0"/>
    <x v="2"/>
    <s v="Phone"/>
    <x v="634"/>
    <d v="2024-01-06T00:00:00"/>
    <d v="2024-01-31T00:00:00"/>
    <n v="28"/>
    <n v="3"/>
    <n v="2"/>
    <n v="593.75"/>
    <n v="1187.5"/>
    <n v="0.16"/>
    <n v="190"/>
    <n v="997.5"/>
    <n v="807.5"/>
    <n v="190"/>
  </r>
  <r>
    <n v="200516"/>
    <n v="1101"/>
    <x v="3"/>
    <x v="2"/>
    <x v="0"/>
    <s v="Cookware"/>
    <x v="635"/>
    <d v="2024-11-24T00:00:00"/>
    <d v="2024-11-28T00:00:00"/>
    <n v="5"/>
    <n v="1"/>
    <n v="4"/>
    <n v="745.65"/>
    <n v="2982.6"/>
    <n v="0.1"/>
    <n v="298.26"/>
    <n v="2684.34"/>
    <n v="1759.73"/>
    <n v="924.61"/>
  </r>
  <r>
    <n v="200517"/>
    <n v="3967"/>
    <x v="1"/>
    <x v="0"/>
    <x v="2"/>
    <s v="Phone"/>
    <x v="636"/>
    <d v="2024-05-06T00:00:00"/>
    <d v="2024-05-24T00:00:00"/>
    <n v="22"/>
    <n v="4"/>
    <n v="3"/>
    <n v="685.52"/>
    <n v="2056.56"/>
    <n v="0.11"/>
    <n v="226.22"/>
    <n v="1830.34"/>
    <n v="1151.67"/>
    <n v="678.67"/>
  </r>
  <r>
    <n v="200518"/>
    <n v="1853"/>
    <x v="2"/>
    <x v="2"/>
    <x v="3"/>
    <s v="Jacket"/>
    <x v="574"/>
    <d v="2024-09-07T00:00:00"/>
    <d v="2024-09-18T00:00:00"/>
    <n v="13"/>
    <n v="2"/>
    <n v="11"/>
    <n v="368.04"/>
    <n v="4048.44"/>
    <n v="0.06"/>
    <n v="242.91"/>
    <n v="3805.53"/>
    <n v="2550.52"/>
    <n v="1255.01"/>
  </r>
  <r>
    <n v="200519"/>
    <n v="2687"/>
    <x v="0"/>
    <x v="2"/>
    <x v="1"/>
    <s v="Pasta"/>
    <x v="637"/>
    <d v="2024-06-01T00:00:00"/>
    <d v="2024-06-17T00:00:00"/>
    <n v="18"/>
    <n v="2"/>
    <n v="14"/>
    <n v="235.57"/>
    <n v="3297.98"/>
    <n v="0.08"/>
    <n v="263.83999999999997"/>
    <n v="3034.14"/>
    <n v="1879.85"/>
    <n v="1154.29"/>
  </r>
  <r>
    <n v="200520"/>
    <n v="3850"/>
    <x v="0"/>
    <x v="0"/>
    <x v="1"/>
    <s v="Pasta"/>
    <x v="638"/>
    <d v="2024-09-27T00:00:00"/>
    <d v="2024-10-12T00:00:00"/>
    <n v="17"/>
    <n v="2"/>
    <n v="8"/>
    <n v="478.81"/>
    <n v="3830.48"/>
    <n v="0.05"/>
    <n v="191.52"/>
    <n v="3638.96"/>
    <n v="2413.1999999999998"/>
    <n v="1225.76"/>
  </r>
  <r>
    <n v="200521"/>
    <n v="3797"/>
    <x v="1"/>
    <x v="2"/>
    <x v="0"/>
    <s v="Cookware"/>
    <x v="639"/>
    <d v="2024-05-10T00:00:00"/>
    <d v="2024-05-15T00:00:00"/>
    <n v="7"/>
    <n v="2"/>
    <n v="7"/>
    <n v="274.89"/>
    <n v="1924.23"/>
    <n v="0.14000000000000001"/>
    <n v="269.39"/>
    <n v="1654.84"/>
    <n v="1077.57"/>
    <n v="577.27"/>
  </r>
  <r>
    <n v="200522"/>
    <n v="3380"/>
    <x v="3"/>
    <x v="1"/>
    <x v="2"/>
    <s v="Tablet"/>
    <x v="354"/>
    <d v="2024-02-01T00:00:00"/>
    <d v="2024-02-08T00:00:00"/>
    <n v="11"/>
    <n v="4"/>
    <n v="3"/>
    <n v="572.47"/>
    <n v="1717.41"/>
    <n v="0.08"/>
    <n v="137.38999999999999"/>
    <n v="1580.02"/>
    <n v="1133.49"/>
    <n v="446.53"/>
  </r>
  <r>
    <n v="200523"/>
    <n v="2851"/>
    <x v="0"/>
    <x v="0"/>
    <x v="1"/>
    <s v="Pasta"/>
    <x v="607"/>
    <d v="2024-12-07T00:00:00"/>
    <d v="2024-12-29T00:00:00"/>
    <n v="27"/>
    <n v="5"/>
    <n v="6"/>
    <n v="452.07"/>
    <n v="2712.42"/>
    <n v="0.1"/>
    <n v="271.24"/>
    <n v="2441.1799999999998"/>
    <n v="1654.58"/>
    <n v="786.6"/>
  </r>
  <r>
    <n v="200524"/>
    <n v="2541"/>
    <x v="0"/>
    <x v="2"/>
    <x v="1"/>
    <s v="Snacks"/>
    <x v="532"/>
    <d v="2024-05-31T00:00:00"/>
    <d v="2024-06-02T00:00:00"/>
    <n v="4"/>
    <n v="2"/>
    <n v="7"/>
    <n v="279.16000000000003"/>
    <n v="1954.12"/>
    <n v="0.01"/>
    <n v="19.54"/>
    <n v="1934.58"/>
    <n v="1113.8499999999999"/>
    <n v="820.73"/>
  </r>
  <r>
    <n v="200525"/>
    <n v="3045"/>
    <x v="2"/>
    <x v="1"/>
    <x v="2"/>
    <s v="Headphones"/>
    <x v="640"/>
    <d v="2024-12-05T00:00:00"/>
    <d v="2024-12-26T00:00:00"/>
    <n v="22"/>
    <n v="1"/>
    <n v="5"/>
    <n v="248.26"/>
    <n v="1241.3"/>
    <n v="0.14000000000000001"/>
    <n v="173.78"/>
    <n v="1067.52"/>
    <n v="856.5"/>
    <n v="211.02"/>
  </r>
  <r>
    <n v="200526"/>
    <n v="2479"/>
    <x v="3"/>
    <x v="1"/>
    <x v="3"/>
    <s v="Jeans"/>
    <x v="641"/>
    <d v="2024-10-21T00:00:00"/>
    <d v="2024-11-18T00:00:00"/>
    <n v="30"/>
    <n v="2"/>
    <n v="12"/>
    <n v="582.01"/>
    <n v="6984.12"/>
    <n v="0.13"/>
    <n v="907.94"/>
    <n v="6076.18"/>
    <n v="4400"/>
    <n v="1676.18"/>
  </r>
  <r>
    <n v="200527"/>
    <n v="2394"/>
    <x v="2"/>
    <x v="1"/>
    <x v="1"/>
    <s v="Snacks"/>
    <x v="441"/>
    <d v="2024-07-23T00:00:00"/>
    <d v="2024-07-27T00:00:00"/>
    <n v="8"/>
    <n v="4"/>
    <n v="12"/>
    <n v="56.77"/>
    <n v="681.24"/>
    <n v="0.05"/>
    <n v="34.06"/>
    <n v="647.17999999999995"/>
    <n v="422.37"/>
    <n v="224.81"/>
  </r>
  <r>
    <n v="200528"/>
    <n v="4570"/>
    <x v="3"/>
    <x v="0"/>
    <x v="1"/>
    <s v="Beverage"/>
    <x v="617"/>
    <d v="2024-04-28T00:00:00"/>
    <d v="2024-05-23T00:00:00"/>
    <n v="26"/>
    <n v="1"/>
    <n v="7"/>
    <n v="402.04"/>
    <n v="2814.28"/>
    <n v="0.14000000000000001"/>
    <n v="394"/>
    <n v="2420.2800000000002"/>
    <n v="1801.14"/>
    <n v="619.14"/>
  </r>
  <r>
    <n v="200529"/>
    <n v="3841"/>
    <x v="3"/>
    <x v="1"/>
    <x v="1"/>
    <s v="Pasta"/>
    <x v="642"/>
    <d v="2024-12-10T00:00:00"/>
    <d v="2024-12-21T00:00:00"/>
    <n v="15"/>
    <n v="4"/>
    <n v="4"/>
    <n v="171.53"/>
    <n v="686.12"/>
    <n v="0.09"/>
    <n v="61.75"/>
    <n v="624.37"/>
    <n v="404.81"/>
    <n v="219.56"/>
  </r>
  <r>
    <n v="200530"/>
    <n v="2410"/>
    <x v="1"/>
    <x v="0"/>
    <x v="0"/>
    <s v="Table"/>
    <x v="587"/>
    <d v="2024-11-11T00:00:00"/>
    <d v="2024-11-23T00:00:00"/>
    <n v="15"/>
    <n v="3"/>
    <n v="5"/>
    <n v="652.01"/>
    <n v="3260.05"/>
    <n v="0.06"/>
    <n v="195.6"/>
    <n v="3064.45"/>
    <n v="1956.03"/>
    <n v="1108.42"/>
  </r>
  <r>
    <n v="200531"/>
    <n v="4598"/>
    <x v="1"/>
    <x v="2"/>
    <x v="0"/>
    <s v="Table"/>
    <x v="643"/>
    <d v="2024-09-21T00:00:00"/>
    <d v="2024-10-07T00:00:00"/>
    <n v="18"/>
    <n v="2"/>
    <n v="11"/>
    <n v="147.31"/>
    <n v="1620.41"/>
    <n v="0.05"/>
    <n v="81.02"/>
    <n v="1539.39"/>
    <n v="1134.29"/>
    <n v="405.1"/>
  </r>
  <r>
    <n v="200532"/>
    <n v="2965"/>
    <x v="3"/>
    <x v="0"/>
    <x v="3"/>
    <s v="Shirt"/>
    <x v="386"/>
    <d v="2024-11-10T00:00:00"/>
    <d v="2024-11-22T00:00:00"/>
    <n v="16"/>
    <n v="4"/>
    <n v="1"/>
    <n v="443.01"/>
    <n v="443.01"/>
    <n v="0.1"/>
    <n v="44.3"/>
    <n v="398.71"/>
    <n v="287.95999999999998"/>
    <n v="110.75"/>
  </r>
  <r>
    <n v="200533"/>
    <n v="2760"/>
    <x v="2"/>
    <x v="2"/>
    <x v="2"/>
    <s v="Laptop"/>
    <x v="644"/>
    <d v="2024-10-07T00:00:00"/>
    <d v="2024-10-08T00:00:00"/>
    <n v="5"/>
    <n v="4"/>
    <n v="11"/>
    <n v="408.24"/>
    <n v="4490.6400000000003"/>
    <n v="0.15"/>
    <n v="673.6"/>
    <n v="3817.04"/>
    <n v="2829.1"/>
    <n v="987.94"/>
  </r>
  <r>
    <n v="200534"/>
    <n v="4119"/>
    <x v="3"/>
    <x v="0"/>
    <x v="2"/>
    <s v="Phone"/>
    <x v="620"/>
    <d v="2024-09-28T00:00:00"/>
    <d v="2024-10-10T00:00:00"/>
    <n v="14"/>
    <n v="2"/>
    <n v="1"/>
    <n v="774.36"/>
    <n v="774.36"/>
    <n v="0.11"/>
    <n v="85.18"/>
    <n v="689.18"/>
    <n v="495.59"/>
    <n v="193.59"/>
  </r>
  <r>
    <n v="200535"/>
    <n v="1389"/>
    <x v="3"/>
    <x v="2"/>
    <x v="3"/>
    <s v="Jeans"/>
    <x v="645"/>
    <d v="2024-04-11T00:00:00"/>
    <d v="2024-04-10T00:00:00"/>
    <n v="3"/>
    <n v="4"/>
    <n v="9"/>
    <n v="426.77"/>
    <n v="3840.93"/>
    <n v="0.11"/>
    <n v="422.5"/>
    <n v="3418.43"/>
    <n v="2458.1999999999998"/>
    <n v="960.23"/>
  </r>
  <r>
    <n v="200536"/>
    <n v="1538"/>
    <x v="1"/>
    <x v="2"/>
    <x v="0"/>
    <s v="Cookware"/>
    <x v="440"/>
    <d v="2024-05-19T00:00:00"/>
    <d v="2024-06-04T00:00:00"/>
    <n v="20"/>
    <n v="4"/>
    <n v="4"/>
    <n v="449.73"/>
    <n v="1798.92"/>
    <n v="0.04"/>
    <n v="71.959999999999994"/>
    <n v="1726.96"/>
    <n v="1187.29"/>
    <n v="539.66999999999996"/>
  </r>
  <r>
    <n v="200537"/>
    <n v="4747"/>
    <x v="2"/>
    <x v="1"/>
    <x v="0"/>
    <s v="Table"/>
    <x v="646"/>
    <d v="2024-02-20T00:00:00"/>
    <d v="2024-02-21T00:00:00"/>
    <n v="6"/>
    <n v="5"/>
    <n v="12"/>
    <n v="793.26"/>
    <n v="9519.1200000000008"/>
    <n v="7.0000000000000007E-2"/>
    <n v="666.34"/>
    <n v="8852.7800000000007"/>
    <n v="6473"/>
    <n v="2379.7800000000002"/>
  </r>
  <r>
    <n v="200538"/>
    <n v="2572"/>
    <x v="2"/>
    <x v="2"/>
    <x v="2"/>
    <s v="Tablet"/>
    <x v="515"/>
    <d v="2024-08-12T00:00:00"/>
    <d v="2024-09-05T00:00:00"/>
    <n v="28"/>
    <n v="4"/>
    <n v="6"/>
    <n v="235.43"/>
    <n v="1412.58"/>
    <n v="0.08"/>
    <n v="113.01"/>
    <n v="1299.57"/>
    <n v="946.43"/>
    <n v="353.14"/>
  </r>
  <r>
    <n v="200539"/>
    <n v="4078"/>
    <x v="3"/>
    <x v="2"/>
    <x v="2"/>
    <s v="Headphones"/>
    <x v="633"/>
    <d v="2024-04-08T00:00:00"/>
    <d v="2024-04-11T00:00:00"/>
    <n v="7"/>
    <n v="4"/>
    <n v="12"/>
    <n v="187.26"/>
    <n v="2247.12"/>
    <n v="0.13"/>
    <n v="292.13"/>
    <n v="1954.99"/>
    <n v="1415.69"/>
    <n v="539.29999999999995"/>
  </r>
  <r>
    <n v="200540"/>
    <n v="3441"/>
    <x v="2"/>
    <x v="0"/>
    <x v="2"/>
    <s v="Headphones"/>
    <x v="447"/>
    <d v="2024-11-03T00:00:00"/>
    <d v="2024-11-11T00:00:00"/>
    <n v="9"/>
    <n v="1"/>
    <n v="3"/>
    <n v="303.2"/>
    <n v="909.6"/>
    <n v="0.09"/>
    <n v="81.86"/>
    <n v="827.74"/>
    <n v="618.53"/>
    <n v="209.21"/>
  </r>
  <r>
    <n v="200541"/>
    <n v="1774"/>
    <x v="1"/>
    <x v="0"/>
    <x v="0"/>
    <s v="Lamp"/>
    <x v="647"/>
    <d v="2024-04-10T00:00:00"/>
    <d v="2024-05-02T00:00:00"/>
    <n v="24"/>
    <n v="2"/>
    <n v="10"/>
    <n v="170.74"/>
    <n v="1707.4"/>
    <n v="0.09"/>
    <n v="153.66999999999999"/>
    <n v="1553.73"/>
    <n v="1161.03"/>
    <n v="392.7"/>
  </r>
  <r>
    <n v="200542"/>
    <n v="3727"/>
    <x v="0"/>
    <x v="1"/>
    <x v="3"/>
    <s v="Shirt"/>
    <x v="648"/>
    <d v="2024-09-23T00:00:00"/>
    <d v="2024-10-13T00:00:00"/>
    <n v="21"/>
    <n v="1"/>
    <n v="3"/>
    <n v="575.27"/>
    <n v="1725.81"/>
    <n v="0.05"/>
    <n v="86.29"/>
    <n v="1639.52"/>
    <n v="931.94"/>
    <n v="707.58"/>
  </r>
  <r>
    <n v="200543"/>
    <n v="3658"/>
    <x v="2"/>
    <x v="2"/>
    <x v="2"/>
    <s v="Laptop"/>
    <x v="602"/>
    <d v="2024-12-15T00:00:00"/>
    <d v="2024-12-25T00:00:00"/>
    <n v="15"/>
    <n v="5"/>
    <n v="4"/>
    <n v="624.45000000000005"/>
    <n v="2497.8000000000002"/>
    <n v="7.0000000000000007E-2"/>
    <n v="174.85"/>
    <n v="2322.9499999999998"/>
    <n v="1773.44"/>
    <n v="549.51"/>
  </r>
  <r>
    <n v="200544"/>
    <n v="4122"/>
    <x v="3"/>
    <x v="0"/>
    <x v="2"/>
    <s v="Tablet"/>
    <x v="372"/>
    <d v="2024-09-23T00:00:00"/>
    <d v="2024-10-08T00:00:00"/>
    <n v="18"/>
    <n v="3"/>
    <n v="1"/>
    <n v="558.09"/>
    <n v="558.09"/>
    <n v="0.09"/>
    <n v="50.23"/>
    <n v="507.86"/>
    <n v="362.76"/>
    <n v="145.1"/>
  </r>
  <r>
    <n v="200545"/>
    <n v="2354"/>
    <x v="2"/>
    <x v="1"/>
    <x v="3"/>
    <s v="Jeans"/>
    <x v="649"/>
    <d v="2024-10-22T00:00:00"/>
    <d v="2024-11-10T00:00:00"/>
    <n v="24"/>
    <n v="5"/>
    <n v="3"/>
    <n v="790.93"/>
    <n v="2372.79"/>
    <n v="0.12"/>
    <n v="284.73"/>
    <n v="2088.06"/>
    <n v="1399.95"/>
    <n v="688.11"/>
  </r>
  <r>
    <n v="200546"/>
    <n v="4681"/>
    <x v="2"/>
    <x v="2"/>
    <x v="0"/>
    <s v="Table"/>
    <x v="583"/>
    <d v="2024-07-08T00:00:00"/>
    <d v="2024-07-25T00:00:00"/>
    <n v="22"/>
    <n v="5"/>
    <n v="14"/>
    <n v="776.56"/>
    <n v="10871.84"/>
    <n v="0.14000000000000001"/>
    <n v="1522.06"/>
    <n v="9349.7800000000007"/>
    <n v="6849.26"/>
    <n v="2500.52"/>
  </r>
  <r>
    <n v="200547"/>
    <n v="4996"/>
    <x v="3"/>
    <x v="2"/>
    <x v="3"/>
    <s v="Shoes"/>
    <x v="417"/>
    <d v="2024-12-13T00:00:00"/>
    <d v="2024-12-26T00:00:00"/>
    <n v="14"/>
    <n v="1"/>
    <n v="4"/>
    <n v="668.82"/>
    <n v="2675.28"/>
    <n v="0.08"/>
    <n v="214.02"/>
    <n v="2461.2600000000002"/>
    <n v="1765.68"/>
    <n v="695.58"/>
  </r>
  <r>
    <n v="200548"/>
    <n v="1977"/>
    <x v="1"/>
    <x v="1"/>
    <x v="2"/>
    <s v="Laptop"/>
    <x v="497"/>
    <d v="2024-05-08T00:00:00"/>
    <d v="2024-05-18T00:00:00"/>
    <n v="15"/>
    <n v="5"/>
    <n v="12"/>
    <n v="8.81"/>
    <n v="105.72"/>
    <n v="0.12"/>
    <n v="12.69"/>
    <n v="93.03"/>
    <n v="68.72"/>
    <n v="24.31"/>
  </r>
  <r>
    <n v="200549"/>
    <n v="3813"/>
    <x v="3"/>
    <x v="0"/>
    <x v="3"/>
    <s v="Jacket"/>
    <x v="379"/>
    <d v="2024-11-16T00:00:00"/>
    <d v="2024-12-04T00:00:00"/>
    <n v="20"/>
    <n v="2"/>
    <n v="7"/>
    <n v="498.83"/>
    <n v="3491.81"/>
    <n v="7.0000000000000007E-2"/>
    <n v="244.43"/>
    <n v="3247.38"/>
    <n v="2025.25"/>
    <n v="1222.1300000000001"/>
  </r>
  <r>
    <n v="200550"/>
    <n v="4368"/>
    <x v="0"/>
    <x v="2"/>
    <x v="1"/>
    <s v="Beverage"/>
    <x v="650"/>
    <d v="2024-03-28T00:00:00"/>
    <d v="2024-04-09T00:00:00"/>
    <n v="15"/>
    <n v="3"/>
    <n v="13"/>
    <n v="498.11"/>
    <n v="6475.43"/>
    <n v="0.08"/>
    <n v="518.03"/>
    <n v="5957.4"/>
    <n v="4014.77"/>
    <n v="1942.63"/>
  </r>
  <r>
    <n v="200551"/>
    <n v="2522"/>
    <x v="1"/>
    <x v="0"/>
    <x v="2"/>
    <s v="Tablet"/>
    <x v="445"/>
    <d v="2024-05-18T00:00:00"/>
    <d v="2024-06-08T00:00:00"/>
    <n v="23"/>
    <n v="2"/>
    <n v="4"/>
    <n v="390.74"/>
    <n v="1562.96"/>
    <n v="0.11"/>
    <n v="171.93"/>
    <n v="1391.03"/>
    <n v="1031.55"/>
    <n v="359.48"/>
  </r>
  <r>
    <n v="200552"/>
    <n v="4988"/>
    <x v="2"/>
    <x v="0"/>
    <x v="2"/>
    <s v="Laptop"/>
    <x v="651"/>
    <d v="2024-06-24T00:00:00"/>
    <d v="2024-07-18T00:00:00"/>
    <n v="29"/>
    <n v="5"/>
    <n v="8"/>
    <n v="683.42"/>
    <n v="5467.36"/>
    <n v="7.0000000000000007E-2"/>
    <n v="382.72"/>
    <n v="5084.6400000000003"/>
    <n v="3335.09"/>
    <n v="1749.55"/>
  </r>
  <r>
    <n v="200553"/>
    <n v="2272"/>
    <x v="1"/>
    <x v="2"/>
    <x v="1"/>
    <s v="Beverage"/>
    <x v="652"/>
    <d v="2024-03-08T00:00:00"/>
    <d v="2024-04-02T00:00:00"/>
    <n v="29"/>
    <n v="4"/>
    <n v="9"/>
    <n v="92.39"/>
    <n v="831.51"/>
    <n v="0.26"/>
    <n v="216.19"/>
    <n v="615.32000000000005"/>
    <n v="498.91"/>
    <n v="116.41"/>
  </r>
  <r>
    <n v="200554"/>
    <n v="4956"/>
    <x v="1"/>
    <x v="0"/>
    <x v="2"/>
    <s v="Laptop"/>
    <x v="450"/>
    <d v="2024-09-01T00:00:00"/>
    <d v="2024-09-18T00:00:00"/>
    <n v="18"/>
    <n v="1"/>
    <n v="14"/>
    <n v="153.49"/>
    <n v="2148.86"/>
    <n v="7.0000000000000007E-2"/>
    <n v="150.41999999999999"/>
    <n v="1998.44"/>
    <n v="1310.8"/>
    <n v="687.64"/>
  </r>
  <r>
    <n v="200555"/>
    <n v="1241"/>
    <x v="0"/>
    <x v="0"/>
    <x v="0"/>
    <s v="Table"/>
    <x v="653"/>
    <d v="2024-05-17T00:00:00"/>
    <d v="2024-06-08T00:00:00"/>
    <n v="26"/>
    <n v="4"/>
    <n v="8"/>
    <n v="757.25"/>
    <n v="6058"/>
    <n v="0.15"/>
    <n v="908.7"/>
    <n v="5149.3"/>
    <n v="3331.9"/>
    <n v="1817.4"/>
  </r>
  <r>
    <n v="200556"/>
    <n v="2157"/>
    <x v="0"/>
    <x v="2"/>
    <x v="3"/>
    <s v="Shirt"/>
    <x v="407"/>
    <d v="2024-08-12T00:00:00"/>
    <d v="2024-08-17T00:00:00"/>
    <n v="7"/>
    <n v="2"/>
    <n v="7"/>
    <n v="230.39"/>
    <n v="1612.73"/>
    <n v="0.13"/>
    <n v="209.65"/>
    <n v="1403.08"/>
    <n v="1016.02"/>
    <n v="387.06"/>
  </r>
  <r>
    <n v="200557"/>
    <n v="1319"/>
    <x v="3"/>
    <x v="1"/>
    <x v="0"/>
    <s v="Lamp"/>
    <x v="541"/>
    <d v="2024-07-16T00:00:00"/>
    <d v="2024-07-31T00:00:00"/>
    <n v="17"/>
    <n v="2"/>
    <n v="5"/>
    <n v="160.05000000000001"/>
    <n v="800.25"/>
    <n v="0.09"/>
    <n v="72.02"/>
    <n v="728.23"/>
    <n v="568.17999999999995"/>
    <n v="160.05000000000001"/>
  </r>
  <r>
    <n v="200558"/>
    <n v="1976"/>
    <x v="3"/>
    <x v="2"/>
    <x v="2"/>
    <s v="Headphones"/>
    <x v="395"/>
    <d v="2024-12-23T00:00:00"/>
    <d v="2025-01-16T00:00:00"/>
    <n v="29"/>
    <n v="5"/>
    <n v="13"/>
    <n v="28.05"/>
    <n v="364.65"/>
    <n v="7.0000000000000007E-2"/>
    <n v="25.53"/>
    <n v="339.12"/>
    <n v="240.67"/>
    <n v="98.45"/>
  </r>
  <r>
    <n v="200559"/>
    <n v="2490"/>
    <x v="1"/>
    <x v="0"/>
    <x v="0"/>
    <s v="Cookware"/>
    <x v="529"/>
    <d v="2024-07-30T00:00:00"/>
    <d v="2024-08-18T00:00:00"/>
    <n v="20"/>
    <n v="1"/>
    <n v="2"/>
    <n v="351.77"/>
    <n v="703.54"/>
    <n v="0.03"/>
    <n v="21.11"/>
    <n v="682.43"/>
    <n v="478.41"/>
    <n v="204.02"/>
  </r>
  <r>
    <n v="200560"/>
    <n v="1647"/>
    <x v="3"/>
    <x v="2"/>
    <x v="3"/>
    <s v="Jacket"/>
    <x v="409"/>
    <d v="2024-02-17T00:00:00"/>
    <d v="2024-03-16T00:00:00"/>
    <n v="29"/>
    <n v="1"/>
    <n v="1"/>
    <n v="600.49"/>
    <n v="600.49"/>
    <n v="0.15"/>
    <n v="90.07"/>
    <n v="510.42"/>
    <n v="390.32"/>
    <n v="120.1"/>
  </r>
  <r>
    <n v="200561"/>
    <n v="2150"/>
    <x v="1"/>
    <x v="0"/>
    <x v="3"/>
    <s v="Jeans"/>
    <x v="477"/>
    <d v="2024-11-12T00:00:00"/>
    <d v="2024-11-29T00:00:00"/>
    <n v="19"/>
    <n v="2"/>
    <n v="5"/>
    <n v="186.53"/>
    <n v="932.65"/>
    <n v="0.11"/>
    <n v="102.59"/>
    <n v="830.06"/>
    <n v="615.54999999999995"/>
    <n v="214.51"/>
  </r>
  <r>
    <n v="200562"/>
    <n v="4541"/>
    <x v="3"/>
    <x v="2"/>
    <x v="0"/>
    <s v="Sofa"/>
    <x v="384"/>
    <d v="2024-09-09T00:00:00"/>
    <d v="2024-09-28T00:00:00"/>
    <n v="20"/>
    <n v="1"/>
    <n v="3"/>
    <n v="752.16"/>
    <n v="2256.48"/>
    <n v="0.1"/>
    <n v="225.65"/>
    <n v="2030.83"/>
    <n v="1534.41"/>
    <n v="496.42"/>
  </r>
  <r>
    <n v="200563"/>
    <n v="3913"/>
    <x v="0"/>
    <x v="2"/>
    <x v="0"/>
    <s v="Table"/>
    <x v="538"/>
    <d v="2024-07-05T00:00:00"/>
    <d v="2024-07-10T00:00:00"/>
    <n v="6"/>
    <n v="1"/>
    <n v="2"/>
    <n v="633.41"/>
    <n v="1266.82"/>
    <n v="0.09"/>
    <n v="114.01"/>
    <n v="1152.81"/>
    <n v="823.43"/>
    <n v="329.38"/>
  </r>
  <r>
    <n v="200564"/>
    <n v="4286"/>
    <x v="2"/>
    <x v="0"/>
    <x v="1"/>
    <s v="Beverage"/>
    <x v="597"/>
    <d v="2024-02-25T00:00:00"/>
    <d v="2024-03-13T00:00:00"/>
    <n v="21"/>
    <n v="4"/>
    <n v="10"/>
    <n v="782.49"/>
    <n v="7824.9"/>
    <n v="0.09"/>
    <n v="704.24"/>
    <n v="7120.66"/>
    <n v="4773.1899999999996"/>
    <n v="2347.4699999999998"/>
  </r>
  <r>
    <n v="200565"/>
    <n v="4069"/>
    <x v="2"/>
    <x v="1"/>
    <x v="3"/>
    <s v="Jeans"/>
    <x v="522"/>
    <d v="2024-04-06T00:00:00"/>
    <d v="2024-04-06T00:00:00"/>
    <n v="5"/>
    <n v="5"/>
    <n v="7"/>
    <n v="738.72"/>
    <n v="5171.04"/>
    <n v="7.0000000000000007E-2"/>
    <n v="361.97"/>
    <n v="4809.07"/>
    <n v="3464.6"/>
    <n v="1344.47"/>
  </r>
  <r>
    <n v="200566"/>
    <n v="3444"/>
    <x v="3"/>
    <x v="1"/>
    <x v="0"/>
    <s v="Sofa"/>
    <x v="654"/>
    <d v="2024-02-25T00:00:00"/>
    <d v="2024-03-10T00:00:00"/>
    <n v="19"/>
    <n v="5"/>
    <n v="9"/>
    <n v="391.86"/>
    <n v="3526.74"/>
    <n v="0.08"/>
    <n v="282.14"/>
    <n v="3244.6"/>
    <n v="2609.79"/>
    <n v="634.80999999999995"/>
  </r>
  <r>
    <n v="200567"/>
    <n v="2768"/>
    <x v="3"/>
    <x v="0"/>
    <x v="1"/>
    <s v="Rice"/>
    <x v="636"/>
    <d v="2024-05-06T00:00:00"/>
    <d v="2024-05-22T00:00:00"/>
    <n v="20"/>
    <n v="4"/>
    <n v="11"/>
    <n v="320.2"/>
    <n v="3522.2"/>
    <n v="0.02"/>
    <n v="70.44"/>
    <n v="3451.76"/>
    <n v="2289.4299999999998"/>
    <n v="1162.33"/>
  </r>
  <r>
    <n v="200568"/>
    <n v="4338"/>
    <x v="1"/>
    <x v="0"/>
    <x v="0"/>
    <s v="Cookware"/>
    <x v="619"/>
    <d v="2024-08-02T00:00:00"/>
    <d v="2024-08-05T00:00:00"/>
    <n v="5"/>
    <n v="2"/>
    <n v="4"/>
    <n v="157.38"/>
    <n v="629.52"/>
    <n v="0.15"/>
    <n v="94.43"/>
    <n v="535.09"/>
    <n v="371.42"/>
    <n v="163.66999999999999"/>
  </r>
  <r>
    <n v="200569"/>
    <n v="2453"/>
    <x v="3"/>
    <x v="2"/>
    <x v="0"/>
    <s v="Lamp"/>
    <x v="428"/>
    <d v="2024-06-16T00:00:00"/>
    <d v="2024-07-11T00:00:00"/>
    <n v="27"/>
    <n v="2"/>
    <n v="6"/>
    <n v="676.17"/>
    <n v="4057.02"/>
    <n v="0.05"/>
    <n v="202.85"/>
    <n v="3854.17"/>
    <n v="2637.06"/>
    <n v="1217.1099999999999"/>
  </r>
  <r>
    <n v="200570"/>
    <n v="4876"/>
    <x v="2"/>
    <x v="1"/>
    <x v="0"/>
    <s v="Cookware"/>
    <x v="539"/>
    <d v="2024-02-01T00:00:00"/>
    <d v="2024-02-21T00:00:00"/>
    <n v="21"/>
    <n v="1"/>
    <n v="3"/>
    <n v="72.38"/>
    <n v="217.14"/>
    <n v="0.02"/>
    <n v="4.34"/>
    <n v="212.8"/>
    <n v="136.80000000000001"/>
    <n v="76"/>
  </r>
  <r>
    <n v="200571"/>
    <n v="2072"/>
    <x v="2"/>
    <x v="1"/>
    <x v="2"/>
    <s v="Tablet"/>
    <x v="432"/>
    <d v="2024-03-15T00:00:00"/>
    <d v="2024-03-21T00:00:00"/>
    <n v="11"/>
    <n v="5"/>
    <n v="5"/>
    <n v="23.95"/>
    <n v="119.75"/>
    <n v="0.18"/>
    <n v="21.56"/>
    <n v="98.2"/>
    <n v="71.849999999999994"/>
    <n v="26.35"/>
  </r>
  <r>
    <n v="200572"/>
    <n v="2255"/>
    <x v="1"/>
    <x v="2"/>
    <x v="0"/>
    <s v="Table"/>
    <x v="438"/>
    <d v="2024-01-13T00:00:00"/>
    <d v="2024-02-01T00:00:00"/>
    <n v="21"/>
    <n v="2"/>
    <n v="2"/>
    <n v="404.9"/>
    <n v="809.8"/>
    <n v="0.11"/>
    <n v="89.08"/>
    <n v="720.72"/>
    <n v="518.27"/>
    <n v="202.45"/>
  </r>
  <r>
    <n v="200573"/>
    <n v="3952"/>
    <x v="3"/>
    <x v="0"/>
    <x v="0"/>
    <s v="Table"/>
    <x v="655"/>
    <d v="2024-11-30T00:00:00"/>
    <d v="2024-12-12T00:00:00"/>
    <n v="13"/>
    <n v="1"/>
    <n v="9"/>
    <n v="590.65"/>
    <n v="5315.85"/>
    <n v="7.0000000000000007E-2"/>
    <n v="372.11"/>
    <n v="4943.74"/>
    <n v="3455.3"/>
    <n v="1488.44"/>
  </r>
  <r>
    <n v="200574"/>
    <n v="2790"/>
    <x v="2"/>
    <x v="0"/>
    <x v="0"/>
    <s v="Cookware"/>
    <x v="656"/>
    <d v="2024-11-08T00:00:00"/>
    <d v="2024-11-07T00:00:00"/>
    <n v="3"/>
    <n v="4"/>
    <n v="12"/>
    <n v="102.07"/>
    <n v="1224.8399999999999"/>
    <n v="0.13"/>
    <n v="159.22999999999999"/>
    <n v="1065.6099999999999"/>
    <n v="894.13"/>
    <n v="171.48"/>
  </r>
  <r>
    <n v="200575"/>
    <n v="1265"/>
    <x v="1"/>
    <x v="0"/>
    <x v="2"/>
    <s v="Headphones"/>
    <x v="653"/>
    <d v="2024-05-14T00:00:00"/>
    <d v="2024-06-12T00:00:00"/>
    <n v="30"/>
    <n v="1"/>
    <n v="5"/>
    <n v="537.63"/>
    <n v="2688.15"/>
    <n v="0.13"/>
    <n v="349.46"/>
    <n v="2338.69"/>
    <n v="1747.3"/>
    <n v="591.39"/>
  </r>
  <r>
    <n v="200576"/>
    <n v="4852"/>
    <x v="2"/>
    <x v="1"/>
    <x v="1"/>
    <s v="Pasta"/>
    <x v="558"/>
    <d v="2024-04-26T00:00:00"/>
    <d v="2024-05-08T00:00:00"/>
    <n v="14"/>
    <n v="2"/>
    <n v="7"/>
    <n v="142.1"/>
    <n v="994.7"/>
    <n v="0.09"/>
    <n v="89.52"/>
    <n v="905.18"/>
    <n v="656.5"/>
    <n v="248.68"/>
  </r>
  <r>
    <n v="200577"/>
    <n v="2152"/>
    <x v="1"/>
    <x v="1"/>
    <x v="0"/>
    <s v="Table"/>
    <x v="614"/>
    <d v="2024-06-23T00:00:00"/>
    <d v="2024-07-14T00:00:00"/>
    <n v="23"/>
    <n v="2"/>
    <n v="8"/>
    <n v="209.03"/>
    <n v="1672.24"/>
    <n v="0.11"/>
    <n v="183.95"/>
    <n v="1488.29"/>
    <n v="969.9"/>
    <n v="518.39"/>
  </r>
  <r>
    <n v="200578"/>
    <n v="2058"/>
    <x v="0"/>
    <x v="2"/>
    <x v="3"/>
    <s v="Shoes"/>
    <x v="657"/>
    <d v="2024-12-23T00:00:00"/>
    <d v="2025-01-08T00:00:00"/>
    <n v="17"/>
    <n v="1"/>
    <n v="10"/>
    <n v="360.67"/>
    <n v="3606.7"/>
    <n v="0.15"/>
    <n v="541"/>
    <n v="3065.7"/>
    <n v="2200.09"/>
    <n v="865.61"/>
  </r>
  <r>
    <n v="200579"/>
    <n v="1213"/>
    <x v="3"/>
    <x v="0"/>
    <x v="1"/>
    <s v="Pasta"/>
    <x v="527"/>
    <d v="2024-10-03T00:00:00"/>
    <d v="2024-10-21T00:00:00"/>
    <n v="21"/>
    <n v="3"/>
    <n v="4"/>
    <n v="388"/>
    <n v="1552"/>
    <n v="0.09"/>
    <n v="139.68"/>
    <n v="1412.32"/>
    <n v="1008.8"/>
    <n v="403.52"/>
  </r>
  <r>
    <n v="200580"/>
    <n v="1229"/>
    <x v="3"/>
    <x v="2"/>
    <x v="1"/>
    <s v="Rice"/>
    <x v="466"/>
    <d v="2024-09-05T00:00:00"/>
    <d v="2024-09-27T00:00:00"/>
    <n v="26"/>
    <n v="4"/>
    <n v="4"/>
    <n v="364.96"/>
    <n v="1459.84"/>
    <n v="0.11"/>
    <n v="160.58000000000001"/>
    <n v="1299.26"/>
    <n v="832.11"/>
    <n v="467.15"/>
  </r>
  <r>
    <n v="200581"/>
    <n v="1909"/>
    <x v="1"/>
    <x v="1"/>
    <x v="2"/>
    <s v="Headphones"/>
    <x v="599"/>
    <d v="2024-10-21T00:00:00"/>
    <d v="2024-11-03T00:00:00"/>
    <n v="18"/>
    <n v="5"/>
    <n v="4"/>
    <n v="199.22"/>
    <n v="796.88"/>
    <n v="0.09"/>
    <n v="71.72"/>
    <n v="725.16"/>
    <n v="478.13"/>
    <n v="247.03"/>
  </r>
  <r>
    <n v="200582"/>
    <n v="3069"/>
    <x v="3"/>
    <x v="2"/>
    <x v="1"/>
    <s v="Snacks"/>
    <x v="353"/>
    <d v="2024-10-15T00:00:00"/>
    <d v="2024-10-25T00:00:00"/>
    <n v="12"/>
    <n v="2"/>
    <n v="8"/>
    <n v="719.18"/>
    <n v="5753.44"/>
    <n v="0.13"/>
    <n v="747.95"/>
    <n v="5005.49"/>
    <n v="3394.53"/>
    <n v="1610.96"/>
  </r>
  <r>
    <n v="200583"/>
    <n v="2915"/>
    <x v="1"/>
    <x v="1"/>
    <x v="1"/>
    <s v="Pasta"/>
    <x v="511"/>
    <d v="2024-08-20T00:00:00"/>
    <d v="2024-08-20T00:00:00"/>
    <n v="4"/>
    <n v="4"/>
    <n v="7"/>
    <n v="330.66"/>
    <n v="2314.62"/>
    <n v="0.1"/>
    <n v="231.46"/>
    <n v="2083.16"/>
    <n v="1388.77"/>
    <n v="694.39"/>
  </r>
  <r>
    <n v="200584"/>
    <n v="1187"/>
    <x v="3"/>
    <x v="1"/>
    <x v="3"/>
    <s v="Jacket"/>
    <x v="423"/>
    <d v="2025-01-01T00:00:00"/>
    <d v="2025-01-23T00:00:00"/>
    <n v="26"/>
    <n v="4"/>
    <n v="13"/>
    <n v="52.68"/>
    <n v="684.84"/>
    <n v="0.06"/>
    <n v="41.09"/>
    <n v="643.75"/>
    <n v="410.9"/>
    <n v="232.85"/>
  </r>
  <r>
    <n v="200585"/>
    <n v="4222"/>
    <x v="0"/>
    <x v="0"/>
    <x v="1"/>
    <s v="Pasta"/>
    <x v="384"/>
    <d v="2024-09-10T00:00:00"/>
    <d v="2024-10-01T00:00:00"/>
    <n v="23"/>
    <n v="2"/>
    <n v="14"/>
    <n v="128.72"/>
    <n v="1802.08"/>
    <n v="7.0000000000000007E-2"/>
    <n v="126.15"/>
    <n v="1675.93"/>
    <n v="1135.31"/>
    <n v="540.62"/>
  </r>
  <r>
    <n v="200586"/>
    <n v="3799"/>
    <x v="0"/>
    <x v="0"/>
    <x v="0"/>
    <s v="Table"/>
    <x v="658"/>
    <d v="2024-11-29T00:00:00"/>
    <d v="2024-12-17T00:00:00"/>
    <n v="23"/>
    <n v="5"/>
    <n v="11"/>
    <n v="662.6"/>
    <n v="7288.6"/>
    <n v="0.1"/>
    <n v="728.86"/>
    <n v="6559.74"/>
    <n v="5320.68"/>
    <n v="1239.06"/>
  </r>
  <r>
    <n v="200587"/>
    <n v="1619"/>
    <x v="3"/>
    <x v="1"/>
    <x v="3"/>
    <s v="Shirt"/>
    <x v="394"/>
    <d v="2024-10-13T00:00:00"/>
    <d v="2024-10-19T00:00:00"/>
    <n v="7"/>
    <n v="1"/>
    <n v="8"/>
    <n v="555.65"/>
    <n v="4445.2"/>
    <n v="0.11"/>
    <n v="488.97"/>
    <n v="3956.23"/>
    <n v="3111.64"/>
    <n v="844.59"/>
  </r>
  <r>
    <n v="200588"/>
    <n v="2695"/>
    <x v="0"/>
    <x v="0"/>
    <x v="1"/>
    <s v="Beverage"/>
    <x v="573"/>
    <d v="2024-06-07T00:00:00"/>
    <d v="2024-07-02T00:00:00"/>
    <n v="29"/>
    <n v="4"/>
    <n v="7"/>
    <n v="272.73"/>
    <n v="1909.11"/>
    <n v="0.17"/>
    <n v="324.55"/>
    <n v="1584.56"/>
    <n v="1336.38"/>
    <n v="248.18"/>
  </r>
  <r>
    <n v="200589"/>
    <n v="3818"/>
    <x v="3"/>
    <x v="0"/>
    <x v="1"/>
    <s v="Snacks"/>
    <x v="641"/>
    <d v="2024-10-24T00:00:00"/>
    <d v="2024-10-23T00:00:00"/>
    <n v="4"/>
    <n v="5"/>
    <n v="5"/>
    <n v="768.46"/>
    <n v="3842.3"/>
    <n v="0.12"/>
    <n v="461.08"/>
    <n v="3381.22"/>
    <n v="2651.19"/>
    <n v="730.03"/>
  </r>
  <r>
    <n v="200590"/>
    <n v="2766"/>
    <x v="2"/>
    <x v="1"/>
    <x v="1"/>
    <s v="Snacks"/>
    <x v="540"/>
    <d v="2024-03-12T00:00:00"/>
    <d v="2024-04-01T00:00:00"/>
    <n v="24"/>
    <n v="4"/>
    <n v="2"/>
    <n v="294.22000000000003"/>
    <n v="588.44000000000005"/>
    <n v="0.09"/>
    <n v="52.96"/>
    <n v="535.48"/>
    <n v="382.49"/>
    <n v="152.99"/>
  </r>
  <r>
    <n v="200591"/>
    <n v="2120"/>
    <x v="3"/>
    <x v="0"/>
    <x v="1"/>
    <s v="Rice"/>
    <x v="581"/>
    <d v="2024-11-25T00:00:00"/>
    <d v="2024-11-24T00:00:00"/>
    <n v="2"/>
    <n v="3"/>
    <n v="10"/>
    <n v="452.55"/>
    <n v="4525.5"/>
    <n v="0.08"/>
    <n v="362.04"/>
    <n v="4163.46"/>
    <n v="2851.06"/>
    <n v="1312.4"/>
  </r>
  <r>
    <n v="200592"/>
    <n v="3666"/>
    <x v="3"/>
    <x v="1"/>
    <x v="2"/>
    <s v="Tablet"/>
    <x v="659"/>
    <d v="2024-02-16T00:00:00"/>
    <d v="2024-03-09T00:00:00"/>
    <n v="24"/>
    <n v="2"/>
    <n v="13"/>
    <n v="53.66"/>
    <n v="697.58"/>
    <n v="0.05"/>
    <n v="34.880000000000003"/>
    <n v="662.7"/>
    <n v="474.35"/>
    <n v="188.35"/>
  </r>
  <r>
    <n v="200593"/>
    <n v="3090"/>
    <x v="0"/>
    <x v="1"/>
    <x v="1"/>
    <s v="Snacks"/>
    <x v="390"/>
    <d v="2024-09-19T00:00:00"/>
    <d v="2024-10-02T00:00:00"/>
    <n v="16"/>
    <n v="3"/>
    <n v="13"/>
    <n v="226.34"/>
    <n v="2942.42"/>
    <n v="0.08"/>
    <n v="235.39"/>
    <n v="2707.03"/>
    <n v="1853.72"/>
    <n v="853.31"/>
  </r>
  <r>
    <n v="200594"/>
    <n v="2531"/>
    <x v="3"/>
    <x v="2"/>
    <x v="3"/>
    <s v="Jeans"/>
    <x v="435"/>
    <d v="2024-10-08T00:00:00"/>
    <d v="2024-10-28T00:00:00"/>
    <n v="21"/>
    <n v="1"/>
    <n v="12"/>
    <n v="578.52"/>
    <n v="6942.24"/>
    <n v="0.2"/>
    <n v="1388.45"/>
    <n v="5553.79"/>
    <n v="4651.3"/>
    <n v="902.49"/>
  </r>
  <r>
    <n v="200595"/>
    <n v="1807"/>
    <x v="1"/>
    <x v="1"/>
    <x v="2"/>
    <s v="Laptop"/>
    <x v="538"/>
    <d v="2024-07-07T00:00:00"/>
    <d v="2024-07-08T00:00:00"/>
    <n v="4"/>
    <n v="3"/>
    <n v="3"/>
    <n v="741.26"/>
    <n v="2223.7800000000002"/>
    <n v="0.08"/>
    <n v="177.9"/>
    <n v="2045.88"/>
    <n v="1512.17"/>
    <n v="533.71"/>
  </r>
  <r>
    <n v="200596"/>
    <n v="3788"/>
    <x v="2"/>
    <x v="0"/>
    <x v="1"/>
    <s v="Snacks"/>
    <x v="357"/>
    <d v="2024-05-01T00:00:00"/>
    <d v="2024-05-19T00:00:00"/>
    <n v="23"/>
    <n v="5"/>
    <n v="13"/>
    <n v="611.02"/>
    <n v="7943.26"/>
    <n v="0.1"/>
    <n v="794.33"/>
    <n v="7148.93"/>
    <n v="5401.42"/>
    <n v="1747.51"/>
  </r>
  <r>
    <n v="200597"/>
    <n v="1373"/>
    <x v="2"/>
    <x v="0"/>
    <x v="0"/>
    <s v="Cookware"/>
    <x v="659"/>
    <d v="2024-02-16T00:00:00"/>
    <d v="2024-03-03T00:00:00"/>
    <n v="18"/>
    <n v="2"/>
    <n v="5"/>
    <n v="89.56"/>
    <n v="447.8"/>
    <n v="0.1"/>
    <n v="44.78"/>
    <n v="403.02"/>
    <n v="308.98"/>
    <n v="94.04"/>
  </r>
  <r>
    <n v="200598"/>
    <n v="1348"/>
    <x v="3"/>
    <x v="2"/>
    <x v="1"/>
    <s v="Snacks"/>
    <x v="515"/>
    <d v="2024-08-09T00:00:00"/>
    <d v="2024-09-04T00:00:00"/>
    <n v="27"/>
    <n v="1"/>
    <n v="7"/>
    <n v="196.48"/>
    <n v="1375.36"/>
    <n v="0.17"/>
    <n v="233.81"/>
    <n v="1141.55"/>
    <n v="935.24"/>
    <n v="206.31"/>
  </r>
  <r>
    <n v="200599"/>
    <n v="3031"/>
    <x v="1"/>
    <x v="2"/>
    <x v="1"/>
    <s v="Beverage"/>
    <x v="660"/>
    <d v="2024-05-12T00:00:00"/>
    <d v="2024-05-23T00:00:00"/>
    <n v="14"/>
    <n v="3"/>
    <n v="7"/>
    <n v="80.33"/>
    <n v="562.30999999999995"/>
    <n v="7.0000000000000007E-2"/>
    <n v="39.36"/>
    <n v="522.95000000000005"/>
    <n v="343.01"/>
    <n v="179.94"/>
  </r>
  <r>
    <n v="200600"/>
    <n v="4600"/>
    <x v="3"/>
    <x v="0"/>
    <x v="3"/>
    <s v="Shoes"/>
    <x v="366"/>
    <d v="2024-05-04T00:00:00"/>
    <d v="2024-05-27T00:00:00"/>
    <n v="26"/>
    <n v="3"/>
    <n v="12"/>
    <n v="786"/>
    <n v="9432"/>
    <n v="0.01"/>
    <n v="94.32"/>
    <n v="9337.68"/>
    <n v="5847.84"/>
    <n v="3489.84"/>
  </r>
  <r>
    <n v="200601"/>
    <n v="3174"/>
    <x v="0"/>
    <x v="2"/>
    <x v="0"/>
    <s v="Lamp"/>
    <x v="622"/>
    <d v="2024-12-27T00:00:00"/>
    <d v="2024-12-31T00:00:00"/>
    <n v="6"/>
    <n v="2"/>
    <n v="13"/>
    <n v="516.17999999999995"/>
    <n v="6710.34"/>
    <n v="7.0000000000000007E-2"/>
    <n v="469.72"/>
    <n v="6240.62"/>
    <n v="3690.69"/>
    <n v="2549.9299999999998"/>
  </r>
  <r>
    <n v="200602"/>
    <n v="4608"/>
    <x v="2"/>
    <x v="1"/>
    <x v="2"/>
    <s v="Laptop"/>
    <x v="565"/>
    <d v="2024-03-20T00:00:00"/>
    <d v="2024-03-21T00:00:00"/>
    <n v="6"/>
    <n v="5"/>
    <n v="14"/>
    <n v="318.42"/>
    <n v="4457.88"/>
    <n v="0.08"/>
    <n v="356.63"/>
    <n v="4101.25"/>
    <n v="3031.36"/>
    <n v="1069.8900000000001"/>
  </r>
  <r>
    <n v="200603"/>
    <n v="3138"/>
    <x v="2"/>
    <x v="1"/>
    <x v="3"/>
    <s v="Jacket"/>
    <x v="369"/>
    <d v="2024-04-24T00:00:00"/>
    <d v="2024-05-14T00:00:00"/>
    <n v="24"/>
    <n v="4"/>
    <n v="11"/>
    <n v="486.62"/>
    <n v="5352.82"/>
    <n v="0.17"/>
    <n v="909.98"/>
    <n v="4442.84"/>
    <n v="3800.5"/>
    <n v="642.34"/>
  </r>
  <r>
    <n v="200604"/>
    <n v="4354"/>
    <x v="3"/>
    <x v="0"/>
    <x v="0"/>
    <s v="Lamp"/>
    <x v="637"/>
    <d v="2024-06-03T00:00:00"/>
    <d v="2024-06-26T00:00:00"/>
    <n v="27"/>
    <n v="4"/>
    <n v="2"/>
    <n v="159.51"/>
    <n v="319.02"/>
    <n v="0.01"/>
    <n v="3.19"/>
    <n v="315.83"/>
    <n v="200.98"/>
    <n v="114.85"/>
  </r>
  <r>
    <n v="200605"/>
    <n v="3607"/>
    <x v="1"/>
    <x v="0"/>
    <x v="1"/>
    <s v="Rice"/>
    <x v="661"/>
    <d v="2024-12-31T00:00:00"/>
    <d v="2025-01-11T00:00:00"/>
    <n v="16"/>
    <n v="5"/>
    <n v="7"/>
    <n v="307.31"/>
    <n v="2151.17"/>
    <n v="0.08"/>
    <n v="172.09"/>
    <n v="1979.08"/>
    <n v="1269.19"/>
    <n v="709.89"/>
  </r>
  <r>
    <n v="200606"/>
    <n v="2388"/>
    <x v="3"/>
    <x v="0"/>
    <x v="3"/>
    <s v="Jeans"/>
    <x v="387"/>
    <d v="2024-12-19T00:00:00"/>
    <d v="2025-01-15T00:00:00"/>
    <n v="29"/>
    <n v="2"/>
    <n v="11"/>
    <n v="80.48"/>
    <n v="885.28"/>
    <n v="0.08"/>
    <n v="70.819999999999993"/>
    <n v="814.46"/>
    <n v="478.05"/>
    <n v="336.41"/>
  </r>
  <r>
    <n v="200607"/>
    <n v="4687"/>
    <x v="1"/>
    <x v="1"/>
    <x v="3"/>
    <s v="Jeans"/>
    <x v="405"/>
    <d v="2024-05-22T00:00:00"/>
    <d v="2024-06-03T00:00:00"/>
    <n v="17"/>
    <n v="5"/>
    <n v="14"/>
    <n v="147.06"/>
    <n v="2058.84"/>
    <n v="0.04"/>
    <n v="82.35"/>
    <n v="1976.49"/>
    <n v="1235.3"/>
    <n v="741.19"/>
  </r>
  <r>
    <n v="200608"/>
    <n v="1983"/>
    <x v="3"/>
    <x v="2"/>
    <x v="3"/>
    <s v="Shoes"/>
    <x v="608"/>
    <d v="2024-06-03T00:00:00"/>
    <d v="2024-06-30T00:00:00"/>
    <n v="28"/>
    <n v="1"/>
    <n v="1"/>
    <n v="207.65"/>
    <n v="207.65"/>
    <n v="0.14000000000000001"/>
    <n v="29.07"/>
    <n v="178.58"/>
    <n v="124.59"/>
    <n v="53.99"/>
  </r>
  <r>
    <n v="200609"/>
    <n v="2387"/>
    <x v="2"/>
    <x v="2"/>
    <x v="0"/>
    <s v="Sofa"/>
    <x v="482"/>
    <d v="2024-11-04T00:00:00"/>
    <d v="2024-11-18T00:00:00"/>
    <n v="18"/>
    <n v="4"/>
    <n v="9"/>
    <n v="308.20999999999998"/>
    <n v="2773.89"/>
    <n v="0.09"/>
    <n v="249.65"/>
    <n v="2524.2399999999998"/>
    <n v="1858.51"/>
    <n v="665.73"/>
  </r>
  <r>
    <n v="200610"/>
    <n v="3371"/>
    <x v="0"/>
    <x v="2"/>
    <x v="3"/>
    <s v="Jeans"/>
    <x v="506"/>
    <d v="2024-11-03T00:00:00"/>
    <d v="2024-11-09T00:00:00"/>
    <n v="11"/>
    <n v="5"/>
    <n v="8"/>
    <n v="396.72"/>
    <n v="3173.76"/>
    <n v="0.06"/>
    <n v="190.43"/>
    <n v="2983.33"/>
    <n v="1935.99"/>
    <n v="1047.3399999999999"/>
  </r>
  <r>
    <n v="200611"/>
    <n v="2498"/>
    <x v="1"/>
    <x v="1"/>
    <x v="0"/>
    <s v="Table"/>
    <x v="610"/>
    <d v="2024-12-26T00:00:00"/>
    <d v="2025-01-08T00:00:00"/>
    <n v="15"/>
    <n v="2"/>
    <n v="7"/>
    <n v="432.92"/>
    <n v="3030.44"/>
    <n v="0.14000000000000001"/>
    <n v="424.26"/>
    <n v="2606.1799999999998"/>
    <n v="1878.87"/>
    <n v="727.31"/>
  </r>
  <r>
    <n v="200612"/>
    <n v="2299"/>
    <x v="2"/>
    <x v="1"/>
    <x v="3"/>
    <s v="Jeans"/>
    <x v="555"/>
    <d v="2024-02-07T00:00:00"/>
    <d v="2024-02-06T00:00:00"/>
    <n v="4"/>
    <n v="5"/>
    <n v="4"/>
    <n v="94.06"/>
    <n v="376.24"/>
    <n v="0.05"/>
    <n v="18.809999999999999"/>
    <n v="357.43"/>
    <n v="214.46"/>
    <n v="142.97"/>
  </r>
  <r>
    <n v="200613"/>
    <n v="2698"/>
    <x v="0"/>
    <x v="1"/>
    <x v="3"/>
    <s v="Shoes"/>
    <x v="434"/>
    <d v="2024-08-11T00:00:00"/>
    <d v="2024-08-16T00:00:00"/>
    <n v="9"/>
    <n v="4"/>
    <n v="10"/>
    <n v="389.34"/>
    <n v="3893.4"/>
    <n v="0.08"/>
    <n v="311.47000000000003"/>
    <n v="3581.93"/>
    <n v="2569.64"/>
    <n v="1012.29"/>
  </r>
  <r>
    <n v="200614"/>
    <n v="1469"/>
    <x v="3"/>
    <x v="0"/>
    <x v="0"/>
    <s v="Cookware"/>
    <x v="589"/>
    <d v="2024-05-11T00:00:00"/>
    <d v="2024-05-19T00:00:00"/>
    <n v="9"/>
    <n v="1"/>
    <n v="3"/>
    <n v="623.80999999999995"/>
    <n v="1871.43"/>
    <n v="0.14000000000000001"/>
    <n v="262"/>
    <n v="1609.43"/>
    <n v="1066.72"/>
    <n v="542.71"/>
  </r>
  <r>
    <n v="200615"/>
    <n v="2947"/>
    <x v="0"/>
    <x v="2"/>
    <x v="2"/>
    <s v="Tablet"/>
    <x v="399"/>
    <d v="2024-07-17T00:00:00"/>
    <d v="2024-08-08T00:00:00"/>
    <n v="24"/>
    <n v="2"/>
    <n v="1"/>
    <n v="566.57000000000005"/>
    <n v="566.57000000000005"/>
    <n v="0.18"/>
    <n v="101.98"/>
    <n v="464.59"/>
    <n v="317.27999999999997"/>
    <n v="147.31"/>
  </r>
  <r>
    <n v="200616"/>
    <n v="4466"/>
    <x v="1"/>
    <x v="1"/>
    <x v="1"/>
    <s v="Pasta"/>
    <x v="662"/>
    <d v="2024-10-23T00:00:00"/>
    <d v="2024-11-16T00:00:00"/>
    <n v="26"/>
    <n v="2"/>
    <n v="4"/>
    <n v="193.78"/>
    <n v="775.12"/>
    <n v="0.09"/>
    <n v="69.760000000000005"/>
    <n v="705.36"/>
    <n v="573.59"/>
    <n v="131.77000000000001"/>
  </r>
  <r>
    <n v="200617"/>
    <n v="4201"/>
    <x v="0"/>
    <x v="2"/>
    <x v="2"/>
    <s v="Laptop"/>
    <x v="484"/>
    <d v="2024-06-20T00:00:00"/>
    <d v="2024-07-07T00:00:00"/>
    <n v="21"/>
    <n v="4"/>
    <n v="8"/>
    <n v="725.46"/>
    <n v="5803.68"/>
    <n v="0.1"/>
    <n v="580.37"/>
    <n v="5223.3100000000004"/>
    <n v="4410.8"/>
    <n v="812.51"/>
  </r>
  <r>
    <n v="200618"/>
    <n v="4831"/>
    <x v="2"/>
    <x v="0"/>
    <x v="3"/>
    <s v="Jacket"/>
    <x v="657"/>
    <d v="2024-12-25T00:00:00"/>
    <d v="2024-12-31T00:00:00"/>
    <n v="9"/>
    <n v="3"/>
    <n v="11"/>
    <n v="741.22"/>
    <n v="8153.42"/>
    <n v="0.04"/>
    <n v="326.14"/>
    <n v="7827.28"/>
    <n v="5299.72"/>
    <n v="2527.56"/>
  </r>
  <r>
    <n v="200619"/>
    <n v="4311"/>
    <x v="0"/>
    <x v="2"/>
    <x v="0"/>
    <s v="Lamp"/>
    <x v="557"/>
    <d v="2024-02-13T00:00:00"/>
    <d v="2024-02-21T00:00:00"/>
    <n v="12"/>
    <n v="4"/>
    <n v="1"/>
    <n v="149.07"/>
    <n v="149.07"/>
    <n v="0.14000000000000001"/>
    <n v="20.87"/>
    <n v="128.19999999999999"/>
    <n v="101.37"/>
    <n v="26.83"/>
  </r>
  <r>
    <n v="200620"/>
    <n v="2941"/>
    <x v="3"/>
    <x v="0"/>
    <x v="3"/>
    <s v="Shoes"/>
    <x v="354"/>
    <d v="2024-02-01T00:00:00"/>
    <d v="2024-02-05T00:00:00"/>
    <n v="8"/>
    <n v="4"/>
    <n v="9"/>
    <n v="471.05"/>
    <n v="4239.45"/>
    <n v="0.09"/>
    <n v="381.55"/>
    <n v="3857.9"/>
    <n v="2967.62"/>
    <n v="890.28"/>
  </r>
  <r>
    <n v="200621"/>
    <n v="2560"/>
    <x v="1"/>
    <x v="2"/>
    <x v="0"/>
    <s v="Table"/>
    <x v="485"/>
    <d v="2024-10-14T00:00:00"/>
    <d v="2024-10-19T00:00:00"/>
    <n v="9"/>
    <n v="4"/>
    <n v="10"/>
    <n v="222.2"/>
    <n v="2222"/>
    <n v="0.12"/>
    <n v="266.64"/>
    <n v="1955.36"/>
    <n v="1666.5"/>
    <n v="288.86"/>
  </r>
  <r>
    <n v="200622"/>
    <n v="2387"/>
    <x v="1"/>
    <x v="1"/>
    <x v="3"/>
    <s v="Shoes"/>
    <x v="403"/>
    <d v="2024-12-08T00:00:00"/>
    <d v="2025-01-06T00:00:00"/>
    <n v="30"/>
    <n v="1"/>
    <n v="3"/>
    <n v="288.5"/>
    <n v="865.5"/>
    <n v="7.0000000000000007E-2"/>
    <n v="60.59"/>
    <n v="804.92"/>
    <n v="553.91999999999996"/>
    <n v="251"/>
  </r>
  <r>
    <n v="200623"/>
    <n v="2438"/>
    <x v="2"/>
    <x v="2"/>
    <x v="0"/>
    <s v="Table"/>
    <x v="610"/>
    <d v="2024-12-26T00:00:00"/>
    <d v="2025-01-09T00:00:00"/>
    <n v="16"/>
    <n v="2"/>
    <n v="12"/>
    <n v="234.79"/>
    <n v="2817.48"/>
    <n v="0.11"/>
    <n v="309.92"/>
    <n v="2507.56"/>
    <n v="1718.66"/>
    <n v="788.9"/>
  </r>
  <r>
    <n v="200624"/>
    <n v="2567"/>
    <x v="1"/>
    <x v="2"/>
    <x v="0"/>
    <s v="Table"/>
    <x v="355"/>
    <d v="2024-11-21T00:00:00"/>
    <d v="2024-12-10T00:00:00"/>
    <n v="24"/>
    <n v="5"/>
    <n v="14"/>
    <n v="532.85"/>
    <n v="7459.9"/>
    <n v="0.13"/>
    <n v="969.79"/>
    <n v="6490.11"/>
    <n v="4699.74"/>
    <n v="1790.37"/>
  </r>
  <r>
    <n v="200625"/>
    <n v="2194"/>
    <x v="3"/>
    <x v="2"/>
    <x v="0"/>
    <s v="Lamp"/>
    <x v="641"/>
    <d v="2024-10-20T00:00:00"/>
    <d v="2024-11-17T00:00:00"/>
    <n v="29"/>
    <n v="1"/>
    <n v="14"/>
    <n v="407.54"/>
    <n v="5705.56"/>
    <n v="0.14000000000000001"/>
    <n v="798.78"/>
    <n v="4906.78"/>
    <n v="3537.45"/>
    <n v="1369.33"/>
  </r>
  <r>
    <n v="200626"/>
    <n v="4888"/>
    <x v="0"/>
    <x v="1"/>
    <x v="0"/>
    <s v="Lamp"/>
    <x v="536"/>
    <d v="2024-02-28T00:00:00"/>
    <d v="2024-03-01T00:00:00"/>
    <n v="6"/>
    <n v="4"/>
    <n v="13"/>
    <n v="145.21"/>
    <n v="1887.73"/>
    <n v="0.04"/>
    <n v="75.510000000000005"/>
    <n v="1812.22"/>
    <n v="1132.6400000000001"/>
    <n v="679.58"/>
  </r>
  <r>
    <n v="200627"/>
    <n v="4770"/>
    <x v="2"/>
    <x v="0"/>
    <x v="1"/>
    <s v="Beverage"/>
    <x v="390"/>
    <d v="2024-09-21T00:00:00"/>
    <d v="2024-09-18T00:00:00"/>
    <n v="2"/>
    <n v="5"/>
    <n v="7"/>
    <n v="203.23"/>
    <n v="1422.61"/>
    <n v="0.2"/>
    <n v="284.52"/>
    <n v="1138.0899999999999"/>
    <n v="896.24"/>
    <n v="241.85"/>
  </r>
  <r>
    <n v="200628"/>
    <n v="3242"/>
    <x v="1"/>
    <x v="0"/>
    <x v="0"/>
    <s v="Sofa"/>
    <x v="651"/>
    <d v="2024-06-24T00:00:00"/>
    <d v="2024-07-19T00:00:00"/>
    <n v="30"/>
    <n v="5"/>
    <n v="4"/>
    <n v="616.84"/>
    <n v="2467.36"/>
    <n v="0.1"/>
    <n v="246.74"/>
    <n v="2220.62"/>
    <n v="1579.11"/>
    <n v="641.51"/>
  </r>
  <r>
    <n v="200629"/>
    <n v="2089"/>
    <x v="3"/>
    <x v="1"/>
    <x v="3"/>
    <s v="Shirt"/>
    <x v="461"/>
    <d v="2024-01-15T00:00:00"/>
    <d v="2024-02-02T00:00:00"/>
    <n v="19"/>
    <n v="1"/>
    <n v="6"/>
    <n v="206.09"/>
    <n v="1236.54"/>
    <n v="0.02"/>
    <n v="24.73"/>
    <n v="1211.81"/>
    <n v="853.21"/>
    <n v="358.6"/>
  </r>
  <r>
    <n v="200630"/>
    <n v="4796"/>
    <x v="3"/>
    <x v="2"/>
    <x v="2"/>
    <s v="Headphones"/>
    <x v="573"/>
    <d v="2024-06-07T00:00:00"/>
    <d v="2024-06-18T00:00:00"/>
    <n v="15"/>
    <n v="4"/>
    <n v="12"/>
    <n v="478.71"/>
    <n v="5744.52"/>
    <n v="0.15"/>
    <n v="861.68"/>
    <n v="4882.84"/>
    <n v="3446.71"/>
    <n v="1436.13"/>
  </r>
  <r>
    <n v="200631"/>
    <n v="4701"/>
    <x v="3"/>
    <x v="0"/>
    <x v="3"/>
    <s v="Shirt"/>
    <x v="533"/>
    <d v="2024-04-15T00:00:00"/>
    <d v="2024-05-04T00:00:00"/>
    <n v="22"/>
    <n v="3"/>
    <n v="3"/>
    <n v="664.62"/>
    <n v="1993.86"/>
    <n v="0.09"/>
    <n v="179.45"/>
    <n v="1814.41"/>
    <n v="1196.32"/>
    <n v="618.09"/>
  </r>
  <r>
    <n v="200632"/>
    <n v="3693"/>
    <x v="1"/>
    <x v="1"/>
    <x v="2"/>
    <s v="Phone"/>
    <x v="663"/>
    <d v="2024-08-20T00:00:00"/>
    <d v="2024-09-08T00:00:00"/>
    <n v="21"/>
    <n v="2"/>
    <n v="8"/>
    <n v="90.37"/>
    <n v="722.96"/>
    <n v="0.16"/>
    <n v="115.67"/>
    <n v="607.29"/>
    <n v="484.38"/>
    <n v="122.91"/>
  </r>
  <r>
    <n v="200633"/>
    <n v="2292"/>
    <x v="3"/>
    <x v="2"/>
    <x v="1"/>
    <s v="Snacks"/>
    <x v="457"/>
    <d v="2024-11-12T00:00:00"/>
    <d v="2024-11-29T00:00:00"/>
    <n v="22"/>
    <n v="5"/>
    <n v="9"/>
    <n v="126.66"/>
    <n v="1139.94"/>
    <n v="0.2"/>
    <n v="227.99"/>
    <n v="911.95"/>
    <n v="683.96"/>
    <n v="227.99"/>
  </r>
  <r>
    <n v="200634"/>
    <n v="1869"/>
    <x v="3"/>
    <x v="0"/>
    <x v="1"/>
    <s v="Pasta"/>
    <x v="664"/>
    <d v="2024-03-08T00:00:00"/>
    <d v="2024-04-03T00:00:00"/>
    <n v="28"/>
    <n v="2"/>
    <n v="13"/>
    <n v="756.2"/>
    <n v="9830.6"/>
    <n v="0.1"/>
    <n v="983.06"/>
    <n v="8847.5400000000009"/>
    <n v="6389.89"/>
    <n v="2457.65"/>
  </r>
  <r>
    <n v="200635"/>
    <n v="3740"/>
    <x v="3"/>
    <x v="1"/>
    <x v="3"/>
    <s v="Jacket"/>
    <x v="389"/>
    <d v="2024-03-16T00:00:00"/>
    <d v="2024-04-01T00:00:00"/>
    <n v="20"/>
    <n v="4"/>
    <n v="3"/>
    <n v="213.83"/>
    <n v="641.49"/>
    <n v="0.09"/>
    <n v="57.73"/>
    <n v="583.76"/>
    <n v="391.31"/>
    <n v="192.45"/>
  </r>
  <r>
    <n v="200636"/>
    <n v="4897"/>
    <x v="1"/>
    <x v="1"/>
    <x v="3"/>
    <s v="Jeans"/>
    <x v="665"/>
    <d v="2024-01-26T00:00:00"/>
    <d v="2024-02-08T00:00:00"/>
    <n v="14"/>
    <n v="1"/>
    <n v="2"/>
    <n v="797.37"/>
    <n v="1594.74"/>
    <n v="0.18"/>
    <n v="287.05"/>
    <n v="1307.69"/>
    <n v="956.84"/>
    <n v="350.85"/>
  </r>
  <r>
    <n v="200637"/>
    <n v="3307"/>
    <x v="3"/>
    <x v="1"/>
    <x v="3"/>
    <s v="Shoes"/>
    <x v="571"/>
    <d v="2024-02-29T00:00:00"/>
    <d v="2024-03-06T00:00:00"/>
    <n v="10"/>
    <n v="4"/>
    <n v="6"/>
    <n v="410.93"/>
    <n v="2465.58"/>
    <n v="0.04"/>
    <n v="98.62"/>
    <n v="2366.96"/>
    <n v="1504"/>
    <n v="862.96"/>
  </r>
  <r>
    <n v="200638"/>
    <n v="4266"/>
    <x v="0"/>
    <x v="2"/>
    <x v="2"/>
    <s v="Phone"/>
    <x v="401"/>
    <d v="2024-10-07T00:00:00"/>
    <d v="2024-10-29T00:00:00"/>
    <n v="25"/>
    <n v="3"/>
    <n v="11"/>
    <n v="766.7"/>
    <n v="8433.7000000000007"/>
    <n v="7.0000000000000007E-2"/>
    <n v="590.36"/>
    <n v="7843.34"/>
    <n v="5481.91"/>
    <n v="2361.4299999999998"/>
  </r>
  <r>
    <n v="200639"/>
    <n v="3500"/>
    <x v="2"/>
    <x v="2"/>
    <x v="1"/>
    <s v="Pasta"/>
    <x v="577"/>
    <d v="2024-05-25T00:00:00"/>
    <d v="2024-06-12T00:00:00"/>
    <n v="23"/>
    <n v="5"/>
    <n v="8"/>
    <n v="298.8"/>
    <n v="2390.4"/>
    <n v="0.14000000000000001"/>
    <n v="334.66"/>
    <n v="2055.7399999999998"/>
    <n v="1434.24"/>
    <n v="621.5"/>
  </r>
  <r>
    <n v="200640"/>
    <n v="3916"/>
    <x v="2"/>
    <x v="0"/>
    <x v="2"/>
    <s v="Tablet"/>
    <x v="445"/>
    <d v="2024-05-19T00:00:00"/>
    <d v="2024-05-26T00:00:00"/>
    <n v="10"/>
    <n v="3"/>
    <n v="8"/>
    <n v="397.16"/>
    <n v="3177.28"/>
    <n v="0.04"/>
    <n v="127.09"/>
    <n v="3050.19"/>
    <n v="1969.91"/>
    <n v="1080.28"/>
  </r>
  <r>
    <n v="200641"/>
    <n v="2038"/>
    <x v="2"/>
    <x v="0"/>
    <x v="1"/>
    <s v="Snacks"/>
    <x v="369"/>
    <d v="2024-04-23T00:00:00"/>
    <d v="2024-04-27T00:00:00"/>
    <n v="7"/>
    <n v="3"/>
    <n v="7"/>
    <n v="347.07"/>
    <n v="2429.4899999999998"/>
    <n v="0.14000000000000001"/>
    <n v="340.13"/>
    <n v="2089.36"/>
    <n v="1433.4"/>
    <n v="655.96"/>
  </r>
  <r>
    <n v="200642"/>
    <n v="4147"/>
    <x v="1"/>
    <x v="2"/>
    <x v="2"/>
    <s v="Laptop"/>
    <x v="509"/>
    <d v="2024-01-30T00:00:00"/>
    <d v="2024-02-07T00:00:00"/>
    <n v="11"/>
    <n v="3"/>
    <n v="3"/>
    <n v="734.36"/>
    <n v="2203.08"/>
    <n v="0.11"/>
    <n v="242.34"/>
    <n v="1960.74"/>
    <n v="1498.09"/>
    <n v="462.65"/>
  </r>
  <r>
    <n v="200643"/>
    <n v="4825"/>
    <x v="2"/>
    <x v="0"/>
    <x v="1"/>
    <s v="Beverage"/>
    <x v="541"/>
    <d v="2024-07-15T00:00:00"/>
    <d v="2024-07-23T00:00:00"/>
    <n v="9"/>
    <n v="1"/>
    <n v="6"/>
    <n v="131.46"/>
    <n v="788.76"/>
    <n v="0.17"/>
    <n v="134.09"/>
    <n v="654.66999999999996"/>
    <n v="473.26"/>
    <n v="181.41"/>
  </r>
  <r>
    <n v="200644"/>
    <n v="1947"/>
    <x v="1"/>
    <x v="0"/>
    <x v="3"/>
    <s v="Jacket"/>
    <x v="427"/>
    <d v="2025-01-03T00:00:00"/>
    <d v="2025-01-07T00:00:00"/>
    <n v="9"/>
    <n v="5"/>
    <n v="13"/>
    <n v="407.68"/>
    <n v="5299.84"/>
    <n v="0.09"/>
    <n v="476.99"/>
    <n v="4822.8500000000004"/>
    <n v="3179.9"/>
    <n v="1642.95"/>
  </r>
  <r>
    <n v="200645"/>
    <n v="2196"/>
    <x v="1"/>
    <x v="2"/>
    <x v="2"/>
    <s v="Headphones"/>
    <x v="628"/>
    <d v="2024-07-20T00:00:00"/>
    <d v="2024-08-14T00:00:00"/>
    <n v="29"/>
    <n v="4"/>
    <n v="8"/>
    <n v="776.12"/>
    <n v="6208.96"/>
    <n v="0.1"/>
    <n v="620.9"/>
    <n v="5588.06"/>
    <n v="4097.91"/>
    <n v="1490.15"/>
  </r>
  <r>
    <n v="200646"/>
    <n v="1183"/>
    <x v="0"/>
    <x v="0"/>
    <x v="2"/>
    <s v="Headphones"/>
    <x v="561"/>
    <d v="2024-08-08T00:00:00"/>
    <d v="2024-09-01T00:00:00"/>
    <n v="26"/>
    <n v="2"/>
    <n v="13"/>
    <n v="716.35"/>
    <n v="9312.5499999999993"/>
    <n v="0.04"/>
    <n v="372.5"/>
    <n v="8940.0499999999993"/>
    <n v="5866.91"/>
    <n v="3073.14"/>
  </r>
  <r>
    <n v="200647"/>
    <n v="2855"/>
    <x v="3"/>
    <x v="1"/>
    <x v="0"/>
    <s v="Cookware"/>
    <x v="432"/>
    <d v="2024-03-11T00:00:00"/>
    <d v="2024-03-24T00:00:00"/>
    <n v="14"/>
    <n v="1"/>
    <n v="10"/>
    <n v="295.86"/>
    <n v="2958.6"/>
    <n v="0.12"/>
    <n v="355.03"/>
    <n v="2603.5700000000002"/>
    <n v="1804.75"/>
    <n v="798.82"/>
  </r>
  <r>
    <n v="200648"/>
    <n v="4684"/>
    <x v="2"/>
    <x v="1"/>
    <x v="2"/>
    <s v="Phone"/>
    <x v="507"/>
    <d v="2024-06-08T00:00:00"/>
    <d v="2024-06-11T00:00:00"/>
    <n v="5"/>
    <n v="2"/>
    <n v="8"/>
    <n v="626.82000000000005"/>
    <n v="5014.5600000000004"/>
    <n v="0.11"/>
    <n v="551.6"/>
    <n v="4462.96"/>
    <n v="3309.61"/>
    <n v="1153.3499999999999"/>
  </r>
  <r>
    <n v="200649"/>
    <n v="4348"/>
    <x v="0"/>
    <x v="2"/>
    <x v="1"/>
    <s v="Rice"/>
    <x v="623"/>
    <d v="2024-07-27T00:00:00"/>
    <d v="2024-08-02T00:00:00"/>
    <n v="11"/>
    <n v="5"/>
    <n v="11"/>
    <n v="100.18"/>
    <n v="1101.98"/>
    <n v="0.16"/>
    <n v="176.32"/>
    <n v="925.66"/>
    <n v="562.01"/>
    <n v="363.65"/>
  </r>
  <r>
    <n v="200650"/>
    <n v="2146"/>
    <x v="2"/>
    <x v="1"/>
    <x v="1"/>
    <s v="Pasta"/>
    <x v="653"/>
    <d v="2024-05-14T00:00:00"/>
    <d v="2024-05-15T00:00:00"/>
    <n v="2"/>
    <n v="1"/>
    <n v="6"/>
    <n v="637.04999999999995"/>
    <n v="3822.3"/>
    <n v="0.03"/>
    <n v="114.67"/>
    <n v="3707.63"/>
    <n v="2331.6"/>
    <n v="1376.03"/>
  </r>
  <r>
    <n v="200651"/>
    <n v="1902"/>
    <x v="1"/>
    <x v="0"/>
    <x v="2"/>
    <s v="Tablet"/>
    <x v="387"/>
    <d v="2024-12-18T00:00:00"/>
    <d v="2025-01-01T00:00:00"/>
    <n v="15"/>
    <n v="1"/>
    <n v="9"/>
    <n v="669.46"/>
    <n v="6025.14"/>
    <n v="0.1"/>
    <n v="602.51"/>
    <n v="5422.63"/>
    <n v="3916.34"/>
    <n v="1506.29"/>
  </r>
  <r>
    <n v="200652"/>
    <n v="3686"/>
    <x v="2"/>
    <x v="0"/>
    <x v="0"/>
    <s v="Sofa"/>
    <x v="574"/>
    <d v="2024-09-08T00:00:00"/>
    <d v="2024-09-09T00:00:00"/>
    <n v="4"/>
    <n v="3"/>
    <n v="11"/>
    <n v="168.33"/>
    <n v="1851.63"/>
    <n v="0.14000000000000001"/>
    <n v="259.23"/>
    <n v="1592.4"/>
    <n v="1110.98"/>
    <n v="481.42"/>
  </r>
  <r>
    <n v="200653"/>
    <n v="2795"/>
    <x v="0"/>
    <x v="2"/>
    <x v="0"/>
    <s v="Table"/>
    <x v="607"/>
    <d v="2024-12-07T00:00:00"/>
    <d v="2025-01-01T00:00:00"/>
    <n v="30"/>
    <n v="5"/>
    <n v="2"/>
    <n v="669.68"/>
    <n v="1339.36"/>
    <n v="0.12"/>
    <n v="160.72"/>
    <n v="1178.6400000000001"/>
    <n v="843.8"/>
    <n v="334.84"/>
  </r>
  <r>
    <n v="200654"/>
    <n v="4772"/>
    <x v="0"/>
    <x v="2"/>
    <x v="3"/>
    <s v="Shirt"/>
    <x v="594"/>
    <d v="2024-11-08T00:00:00"/>
    <d v="2024-12-02T00:00:00"/>
    <n v="29"/>
    <n v="5"/>
    <n v="14"/>
    <n v="484.11"/>
    <n v="6777.54"/>
    <n v="0.05"/>
    <n v="338.88"/>
    <n v="6438.66"/>
    <n v="4676.5"/>
    <n v="1762.16"/>
  </r>
  <r>
    <n v="200655"/>
    <n v="3410"/>
    <x v="2"/>
    <x v="0"/>
    <x v="2"/>
    <s v="Laptop"/>
    <x v="550"/>
    <d v="2024-09-17T00:00:00"/>
    <d v="2024-09-23T00:00:00"/>
    <n v="10"/>
    <n v="4"/>
    <n v="8"/>
    <n v="682.57"/>
    <n v="5460.56"/>
    <n v="0.15"/>
    <n v="819.08"/>
    <n v="4641.4799999999996"/>
    <n v="3057.91"/>
    <n v="1583.57"/>
  </r>
  <r>
    <n v="200656"/>
    <n v="4066"/>
    <x v="3"/>
    <x v="0"/>
    <x v="1"/>
    <s v="Beverage"/>
    <x v="486"/>
    <d v="2024-01-28T00:00:00"/>
    <d v="2024-02-17T00:00:00"/>
    <n v="25"/>
    <n v="5"/>
    <n v="14"/>
    <n v="778.52"/>
    <n v="10899.28"/>
    <n v="0.15"/>
    <n v="1634.89"/>
    <n v="9264.39"/>
    <n v="6866.55"/>
    <n v="2397.84"/>
  </r>
  <r>
    <n v="200657"/>
    <n v="3981"/>
    <x v="3"/>
    <x v="1"/>
    <x v="1"/>
    <s v="Snacks"/>
    <x v="427"/>
    <d v="2025-01-01T00:00:00"/>
    <d v="2025-01-07T00:00:00"/>
    <n v="9"/>
    <n v="3"/>
    <n v="4"/>
    <n v="105.88"/>
    <n v="423.52"/>
    <n v="0.11"/>
    <n v="46.59"/>
    <n v="376.93"/>
    <n v="271.05"/>
    <n v="105.88"/>
  </r>
  <r>
    <n v="200658"/>
    <n v="3407"/>
    <x v="1"/>
    <x v="1"/>
    <x v="3"/>
    <s v="Shoes"/>
    <x v="649"/>
    <d v="2024-10-21T00:00:00"/>
    <d v="2024-10-22T00:00:00"/>
    <n v="5"/>
    <n v="4"/>
    <n v="13"/>
    <n v="61.06"/>
    <n v="793.78"/>
    <n v="0.14000000000000001"/>
    <n v="111.13"/>
    <n v="682.65"/>
    <n v="452.45"/>
    <n v="230.2"/>
  </r>
  <r>
    <n v="200659"/>
    <n v="3162"/>
    <x v="3"/>
    <x v="2"/>
    <x v="0"/>
    <s v="Table"/>
    <x v="402"/>
    <d v="2024-02-27T00:00:00"/>
    <d v="2024-03-10T00:00:00"/>
    <n v="13"/>
    <n v="1"/>
    <n v="5"/>
    <n v="789.23"/>
    <n v="3946.15"/>
    <n v="0.06"/>
    <n v="236.77"/>
    <n v="3709.38"/>
    <n v="2486.0700000000002"/>
    <n v="1223.31"/>
  </r>
  <r>
    <n v="200660"/>
    <n v="1315"/>
    <x v="1"/>
    <x v="0"/>
    <x v="3"/>
    <s v="Jacket"/>
    <x v="645"/>
    <d v="2024-04-11T00:00:00"/>
    <d v="2024-05-06T00:00:00"/>
    <n v="29"/>
    <n v="4"/>
    <n v="9"/>
    <n v="13.19"/>
    <n v="118.71"/>
    <n v="7.0000000000000007E-2"/>
    <n v="8.31"/>
    <n v="110.4"/>
    <n v="80.72"/>
    <n v="29.68"/>
  </r>
  <r>
    <n v="200661"/>
    <n v="4649"/>
    <x v="1"/>
    <x v="1"/>
    <x v="1"/>
    <s v="Rice"/>
    <x v="414"/>
    <d v="2024-02-10T00:00:00"/>
    <d v="2024-02-09T00:00:00"/>
    <n v="2"/>
    <n v="3"/>
    <n v="7"/>
    <n v="629.37"/>
    <n v="4405.59"/>
    <n v="0.11"/>
    <n v="484.61"/>
    <n v="3920.98"/>
    <n v="2599.3000000000002"/>
    <n v="1321.68"/>
  </r>
  <r>
    <n v="200662"/>
    <n v="1951"/>
    <x v="1"/>
    <x v="1"/>
    <x v="2"/>
    <s v="Headphones"/>
    <x v="666"/>
    <d v="2024-01-23T00:00:00"/>
    <d v="2024-02-03T00:00:00"/>
    <n v="14"/>
    <n v="3"/>
    <n v="14"/>
    <n v="176.68"/>
    <n v="2473.52"/>
    <n v="0.02"/>
    <n v="49.47"/>
    <n v="2424.0500000000002"/>
    <n v="1533.58"/>
    <n v="890.47"/>
  </r>
  <r>
    <n v="200663"/>
    <n v="1037"/>
    <x v="1"/>
    <x v="0"/>
    <x v="0"/>
    <s v="Table"/>
    <x v="504"/>
    <d v="2024-09-04T00:00:00"/>
    <d v="2024-09-17T00:00:00"/>
    <n v="15"/>
    <n v="2"/>
    <n v="2"/>
    <n v="662.19"/>
    <n v="1324.38"/>
    <n v="0.2"/>
    <n v="264.88"/>
    <n v="1059.5"/>
    <n v="821.12"/>
    <n v="238.38"/>
  </r>
  <r>
    <n v="200664"/>
    <n v="3033"/>
    <x v="1"/>
    <x v="0"/>
    <x v="1"/>
    <s v="Snacks"/>
    <x v="599"/>
    <d v="2024-10-21T00:00:00"/>
    <d v="2024-10-20T00:00:00"/>
    <n v="4"/>
    <n v="5"/>
    <n v="5"/>
    <n v="64.180000000000007"/>
    <n v="320.89999999999998"/>
    <n v="0.15"/>
    <n v="48.14"/>
    <n v="272.77"/>
    <n v="198.96"/>
    <n v="73.81"/>
  </r>
  <r>
    <n v="200665"/>
    <n v="4869"/>
    <x v="1"/>
    <x v="0"/>
    <x v="2"/>
    <s v="Tablet"/>
    <x v="365"/>
    <d v="2024-03-15T00:00:00"/>
    <d v="2024-04-04T00:00:00"/>
    <n v="22"/>
    <n v="2"/>
    <n v="2"/>
    <n v="467.79"/>
    <n v="935.58"/>
    <n v="0.12"/>
    <n v="112.27"/>
    <n v="823.31"/>
    <n v="598.77"/>
    <n v="224.54"/>
  </r>
  <r>
    <n v="200666"/>
    <n v="3186"/>
    <x v="3"/>
    <x v="2"/>
    <x v="3"/>
    <s v="Jacket"/>
    <x v="576"/>
    <d v="2024-12-20T00:00:00"/>
    <d v="2024-12-26T00:00:00"/>
    <n v="10"/>
    <n v="4"/>
    <n v="10"/>
    <n v="5.61"/>
    <n v="56.1"/>
    <n v="0.03"/>
    <n v="1.68"/>
    <n v="54.42"/>
    <n v="33.659999999999997"/>
    <n v="20.76"/>
  </r>
  <r>
    <n v="200667"/>
    <n v="3817"/>
    <x v="0"/>
    <x v="2"/>
    <x v="2"/>
    <s v="Headphones"/>
    <x v="580"/>
    <d v="2024-10-30T00:00:00"/>
    <d v="2024-11-02T00:00:00"/>
    <n v="7"/>
    <n v="4"/>
    <n v="3"/>
    <n v="47.06"/>
    <n v="141.18"/>
    <n v="0.1"/>
    <n v="14.12"/>
    <n v="127.06"/>
    <n v="98.83"/>
    <n v="28.23"/>
  </r>
  <r>
    <n v="200668"/>
    <n v="4344"/>
    <x v="3"/>
    <x v="2"/>
    <x v="2"/>
    <s v="Tablet"/>
    <x v="409"/>
    <d v="2024-02-20T00:00:00"/>
    <d v="2024-03-08T00:00:00"/>
    <n v="21"/>
    <n v="4"/>
    <n v="4"/>
    <n v="56.18"/>
    <n v="224.72"/>
    <n v="0.17"/>
    <n v="38.200000000000003"/>
    <n v="186.52"/>
    <n v="161.80000000000001"/>
    <n v="24.72"/>
  </r>
  <r>
    <n v="200669"/>
    <n v="3999"/>
    <x v="2"/>
    <x v="2"/>
    <x v="2"/>
    <s v="Tablet"/>
    <x v="515"/>
    <d v="2024-08-09T00:00:00"/>
    <d v="2024-08-22T00:00:00"/>
    <n v="14"/>
    <n v="1"/>
    <n v="9"/>
    <n v="392.42"/>
    <n v="3531.78"/>
    <n v="0.1"/>
    <n v="353.18"/>
    <n v="3178.6"/>
    <n v="2048.4299999999998"/>
    <n v="1130.17"/>
  </r>
  <r>
    <n v="200670"/>
    <n v="2739"/>
    <x v="3"/>
    <x v="1"/>
    <x v="0"/>
    <s v="Lamp"/>
    <x v="385"/>
    <d v="2024-10-24T00:00:00"/>
    <d v="2024-10-26T00:00:00"/>
    <n v="3"/>
    <n v="1"/>
    <n v="10"/>
    <n v="107.33"/>
    <n v="1073.3"/>
    <n v="0.12"/>
    <n v="128.80000000000001"/>
    <n v="944.5"/>
    <n v="708.38"/>
    <n v="236.12"/>
  </r>
  <r>
    <n v="200671"/>
    <n v="4253"/>
    <x v="0"/>
    <x v="0"/>
    <x v="3"/>
    <s v="Shirt"/>
    <x v="391"/>
    <d v="2024-06-22T00:00:00"/>
    <d v="2024-07-11T00:00:00"/>
    <n v="21"/>
    <n v="2"/>
    <n v="4"/>
    <n v="390.78"/>
    <n v="1563.12"/>
    <n v="0.18"/>
    <n v="281.36"/>
    <n v="1281.76"/>
    <n v="1078.55"/>
    <n v="203.21"/>
  </r>
  <r>
    <n v="200672"/>
    <n v="1188"/>
    <x v="3"/>
    <x v="0"/>
    <x v="2"/>
    <s v="Phone"/>
    <x v="436"/>
    <d v="2024-04-19T00:00:00"/>
    <d v="2024-05-16T00:00:00"/>
    <n v="28"/>
    <n v="1"/>
    <n v="5"/>
    <n v="225.46"/>
    <n v="1127.3"/>
    <n v="0.13"/>
    <n v="146.55000000000001"/>
    <n v="980.75"/>
    <n v="789.11"/>
    <n v="191.64"/>
  </r>
  <r>
    <n v="200673"/>
    <n v="3145"/>
    <x v="1"/>
    <x v="0"/>
    <x v="3"/>
    <s v="Shoes"/>
    <x v="640"/>
    <d v="2024-12-08T00:00:00"/>
    <d v="2025-01-02T00:00:00"/>
    <n v="29"/>
    <n v="4"/>
    <n v="6"/>
    <n v="93.37"/>
    <n v="560.22"/>
    <n v="0.15"/>
    <n v="84.03"/>
    <n v="476.19"/>
    <n v="369.75"/>
    <n v="106.44"/>
  </r>
  <r>
    <n v="200674"/>
    <n v="2384"/>
    <x v="2"/>
    <x v="1"/>
    <x v="1"/>
    <s v="Snacks"/>
    <x v="530"/>
    <d v="2024-02-23T00:00:00"/>
    <d v="2024-02-24T00:00:00"/>
    <n v="5"/>
    <n v="4"/>
    <n v="3"/>
    <n v="288.33"/>
    <n v="864.99"/>
    <n v="0.15"/>
    <n v="129.75"/>
    <n v="735.24"/>
    <n v="544.94000000000005"/>
    <n v="190.3"/>
  </r>
  <r>
    <n v="200675"/>
    <n v="3752"/>
    <x v="0"/>
    <x v="0"/>
    <x v="2"/>
    <s v="Laptop"/>
    <x v="363"/>
    <d v="2024-09-17T00:00:00"/>
    <d v="2024-10-06T00:00:00"/>
    <n v="21"/>
    <n v="2"/>
    <n v="12"/>
    <n v="284.45"/>
    <n v="3413.4"/>
    <n v="0.04"/>
    <n v="136.54"/>
    <n v="3276.86"/>
    <n v="2048.04"/>
    <n v="1228.82"/>
  </r>
  <r>
    <n v="200676"/>
    <n v="1825"/>
    <x v="3"/>
    <x v="2"/>
    <x v="0"/>
    <s v="Sofa"/>
    <x v="373"/>
    <d v="2024-08-23T00:00:00"/>
    <d v="2024-09-05T00:00:00"/>
    <n v="15"/>
    <n v="2"/>
    <n v="5"/>
    <n v="94.43"/>
    <n v="472.15"/>
    <n v="0.14000000000000001"/>
    <n v="66.099999999999994"/>
    <n v="406.05"/>
    <n v="306.89999999999998"/>
    <n v="99.15"/>
  </r>
  <r>
    <n v="200677"/>
    <n v="2227"/>
    <x v="0"/>
    <x v="0"/>
    <x v="1"/>
    <s v="Snacks"/>
    <x v="667"/>
    <d v="2024-12-12T00:00:00"/>
    <d v="2025-01-02T00:00:00"/>
    <n v="25"/>
    <n v="4"/>
    <n v="14"/>
    <n v="338.5"/>
    <n v="4739"/>
    <n v="0.14000000000000001"/>
    <n v="663.46"/>
    <n v="4075.54"/>
    <n v="2796.01"/>
    <n v="1279.53"/>
  </r>
  <r>
    <n v="200678"/>
    <n v="3493"/>
    <x v="3"/>
    <x v="1"/>
    <x v="2"/>
    <s v="Tablet"/>
    <x v="476"/>
    <d v="2024-09-20T00:00:00"/>
    <d v="2024-10-18T00:00:00"/>
    <n v="30"/>
    <n v="2"/>
    <n v="8"/>
    <n v="699.68"/>
    <n v="5597.44"/>
    <n v="0.14000000000000001"/>
    <n v="783.64"/>
    <n v="4813.8"/>
    <n v="3582.36"/>
    <n v="1231.44"/>
  </r>
  <r>
    <n v="200679"/>
    <n v="4831"/>
    <x v="1"/>
    <x v="0"/>
    <x v="0"/>
    <s v="Table"/>
    <x v="668"/>
    <d v="2024-03-10T00:00:00"/>
    <d v="2024-03-28T00:00:00"/>
    <n v="19"/>
    <n v="1"/>
    <n v="2"/>
    <n v="778.09"/>
    <n v="1556.18"/>
    <n v="0.11"/>
    <n v="171.18"/>
    <n v="1385"/>
    <n v="902.58"/>
    <n v="482.42"/>
  </r>
  <r>
    <n v="200680"/>
    <n v="1654"/>
    <x v="1"/>
    <x v="2"/>
    <x v="3"/>
    <s v="Jeans"/>
    <x v="553"/>
    <d v="2024-11-23T00:00:00"/>
    <d v="2024-12-13T00:00:00"/>
    <n v="25"/>
    <n v="5"/>
    <n v="8"/>
    <n v="769.17"/>
    <n v="6153.36"/>
    <n v="0.13"/>
    <n v="799.94"/>
    <n v="5353.42"/>
    <n v="3938.15"/>
    <n v="1415.27"/>
  </r>
  <r>
    <n v="200681"/>
    <n v="4842"/>
    <x v="3"/>
    <x v="0"/>
    <x v="2"/>
    <s v="Headphones"/>
    <x v="429"/>
    <d v="2024-07-14T00:00:00"/>
    <d v="2024-08-03T00:00:00"/>
    <n v="22"/>
    <n v="2"/>
    <n v="4"/>
    <n v="784.7"/>
    <n v="3138.8"/>
    <n v="7.0000000000000007E-2"/>
    <n v="219.72"/>
    <n v="2919.08"/>
    <n v="2008.83"/>
    <n v="910.25"/>
  </r>
  <r>
    <n v="200682"/>
    <n v="2702"/>
    <x v="3"/>
    <x v="0"/>
    <x v="1"/>
    <s v="Rice"/>
    <x v="461"/>
    <d v="2024-01-15T00:00:00"/>
    <d v="2024-02-03T00:00:00"/>
    <n v="20"/>
    <n v="1"/>
    <n v="7"/>
    <n v="334.96"/>
    <n v="2344.7199999999998"/>
    <n v="7.0000000000000007E-2"/>
    <n v="164.13"/>
    <n v="2180.59"/>
    <n v="1359.94"/>
    <n v="820.65"/>
  </r>
  <r>
    <n v="200683"/>
    <n v="2183"/>
    <x v="1"/>
    <x v="2"/>
    <x v="3"/>
    <s v="Jacket"/>
    <x v="388"/>
    <d v="2024-02-18T00:00:00"/>
    <d v="2024-03-05T00:00:00"/>
    <n v="21"/>
    <n v="5"/>
    <n v="6"/>
    <n v="532.1"/>
    <n v="3192.6"/>
    <n v="0.08"/>
    <n v="255.41"/>
    <n v="2937.19"/>
    <n v="1883.63"/>
    <n v="1053.56"/>
  </r>
  <r>
    <n v="200684"/>
    <n v="1719"/>
    <x v="0"/>
    <x v="2"/>
    <x v="2"/>
    <s v="Headphones"/>
    <x v="357"/>
    <d v="2024-04-29T00:00:00"/>
    <d v="2024-05-21T00:00:00"/>
    <n v="25"/>
    <n v="3"/>
    <n v="12"/>
    <n v="565.83000000000004"/>
    <n v="6789.96"/>
    <n v="7.0000000000000007E-2"/>
    <n v="475.3"/>
    <n v="6314.66"/>
    <n v="4956.67"/>
    <n v="1357.99"/>
  </r>
  <r>
    <n v="200685"/>
    <n v="4491"/>
    <x v="3"/>
    <x v="2"/>
    <x v="2"/>
    <s v="Tablet"/>
    <x v="669"/>
    <d v="2024-07-27T00:00:00"/>
    <d v="2024-07-28T00:00:00"/>
    <n v="3"/>
    <n v="2"/>
    <n v="8"/>
    <n v="234.53"/>
    <n v="1876.24"/>
    <n v="0.04"/>
    <n v="75.05"/>
    <n v="1801.19"/>
    <n v="1444.7"/>
    <n v="356.49"/>
  </r>
  <r>
    <n v="200686"/>
    <n v="1580"/>
    <x v="1"/>
    <x v="2"/>
    <x v="0"/>
    <s v="Lamp"/>
    <x v="559"/>
    <d v="2024-05-07T00:00:00"/>
    <d v="2024-05-20T00:00:00"/>
    <n v="14"/>
    <n v="1"/>
    <n v="11"/>
    <n v="443.66"/>
    <n v="4880.26"/>
    <n v="0.12"/>
    <n v="585.63"/>
    <n v="4294.63"/>
    <n v="2976.96"/>
    <n v="1317.67"/>
  </r>
  <r>
    <n v="200687"/>
    <n v="1306"/>
    <x v="3"/>
    <x v="1"/>
    <x v="0"/>
    <s v="Lamp"/>
    <x v="621"/>
    <d v="2024-09-16T00:00:00"/>
    <d v="2024-09-26T00:00:00"/>
    <n v="15"/>
    <n v="5"/>
    <n v="5"/>
    <n v="144.43"/>
    <n v="722.15"/>
    <n v="0.08"/>
    <n v="57.77"/>
    <n v="664.38"/>
    <n v="505.51"/>
    <n v="158.87"/>
  </r>
  <r>
    <n v="200688"/>
    <n v="4738"/>
    <x v="2"/>
    <x v="1"/>
    <x v="2"/>
    <s v="Phone"/>
    <x v="639"/>
    <d v="2024-05-12T00:00:00"/>
    <d v="2024-05-30T00:00:00"/>
    <n v="22"/>
    <n v="4"/>
    <n v="4"/>
    <n v="603.39"/>
    <n v="2413.56"/>
    <n v="0.16"/>
    <n v="386.17"/>
    <n v="2027.39"/>
    <n v="1448.14"/>
    <n v="579.25"/>
  </r>
  <r>
    <n v="200689"/>
    <n v="2800"/>
    <x v="1"/>
    <x v="1"/>
    <x v="0"/>
    <s v="Table"/>
    <x v="567"/>
    <d v="2024-10-13T00:00:00"/>
    <d v="2024-10-11T00:00:00"/>
    <n v="3"/>
    <n v="5"/>
    <n v="10"/>
    <n v="109.03"/>
    <n v="1090.3"/>
    <n v="0.18"/>
    <n v="196.25"/>
    <n v="894.05"/>
    <n v="643.28"/>
    <n v="250.77"/>
  </r>
  <r>
    <n v="200690"/>
    <n v="4888"/>
    <x v="0"/>
    <x v="1"/>
    <x v="3"/>
    <s v="Shirt"/>
    <x v="382"/>
    <d v="2025-01-02T00:00:00"/>
    <d v="2025-01-27T00:00:00"/>
    <n v="27"/>
    <n v="2"/>
    <n v="4"/>
    <n v="535.99"/>
    <n v="2143.96"/>
    <n v="0.15"/>
    <n v="321.58999999999997"/>
    <n v="1822.37"/>
    <n v="1393.57"/>
    <n v="428.8"/>
  </r>
  <r>
    <n v="200691"/>
    <n v="3580"/>
    <x v="3"/>
    <x v="1"/>
    <x v="1"/>
    <s v="Pasta"/>
    <x v="386"/>
    <d v="2024-11-08T00:00:00"/>
    <d v="2024-11-10T00:00:00"/>
    <n v="4"/>
    <n v="2"/>
    <n v="11"/>
    <n v="156.81"/>
    <n v="1724.91"/>
    <n v="0.04"/>
    <n v="69"/>
    <n v="1655.91"/>
    <n v="1034.95"/>
    <n v="620.96"/>
  </r>
  <r>
    <n v="200692"/>
    <n v="2480"/>
    <x v="3"/>
    <x v="2"/>
    <x v="3"/>
    <s v="Jacket"/>
    <x v="358"/>
    <d v="2024-11-23T00:00:00"/>
    <d v="2024-11-26T00:00:00"/>
    <n v="7"/>
    <n v="4"/>
    <n v="9"/>
    <n v="657.8"/>
    <n v="5920.2"/>
    <n v="7.0000000000000007E-2"/>
    <n v="414.41"/>
    <n v="5505.79"/>
    <n v="3670.52"/>
    <n v="1835.27"/>
  </r>
  <r>
    <n v="200693"/>
    <n v="4042"/>
    <x v="3"/>
    <x v="2"/>
    <x v="3"/>
    <s v="Shoes"/>
    <x v="353"/>
    <d v="2024-10-15T00:00:00"/>
    <d v="2024-11-04T00:00:00"/>
    <n v="22"/>
    <n v="2"/>
    <n v="6"/>
    <n v="505.36"/>
    <n v="3032.16"/>
    <n v="0.15"/>
    <n v="454.82"/>
    <n v="2577.34"/>
    <n v="2061.87"/>
    <n v="515.47"/>
  </r>
  <r>
    <n v="200694"/>
    <n v="2266"/>
    <x v="2"/>
    <x v="1"/>
    <x v="2"/>
    <s v="Phone"/>
    <x v="544"/>
    <d v="2024-07-27T00:00:00"/>
    <d v="2024-08-07T00:00:00"/>
    <n v="14"/>
    <n v="3"/>
    <n v="14"/>
    <n v="46.8"/>
    <n v="655.20000000000005"/>
    <n v="0.1"/>
    <n v="65.52"/>
    <n v="589.67999999999995"/>
    <n v="432.43"/>
    <n v="157.25"/>
  </r>
  <r>
    <n v="200695"/>
    <n v="3603"/>
    <x v="0"/>
    <x v="0"/>
    <x v="1"/>
    <s v="Beverage"/>
    <x v="482"/>
    <d v="2024-11-04T00:00:00"/>
    <d v="2024-11-25T00:00:00"/>
    <n v="25"/>
    <n v="4"/>
    <n v="8"/>
    <n v="140.15"/>
    <n v="1121.2"/>
    <n v="0.12"/>
    <n v="134.54"/>
    <n v="986.66"/>
    <n v="706.36"/>
    <n v="280.3"/>
  </r>
  <r>
    <n v="200696"/>
    <n v="1807"/>
    <x v="3"/>
    <x v="0"/>
    <x v="0"/>
    <s v="Lamp"/>
    <x v="486"/>
    <d v="2024-01-28T00:00:00"/>
    <d v="2024-02-08T00:00:00"/>
    <n v="16"/>
    <n v="5"/>
    <n v="7"/>
    <n v="766.45"/>
    <n v="5365.15"/>
    <n v="0.1"/>
    <n v="536.52"/>
    <n v="4828.6400000000003"/>
    <n v="4184.82"/>
    <n v="643.82000000000096"/>
  </r>
  <r>
    <n v="200697"/>
    <n v="1885"/>
    <x v="0"/>
    <x v="0"/>
    <x v="0"/>
    <s v="Lamp"/>
    <x v="372"/>
    <d v="2024-09-24T00:00:00"/>
    <d v="2024-10-10T00:00:00"/>
    <n v="20"/>
    <n v="4"/>
    <n v="12"/>
    <n v="626.09"/>
    <n v="7513.08"/>
    <n v="0.19"/>
    <n v="1427.49"/>
    <n v="6085.59"/>
    <n v="4958.63"/>
    <n v="1126.96"/>
  </r>
  <r>
    <n v="200698"/>
    <n v="4370"/>
    <x v="1"/>
    <x v="1"/>
    <x v="2"/>
    <s v="Headphones"/>
    <x v="630"/>
    <d v="2024-08-06T00:00:00"/>
    <d v="2024-08-20T00:00:00"/>
    <n v="15"/>
    <n v="1"/>
    <n v="7"/>
    <n v="746.35"/>
    <n v="5224.45"/>
    <n v="0.1"/>
    <n v="522.45000000000005"/>
    <n v="4702"/>
    <n v="3448.14"/>
    <n v="1253.8599999999999"/>
  </r>
  <r>
    <n v="200699"/>
    <n v="1842"/>
    <x v="2"/>
    <x v="0"/>
    <x v="2"/>
    <s v="Tablet"/>
    <x v="540"/>
    <d v="2024-03-09T00:00:00"/>
    <d v="2024-03-20T00:00:00"/>
    <n v="12"/>
    <n v="1"/>
    <n v="5"/>
    <n v="503.22"/>
    <n v="2516.1"/>
    <n v="7.0000000000000007E-2"/>
    <n v="176.13"/>
    <n v="2339.9699999999998"/>
    <n v="1585.14"/>
    <n v="754.83"/>
  </r>
  <r>
    <n v="200700"/>
    <n v="1001"/>
    <x v="1"/>
    <x v="2"/>
    <x v="3"/>
    <s v="Shoes"/>
    <x v="670"/>
    <d v="2024-04-02T00:00:00"/>
    <d v="2024-04-15T00:00:00"/>
    <n v="17"/>
    <n v="4"/>
    <n v="6"/>
    <n v="263.49"/>
    <n v="1580.94"/>
    <n v="0.18"/>
    <n v="284.57"/>
    <n v="1296.3699999999999"/>
    <n v="1027.6099999999999"/>
    <n v="268.76"/>
  </r>
  <r>
    <n v="200701"/>
    <n v="2157"/>
    <x v="1"/>
    <x v="0"/>
    <x v="1"/>
    <s v="Beverage"/>
    <x v="670"/>
    <d v="2024-04-02T00:00:00"/>
    <d v="2024-04-09T00:00:00"/>
    <n v="11"/>
    <n v="4"/>
    <n v="3"/>
    <n v="46.72"/>
    <n v="140.16"/>
    <n v="0.18"/>
    <n v="25.23"/>
    <n v="114.93"/>
    <n v="100.92"/>
    <n v="14.01"/>
  </r>
  <r>
    <n v="200702"/>
    <n v="4376"/>
    <x v="2"/>
    <x v="1"/>
    <x v="3"/>
    <s v="Shoes"/>
    <x v="392"/>
    <d v="2024-10-16T00:00:00"/>
    <d v="2024-11-01T00:00:00"/>
    <n v="18"/>
    <n v="2"/>
    <n v="7"/>
    <n v="236.74"/>
    <n v="1657.18"/>
    <n v="0.11"/>
    <n v="182.29"/>
    <n v="1474.89"/>
    <n v="1010.88"/>
    <n v="464.01"/>
  </r>
  <r>
    <n v="200703"/>
    <n v="4943"/>
    <x v="0"/>
    <x v="0"/>
    <x v="2"/>
    <s v="Tablet"/>
    <x v="591"/>
    <d v="2024-12-08T00:00:00"/>
    <d v="2024-12-07T00:00:00"/>
    <n v="4"/>
    <n v="5"/>
    <n v="13"/>
    <n v="550.83000000000004"/>
    <n v="7160.79"/>
    <n v="0.12"/>
    <n v="859.29"/>
    <n v="6301.5"/>
    <n v="4726.12"/>
    <n v="1575.38"/>
  </r>
  <r>
    <n v="200704"/>
    <n v="1625"/>
    <x v="2"/>
    <x v="1"/>
    <x v="3"/>
    <s v="Jeans"/>
    <x v="579"/>
    <d v="2024-02-13T00:00:00"/>
    <d v="2024-02-26T00:00:00"/>
    <n v="18"/>
    <n v="5"/>
    <n v="14"/>
    <n v="159.07"/>
    <n v="2226.98"/>
    <n v="0.13"/>
    <n v="289.51"/>
    <n v="1937.47"/>
    <n v="1425.27"/>
    <n v="512.20000000000005"/>
  </r>
  <r>
    <n v="200705"/>
    <n v="2032"/>
    <x v="1"/>
    <x v="1"/>
    <x v="3"/>
    <s v="Jacket"/>
    <x v="415"/>
    <d v="2024-04-20T00:00:00"/>
    <d v="2024-05-04T00:00:00"/>
    <n v="19"/>
    <n v="5"/>
    <n v="3"/>
    <n v="551.13"/>
    <n v="1653.39"/>
    <n v="0.16"/>
    <n v="264.54000000000002"/>
    <n v="1388.85"/>
    <n v="975.5"/>
    <n v="413.35"/>
  </r>
  <r>
    <n v="200706"/>
    <n v="1025"/>
    <x v="0"/>
    <x v="0"/>
    <x v="1"/>
    <s v="Beverage"/>
    <x v="419"/>
    <d v="2024-03-10T00:00:00"/>
    <d v="2024-03-08T00:00:00"/>
    <n v="3"/>
    <n v="5"/>
    <n v="11"/>
    <n v="235.28"/>
    <n v="2588.08"/>
    <n v="7.0000000000000007E-2"/>
    <n v="181.17"/>
    <n v="2406.91"/>
    <n v="1630.49"/>
    <n v="776.42"/>
  </r>
  <r>
    <n v="200707"/>
    <n v="4475"/>
    <x v="0"/>
    <x v="1"/>
    <x v="2"/>
    <s v="Tablet"/>
    <x v="648"/>
    <d v="2024-09-24T00:00:00"/>
    <d v="2024-09-29T00:00:00"/>
    <n v="7"/>
    <n v="2"/>
    <n v="12"/>
    <n v="399.6"/>
    <n v="4795.2"/>
    <n v="0.12"/>
    <n v="575.41999999999996"/>
    <n v="4219.78"/>
    <n v="3356.64"/>
    <n v="863.14"/>
  </r>
  <r>
    <n v="200708"/>
    <n v="2392"/>
    <x v="1"/>
    <x v="0"/>
    <x v="2"/>
    <s v="Headphones"/>
    <x v="624"/>
    <d v="2024-10-29T00:00:00"/>
    <d v="2024-11-05T00:00:00"/>
    <n v="8"/>
    <n v="1"/>
    <n v="9"/>
    <n v="79.790000000000006"/>
    <n v="718.11"/>
    <n v="0.09"/>
    <n v="64.63"/>
    <n v="653.48"/>
    <n v="481.13"/>
    <n v="172.35"/>
  </r>
  <r>
    <n v="200709"/>
    <n v="3720"/>
    <x v="1"/>
    <x v="1"/>
    <x v="0"/>
    <s v="Lamp"/>
    <x v="537"/>
    <d v="2024-08-30T00:00:00"/>
    <d v="2024-09-04T00:00:00"/>
    <n v="7"/>
    <n v="2"/>
    <n v="3"/>
    <n v="389.85"/>
    <n v="1169.55"/>
    <n v="0.05"/>
    <n v="58.48"/>
    <n v="1111.07"/>
    <n v="923.94"/>
    <n v="187.13"/>
  </r>
  <r>
    <n v="200710"/>
    <n v="2560"/>
    <x v="1"/>
    <x v="0"/>
    <x v="1"/>
    <s v="Pasta"/>
    <x v="367"/>
    <d v="2024-03-25T00:00:00"/>
    <d v="2024-04-20T00:00:00"/>
    <n v="30"/>
    <n v="4"/>
    <n v="2"/>
    <n v="65.56"/>
    <n v="131.12"/>
    <n v="0.16"/>
    <n v="20.98"/>
    <n v="110.14"/>
    <n v="85.23"/>
    <n v="24.91"/>
  </r>
  <r>
    <n v="200711"/>
    <n v="1709"/>
    <x v="1"/>
    <x v="2"/>
    <x v="2"/>
    <s v="Laptop"/>
    <x v="550"/>
    <d v="2024-09-16T00:00:00"/>
    <d v="2024-09-15T00:00:00"/>
    <n v="2"/>
    <n v="3"/>
    <n v="1"/>
    <n v="708.01"/>
    <n v="708.01"/>
    <n v="0.12"/>
    <n v="84.96"/>
    <n v="623.04999999999995"/>
    <n v="481.45"/>
    <n v="141.6"/>
  </r>
  <r>
    <n v="200712"/>
    <n v="1996"/>
    <x v="3"/>
    <x v="2"/>
    <x v="2"/>
    <s v="Headphones"/>
    <x v="671"/>
    <d v="2024-10-10T00:00:00"/>
    <d v="2024-11-04T00:00:00"/>
    <n v="29"/>
    <n v="4"/>
    <n v="5"/>
    <n v="749.96"/>
    <n v="3749.8"/>
    <n v="0.09"/>
    <n v="337.48"/>
    <n v="3412.32"/>
    <n v="2587.36"/>
    <n v="824.96"/>
  </r>
  <r>
    <n v="200713"/>
    <n v="2099"/>
    <x v="2"/>
    <x v="1"/>
    <x v="3"/>
    <s v="Shoes"/>
    <x v="660"/>
    <d v="2024-05-11T00:00:00"/>
    <d v="2024-06-03T00:00:00"/>
    <n v="25"/>
    <n v="2"/>
    <n v="5"/>
    <n v="739.58"/>
    <n v="3697.9"/>
    <n v="0.05"/>
    <n v="184.9"/>
    <n v="3513"/>
    <n v="2218.7399999999998"/>
    <n v="1294.26"/>
  </r>
  <r>
    <n v="200714"/>
    <n v="4340"/>
    <x v="3"/>
    <x v="1"/>
    <x v="2"/>
    <s v="Phone"/>
    <x v="615"/>
    <d v="2024-07-25T00:00:00"/>
    <d v="2024-07-31T00:00:00"/>
    <n v="8"/>
    <n v="2"/>
    <n v="3"/>
    <n v="59.25"/>
    <n v="177.75"/>
    <n v="0.13"/>
    <n v="23.11"/>
    <n v="154.63999999999999"/>
    <n v="124.42"/>
    <n v="30.22"/>
  </r>
  <r>
    <n v="200715"/>
    <n v="1573"/>
    <x v="3"/>
    <x v="2"/>
    <x v="1"/>
    <s v="Snacks"/>
    <x v="479"/>
    <d v="2024-04-17T00:00:00"/>
    <d v="2024-04-19T00:00:00"/>
    <n v="6"/>
    <n v="4"/>
    <n v="13"/>
    <n v="187.1"/>
    <n v="2432.3000000000002"/>
    <n v="0.05"/>
    <n v="121.62"/>
    <n v="2310.6799999999998"/>
    <n v="1605.32"/>
    <n v="705.36"/>
  </r>
  <r>
    <n v="200716"/>
    <n v="2591"/>
    <x v="3"/>
    <x v="1"/>
    <x v="3"/>
    <s v="Jacket"/>
    <x v="513"/>
    <d v="2024-12-05T00:00:00"/>
    <d v="2024-12-12T00:00:00"/>
    <n v="12"/>
    <n v="5"/>
    <n v="1"/>
    <n v="626.65"/>
    <n v="626.65"/>
    <n v="0.12"/>
    <n v="75.2"/>
    <n v="551.45000000000005"/>
    <n v="407.32"/>
    <n v="144.13"/>
  </r>
  <r>
    <n v="200717"/>
    <n v="3154"/>
    <x v="0"/>
    <x v="1"/>
    <x v="0"/>
    <s v="Lamp"/>
    <x v="387"/>
    <d v="2024-12-21T00:00:00"/>
    <d v="2025-01-14T00:00:00"/>
    <n v="28"/>
    <n v="4"/>
    <n v="10"/>
    <n v="338.52"/>
    <n v="3385.2"/>
    <n v="0.12"/>
    <n v="406.22"/>
    <n v="2978.98"/>
    <n v="1929.56"/>
    <n v="1049.42"/>
  </r>
  <r>
    <n v="200718"/>
    <n v="3870"/>
    <x v="1"/>
    <x v="2"/>
    <x v="2"/>
    <s v="Phone"/>
    <x v="466"/>
    <d v="2024-09-05T00:00:00"/>
    <d v="2024-09-24T00:00:00"/>
    <n v="23"/>
    <n v="4"/>
    <n v="13"/>
    <n v="145.97"/>
    <n v="1897.61"/>
    <n v="0.09"/>
    <n v="170.78"/>
    <n v="1726.83"/>
    <n v="1138.57"/>
    <n v="588.26"/>
  </r>
  <r>
    <n v="200719"/>
    <n v="1347"/>
    <x v="2"/>
    <x v="1"/>
    <x v="0"/>
    <s v="Sofa"/>
    <x v="417"/>
    <d v="2024-12-14T00:00:00"/>
    <d v="2024-12-16T00:00:00"/>
    <n v="4"/>
    <n v="2"/>
    <n v="10"/>
    <n v="48.12"/>
    <n v="481.2"/>
    <n v="0.14000000000000001"/>
    <n v="67.37"/>
    <n v="413.83"/>
    <n v="332.03"/>
    <n v="81.8"/>
  </r>
  <r>
    <n v="200720"/>
    <n v="3559"/>
    <x v="0"/>
    <x v="1"/>
    <x v="1"/>
    <s v="Snacks"/>
    <x v="539"/>
    <d v="2024-02-03T00:00:00"/>
    <d v="2024-02-21T00:00:00"/>
    <n v="21"/>
    <n v="3"/>
    <n v="2"/>
    <n v="655.04"/>
    <n v="1310.08"/>
    <n v="0.13"/>
    <n v="170.31"/>
    <n v="1139.77"/>
    <n v="917.06"/>
    <n v="222.71"/>
  </r>
  <r>
    <n v="200721"/>
    <n v="2509"/>
    <x v="3"/>
    <x v="1"/>
    <x v="2"/>
    <s v="Tablet"/>
    <x v="503"/>
    <d v="2024-12-15T00:00:00"/>
    <d v="2024-12-23T00:00:00"/>
    <n v="9"/>
    <n v="1"/>
    <n v="7"/>
    <n v="450.5"/>
    <n v="3153.5"/>
    <n v="0.12"/>
    <n v="378.42"/>
    <n v="2775.08"/>
    <n v="1860.56"/>
    <n v="914.52"/>
  </r>
  <r>
    <n v="200722"/>
    <n v="2385"/>
    <x v="1"/>
    <x v="0"/>
    <x v="0"/>
    <s v="Lamp"/>
    <x v="672"/>
    <d v="2024-08-04T00:00:00"/>
    <d v="2024-08-28T00:00:00"/>
    <n v="26"/>
    <n v="2"/>
    <n v="14"/>
    <n v="79.680000000000007"/>
    <n v="1115.52"/>
    <n v="0.1"/>
    <n v="111.55"/>
    <n v="1003.97"/>
    <n v="725.09"/>
    <n v="278.88"/>
  </r>
  <r>
    <n v="200723"/>
    <n v="3550"/>
    <x v="1"/>
    <x v="1"/>
    <x v="0"/>
    <s v="Table"/>
    <x v="507"/>
    <d v="2024-06-08T00:00:00"/>
    <d v="2024-06-26T00:00:00"/>
    <n v="20"/>
    <n v="2"/>
    <n v="11"/>
    <n v="299.91000000000003"/>
    <n v="3299.01"/>
    <n v="0.08"/>
    <n v="263.92"/>
    <n v="3035.09"/>
    <n v="1979.41"/>
    <n v="1055.68"/>
  </r>
  <r>
    <n v="200724"/>
    <n v="1143"/>
    <x v="2"/>
    <x v="1"/>
    <x v="0"/>
    <s v="Cookware"/>
    <x v="413"/>
    <d v="2024-07-15T00:00:00"/>
    <d v="2024-07-17T00:00:00"/>
    <n v="7"/>
    <n v="5"/>
    <n v="12"/>
    <n v="189.01"/>
    <n v="2268.12"/>
    <n v="7.0000000000000007E-2"/>
    <n v="158.77000000000001"/>
    <n v="2109.35"/>
    <n v="1519.64"/>
    <n v="589.71"/>
  </r>
  <r>
    <n v="200725"/>
    <n v="2801"/>
    <x v="2"/>
    <x v="2"/>
    <x v="1"/>
    <s v="Beverage"/>
    <x v="649"/>
    <d v="2024-10-18T00:00:00"/>
    <d v="2024-10-19T00:00:00"/>
    <n v="2"/>
    <n v="1"/>
    <n v="4"/>
    <n v="438.24"/>
    <n v="1752.96"/>
    <n v="0.16"/>
    <n v="280.47000000000003"/>
    <n v="1472.49"/>
    <n v="1016.72"/>
    <n v="455.77"/>
  </r>
  <r>
    <n v="200726"/>
    <n v="1851"/>
    <x v="0"/>
    <x v="0"/>
    <x v="1"/>
    <s v="Beverage"/>
    <x v="673"/>
    <d v="2024-12-03T00:00:00"/>
    <d v="2024-12-20T00:00:00"/>
    <n v="22"/>
    <n v="5"/>
    <n v="4"/>
    <n v="757.66"/>
    <n v="3030.64"/>
    <n v="0.11"/>
    <n v="333.37"/>
    <n v="2697.27"/>
    <n v="1848.69"/>
    <n v="848.58"/>
  </r>
  <r>
    <n v="200727"/>
    <n v="4340"/>
    <x v="3"/>
    <x v="0"/>
    <x v="3"/>
    <s v="Shirt"/>
    <x v="659"/>
    <d v="2024-02-16T00:00:00"/>
    <d v="2024-03-06T00:00:00"/>
    <n v="21"/>
    <n v="2"/>
    <n v="6"/>
    <n v="306.64999999999998"/>
    <n v="1839.9"/>
    <n v="0.15"/>
    <n v="275.98"/>
    <n v="1563.92"/>
    <n v="1122.3399999999999"/>
    <n v="441.58"/>
  </r>
  <r>
    <n v="200728"/>
    <n v="2901"/>
    <x v="0"/>
    <x v="0"/>
    <x v="1"/>
    <s v="Beverage"/>
    <x v="485"/>
    <d v="2024-10-14T00:00:00"/>
    <d v="2024-11-04T00:00:00"/>
    <n v="25"/>
    <n v="4"/>
    <n v="4"/>
    <n v="138.80000000000001"/>
    <n v="555.20000000000005"/>
    <n v="7.0000000000000007E-2"/>
    <n v="38.86"/>
    <n v="516.34"/>
    <n v="344.22"/>
    <n v="172.12"/>
  </r>
  <r>
    <n v="200729"/>
    <n v="4806"/>
    <x v="0"/>
    <x v="2"/>
    <x v="2"/>
    <s v="Headphones"/>
    <x v="655"/>
    <d v="2024-12-02T00:00:00"/>
    <d v="2024-12-02T00:00:00"/>
    <n v="3"/>
    <n v="3"/>
    <n v="9"/>
    <n v="113.51"/>
    <n v="1021.59"/>
    <n v="0.13"/>
    <n v="132.81"/>
    <n v="888.78"/>
    <n v="735.54"/>
    <n v="153.24"/>
  </r>
  <r>
    <n v="200730"/>
    <n v="3334"/>
    <x v="2"/>
    <x v="0"/>
    <x v="3"/>
    <s v="Shoes"/>
    <x v="440"/>
    <d v="2024-05-17T00:00:00"/>
    <d v="2024-06-04T00:00:00"/>
    <n v="20"/>
    <n v="2"/>
    <n v="11"/>
    <n v="766.58"/>
    <n v="8432.3799999999992"/>
    <n v="0.1"/>
    <n v="843.24"/>
    <n v="7589.14"/>
    <n v="5396.72"/>
    <n v="2192.42"/>
  </r>
  <r>
    <n v="200731"/>
    <n v="2973"/>
    <x v="2"/>
    <x v="1"/>
    <x v="1"/>
    <s v="Snacks"/>
    <x v="674"/>
    <d v="2024-04-19T00:00:00"/>
    <d v="2024-04-30T00:00:00"/>
    <n v="16"/>
    <n v="5"/>
    <n v="11"/>
    <n v="753.97"/>
    <n v="8293.67"/>
    <n v="0.1"/>
    <n v="829.37"/>
    <n v="7464.3"/>
    <n v="5971.44"/>
    <n v="1492.86"/>
  </r>
  <r>
    <n v="200732"/>
    <n v="3620"/>
    <x v="2"/>
    <x v="2"/>
    <x v="0"/>
    <s v="Sofa"/>
    <x v="513"/>
    <d v="2024-12-02T00:00:00"/>
    <d v="2024-12-14T00:00:00"/>
    <n v="14"/>
    <n v="2"/>
    <n v="1"/>
    <n v="458.46"/>
    <n v="458.46"/>
    <n v="0.11"/>
    <n v="50.43"/>
    <n v="408.03"/>
    <n v="270.49"/>
    <n v="137.54"/>
  </r>
  <r>
    <n v="200733"/>
    <n v="3079"/>
    <x v="1"/>
    <x v="1"/>
    <x v="2"/>
    <s v="Headphones"/>
    <x v="675"/>
    <d v="2024-04-05T00:00:00"/>
    <d v="2024-04-06T00:00:00"/>
    <n v="6"/>
    <n v="5"/>
    <n v="12"/>
    <n v="419.28"/>
    <n v="5031.3599999999997"/>
    <n v="0.12"/>
    <n v="603.76"/>
    <n v="4427.6000000000004"/>
    <n v="3119.44"/>
    <n v="1308.1600000000001"/>
  </r>
  <r>
    <n v="200734"/>
    <n v="4713"/>
    <x v="0"/>
    <x v="0"/>
    <x v="3"/>
    <s v="Jeans"/>
    <x v="632"/>
    <d v="2024-12-24T00:00:00"/>
    <d v="2024-12-25T00:00:00"/>
    <n v="5"/>
    <n v="4"/>
    <n v="14"/>
    <n v="99.56"/>
    <n v="1393.84"/>
    <n v="0.17"/>
    <n v="236.95"/>
    <n v="1156.8900000000001"/>
    <n v="933.87"/>
    <n v="223.02"/>
  </r>
  <r>
    <n v="200735"/>
    <n v="4358"/>
    <x v="1"/>
    <x v="2"/>
    <x v="0"/>
    <s v="Sofa"/>
    <x v="442"/>
    <d v="2024-07-07T00:00:00"/>
    <d v="2024-07-30T00:00:00"/>
    <n v="24"/>
    <n v="1"/>
    <n v="1"/>
    <n v="270.11"/>
    <n v="270.11"/>
    <n v="0.11"/>
    <n v="29.71"/>
    <n v="240.4"/>
    <n v="183.67"/>
    <n v="56.73"/>
  </r>
  <r>
    <n v="200736"/>
    <n v="3594"/>
    <x v="2"/>
    <x v="1"/>
    <x v="2"/>
    <s v="Phone"/>
    <x v="676"/>
    <d v="2024-09-03T00:00:00"/>
    <d v="2024-09-24T00:00:00"/>
    <n v="26"/>
    <n v="5"/>
    <n v="8"/>
    <n v="322.10000000000002"/>
    <n v="2576.8000000000002"/>
    <n v="0.15"/>
    <n v="386.52"/>
    <n v="2190.2800000000002"/>
    <n v="1752.22"/>
    <n v="438.06"/>
  </r>
  <r>
    <n v="200737"/>
    <n v="2125"/>
    <x v="2"/>
    <x v="0"/>
    <x v="0"/>
    <s v="Cookware"/>
    <x v="411"/>
    <d v="2024-12-02T00:00:00"/>
    <d v="2024-12-11T00:00:00"/>
    <n v="14"/>
    <n v="5"/>
    <n v="1"/>
    <n v="550.37"/>
    <n v="550.37"/>
    <n v="0.08"/>
    <n v="44.03"/>
    <n v="506.34"/>
    <n v="357.74"/>
    <n v="148.6"/>
  </r>
  <r>
    <n v="200738"/>
    <n v="2364"/>
    <x v="0"/>
    <x v="1"/>
    <x v="2"/>
    <s v="Tablet"/>
    <x v="383"/>
    <d v="2024-11-13T00:00:00"/>
    <d v="2024-12-02T00:00:00"/>
    <n v="21"/>
    <n v="2"/>
    <n v="2"/>
    <n v="663.29"/>
    <n v="1326.58"/>
    <n v="0.14000000000000001"/>
    <n v="185.72"/>
    <n v="1140.8599999999999"/>
    <n v="862.28"/>
    <n v="278.58"/>
  </r>
  <r>
    <n v="200739"/>
    <n v="4660"/>
    <x v="1"/>
    <x v="0"/>
    <x v="1"/>
    <s v="Rice"/>
    <x v="560"/>
    <d v="2024-08-26T00:00:00"/>
    <d v="2024-09-14T00:00:00"/>
    <n v="20"/>
    <n v="1"/>
    <n v="2"/>
    <n v="653.22"/>
    <n v="1306.44"/>
    <n v="0.14000000000000001"/>
    <n v="182.9"/>
    <n v="1123.54"/>
    <n v="953.7"/>
    <n v="169.84"/>
  </r>
  <r>
    <n v="200740"/>
    <n v="3502"/>
    <x v="1"/>
    <x v="2"/>
    <x v="2"/>
    <s v="Tablet"/>
    <x v="618"/>
    <d v="2024-08-13T00:00:00"/>
    <d v="2024-08-16T00:00:00"/>
    <n v="7"/>
    <n v="4"/>
    <n v="13"/>
    <n v="583.61"/>
    <n v="7586.93"/>
    <n v="0.15"/>
    <n v="1138.04"/>
    <n v="6448.89"/>
    <n v="4779.7700000000004"/>
    <n v="1669.12"/>
  </r>
  <r>
    <n v="200741"/>
    <n v="1936"/>
    <x v="1"/>
    <x v="0"/>
    <x v="3"/>
    <s v="Jeans"/>
    <x v="664"/>
    <d v="2024-03-11T00:00:00"/>
    <d v="2024-03-20T00:00:00"/>
    <n v="14"/>
    <n v="5"/>
    <n v="11"/>
    <n v="659.57"/>
    <n v="7255.27"/>
    <n v="0.12"/>
    <n v="870.63"/>
    <n v="6384.64"/>
    <n v="5006.1400000000003"/>
    <n v="1378.5"/>
  </r>
  <r>
    <n v="200742"/>
    <n v="3330"/>
    <x v="2"/>
    <x v="2"/>
    <x v="0"/>
    <s v="Lamp"/>
    <x v="449"/>
    <d v="2024-04-08T00:00:00"/>
    <d v="2024-04-18T00:00:00"/>
    <n v="13"/>
    <n v="3"/>
    <n v="7"/>
    <n v="333.74"/>
    <n v="2336.1799999999998"/>
    <n v="0.16"/>
    <n v="373.79"/>
    <n v="1962.39"/>
    <n v="1495.16"/>
    <n v="467.23"/>
  </r>
  <r>
    <n v="200743"/>
    <n v="4526"/>
    <x v="2"/>
    <x v="2"/>
    <x v="2"/>
    <s v="Headphones"/>
    <x v="667"/>
    <d v="2024-12-13T00:00:00"/>
    <d v="2024-12-29T00:00:00"/>
    <n v="21"/>
    <n v="5"/>
    <n v="13"/>
    <n v="195.39"/>
    <n v="2540.0700000000002"/>
    <n v="0.03"/>
    <n v="76.2"/>
    <n v="2463.87"/>
    <n v="1574.84"/>
    <n v="889.03"/>
  </r>
  <r>
    <n v="200744"/>
    <n v="1239"/>
    <x v="3"/>
    <x v="0"/>
    <x v="3"/>
    <s v="Jacket"/>
    <x v="628"/>
    <d v="2024-07-18T00:00:00"/>
    <d v="2024-07-27T00:00:00"/>
    <n v="11"/>
    <n v="2"/>
    <n v="9"/>
    <n v="608.38"/>
    <n v="5475.42"/>
    <n v="0.17"/>
    <n v="930.82"/>
    <n v="4544.6000000000004"/>
    <n v="3449.51"/>
    <n v="1095.0899999999999"/>
  </r>
  <r>
    <n v="200745"/>
    <n v="1152"/>
    <x v="2"/>
    <x v="2"/>
    <x v="2"/>
    <s v="Phone"/>
    <x v="564"/>
    <d v="2024-11-22T00:00:00"/>
    <d v="2024-12-10T00:00:00"/>
    <n v="19"/>
    <n v="1"/>
    <n v="1"/>
    <n v="775.91"/>
    <n v="775.91"/>
    <n v="0.15"/>
    <n v="116.39"/>
    <n v="659.52"/>
    <n v="519.86"/>
    <n v="139.66"/>
  </r>
  <r>
    <n v="200746"/>
    <n v="2631"/>
    <x v="2"/>
    <x v="2"/>
    <x v="0"/>
    <s v="Lamp"/>
    <x v="492"/>
    <d v="2024-06-28T00:00:00"/>
    <d v="2024-07-23T00:00:00"/>
    <n v="26"/>
    <n v="1"/>
    <n v="11"/>
    <n v="655.22"/>
    <n v="7207.42"/>
    <n v="0.09"/>
    <n v="648.66999999999996"/>
    <n v="6558.75"/>
    <n v="4612.75"/>
    <n v="1946"/>
  </r>
  <r>
    <n v="200747"/>
    <n v="3100"/>
    <x v="2"/>
    <x v="1"/>
    <x v="2"/>
    <s v="Headphones"/>
    <x v="580"/>
    <d v="2024-10-28T00:00:00"/>
    <d v="2024-11-11T00:00:00"/>
    <n v="16"/>
    <n v="2"/>
    <n v="12"/>
    <n v="224.72"/>
    <n v="2696.64"/>
    <n v="0.13"/>
    <n v="350.56"/>
    <n v="2346.08"/>
    <n v="1375.29"/>
    <n v="970.79"/>
  </r>
  <r>
    <n v="200748"/>
    <n v="1273"/>
    <x v="2"/>
    <x v="2"/>
    <x v="0"/>
    <s v="Sofa"/>
    <x v="369"/>
    <d v="2024-04-25T00:00:00"/>
    <d v="2024-04-27T00:00:00"/>
    <n v="7"/>
    <n v="5"/>
    <n v="8"/>
    <n v="350.1"/>
    <n v="2800.8"/>
    <n v="0.05"/>
    <n v="140.04"/>
    <n v="2660.76"/>
    <n v="1624.46"/>
    <n v="1036.3"/>
  </r>
  <r>
    <n v="200749"/>
    <n v="1656"/>
    <x v="3"/>
    <x v="1"/>
    <x v="0"/>
    <s v="Sofa"/>
    <x v="516"/>
    <d v="2024-12-31T00:00:00"/>
    <d v="2025-01-26T00:00:00"/>
    <n v="30"/>
    <n v="4"/>
    <n v="8"/>
    <n v="436.97"/>
    <n v="3495.76"/>
    <n v="7.0000000000000007E-2"/>
    <n v="244.7"/>
    <n v="3251.06"/>
    <n v="2062.5"/>
    <n v="1188.56"/>
  </r>
  <r>
    <n v="200750"/>
    <n v="4163"/>
    <x v="0"/>
    <x v="0"/>
    <x v="0"/>
    <s v="Sofa"/>
    <x v="524"/>
    <d v="2024-05-30T00:00:00"/>
    <d v="2024-06-20T00:00:00"/>
    <n v="24"/>
    <n v="3"/>
    <n v="13"/>
    <n v="281.11"/>
    <n v="3654.43"/>
    <n v="0.16"/>
    <n v="584.71"/>
    <n v="3069.72"/>
    <n v="2156.11"/>
    <n v="913.61"/>
  </r>
  <r>
    <n v="200751"/>
    <n v="4795"/>
    <x v="3"/>
    <x v="1"/>
    <x v="3"/>
    <s v="Jacket"/>
    <x v="447"/>
    <d v="2024-11-05T00:00:00"/>
    <d v="2024-11-11T00:00:00"/>
    <n v="9"/>
    <n v="3"/>
    <n v="14"/>
    <n v="134.80000000000001"/>
    <n v="1887.2"/>
    <n v="0.03"/>
    <n v="56.62"/>
    <n v="1830.58"/>
    <n v="1094.58"/>
    <n v="736"/>
  </r>
  <r>
    <n v="200752"/>
    <n v="2532"/>
    <x v="2"/>
    <x v="0"/>
    <x v="2"/>
    <s v="Headphones"/>
    <x v="587"/>
    <d v="2024-11-12T00:00:00"/>
    <d v="2024-11-23T00:00:00"/>
    <n v="15"/>
    <n v="4"/>
    <n v="2"/>
    <n v="550.47"/>
    <n v="1100.94"/>
    <n v="0.1"/>
    <n v="110.09"/>
    <n v="990.85"/>
    <n v="638.54999999999995"/>
    <n v="352.3"/>
  </r>
  <r>
    <n v="200753"/>
    <n v="2486"/>
    <x v="3"/>
    <x v="2"/>
    <x v="1"/>
    <s v="Beverage"/>
    <x v="423"/>
    <d v="2024-12-30T00:00:00"/>
    <d v="2024-12-30T00:00:00"/>
    <n v="2"/>
    <n v="2"/>
    <n v="14"/>
    <n v="452.56"/>
    <n v="6335.84"/>
    <n v="0.13"/>
    <n v="823.66"/>
    <n v="5512.18"/>
    <n v="4498.45"/>
    <n v="1013.73"/>
  </r>
  <r>
    <n v="200754"/>
    <n v="3099"/>
    <x v="1"/>
    <x v="0"/>
    <x v="0"/>
    <s v="Table"/>
    <x v="429"/>
    <d v="2024-07-14T00:00:00"/>
    <d v="2024-08-05T00:00:00"/>
    <n v="24"/>
    <n v="2"/>
    <n v="2"/>
    <n v="5.49"/>
    <n v="10.98"/>
    <n v="0.12"/>
    <n v="1.32"/>
    <n v="9.66"/>
    <n v="7.47"/>
    <n v="2.19"/>
  </r>
  <r>
    <n v="200755"/>
    <n v="3273"/>
    <x v="3"/>
    <x v="0"/>
    <x v="2"/>
    <s v="Laptop"/>
    <x v="426"/>
    <d v="2024-01-05T00:00:00"/>
    <d v="2024-01-19T00:00:00"/>
    <n v="18"/>
    <n v="4"/>
    <n v="5"/>
    <n v="262.08999999999997"/>
    <n v="1310.45"/>
    <n v="0.12"/>
    <n v="157.25"/>
    <n v="1153.2"/>
    <n v="904.21"/>
    <n v="248.99"/>
  </r>
  <r>
    <n v="200756"/>
    <n v="3316"/>
    <x v="2"/>
    <x v="1"/>
    <x v="0"/>
    <s v="Table"/>
    <x v="677"/>
    <d v="2024-12-03T00:00:00"/>
    <d v="2024-12-30T00:00:00"/>
    <n v="29"/>
    <n v="2"/>
    <n v="5"/>
    <n v="28.9"/>
    <n v="144.5"/>
    <n v="0.1"/>
    <n v="14.45"/>
    <n v="130.05000000000001"/>
    <n v="86.7"/>
    <n v="43.35"/>
  </r>
  <r>
    <n v="200757"/>
    <n v="4563"/>
    <x v="1"/>
    <x v="0"/>
    <x v="1"/>
    <s v="Pasta"/>
    <x v="601"/>
    <d v="2024-10-16T00:00:00"/>
    <d v="2024-10-22T00:00:00"/>
    <n v="7"/>
    <n v="1"/>
    <n v="13"/>
    <n v="135.54"/>
    <n v="1762.02"/>
    <n v="0.05"/>
    <n v="88.1"/>
    <n v="1673.92"/>
    <n v="1092.45"/>
    <n v="581.47"/>
  </r>
  <r>
    <n v="200758"/>
    <n v="3346"/>
    <x v="3"/>
    <x v="0"/>
    <x v="2"/>
    <s v="Phone"/>
    <x v="400"/>
    <d v="2024-08-24T00:00:00"/>
    <d v="2024-08-27T00:00:00"/>
    <n v="7"/>
    <n v="4"/>
    <n v="7"/>
    <n v="788.81"/>
    <n v="5521.67"/>
    <n v="0.16"/>
    <n v="883.47"/>
    <n v="4638.2"/>
    <n v="3533.87"/>
    <n v="1104.33"/>
  </r>
  <r>
    <n v="200759"/>
    <n v="1483"/>
    <x v="3"/>
    <x v="0"/>
    <x v="0"/>
    <s v="Sofa"/>
    <x v="678"/>
    <d v="2024-07-10T00:00:00"/>
    <d v="2024-08-02T00:00:00"/>
    <n v="26"/>
    <n v="3"/>
    <n v="11"/>
    <n v="335.45"/>
    <n v="3689.95"/>
    <n v="0.11"/>
    <n v="405.89"/>
    <n v="3284.06"/>
    <n v="2546.0700000000002"/>
    <n v="737.99"/>
  </r>
  <r>
    <n v="200760"/>
    <n v="1720"/>
    <x v="2"/>
    <x v="2"/>
    <x v="2"/>
    <s v="Headphones"/>
    <x v="679"/>
    <d v="2024-04-12T00:00:00"/>
    <d v="2024-04-16T00:00:00"/>
    <n v="5"/>
    <n v="1"/>
    <n v="8"/>
    <n v="765.05"/>
    <n v="6120.4"/>
    <n v="0.16"/>
    <n v="979.26"/>
    <n v="5141.1400000000003"/>
    <n v="4161.87"/>
    <n v="979.27"/>
  </r>
  <r>
    <n v="200761"/>
    <n v="1308"/>
    <x v="1"/>
    <x v="0"/>
    <x v="0"/>
    <s v="Sofa"/>
    <x v="475"/>
    <d v="2024-01-21T00:00:00"/>
    <d v="2024-02-11T00:00:00"/>
    <n v="25"/>
    <n v="4"/>
    <n v="9"/>
    <n v="118.56"/>
    <n v="1067.04"/>
    <n v="0.08"/>
    <n v="85.36"/>
    <n v="981.68"/>
    <n v="672.24"/>
    <n v="309.44"/>
  </r>
  <r>
    <n v="200762"/>
    <n v="4582"/>
    <x v="3"/>
    <x v="0"/>
    <x v="1"/>
    <s v="Pasta"/>
    <x v="383"/>
    <d v="2024-11-16T00:00:00"/>
    <d v="2024-11-27T00:00:00"/>
    <n v="16"/>
    <n v="5"/>
    <n v="10"/>
    <n v="8.48"/>
    <n v="84.8"/>
    <n v="0.03"/>
    <n v="2.54"/>
    <n v="82.26"/>
    <n v="58.51"/>
    <n v="23.75"/>
  </r>
  <r>
    <n v="200763"/>
    <n v="4515"/>
    <x v="2"/>
    <x v="0"/>
    <x v="2"/>
    <s v="Tablet"/>
    <x v="407"/>
    <d v="2024-08-12T00:00:00"/>
    <d v="2024-08-28T00:00:00"/>
    <n v="18"/>
    <n v="2"/>
    <n v="2"/>
    <n v="467.68"/>
    <n v="935.36"/>
    <n v="0.09"/>
    <n v="84.18"/>
    <n v="851.18"/>
    <n v="579.91999999999996"/>
    <n v="271.26"/>
  </r>
  <r>
    <n v="200764"/>
    <n v="4367"/>
    <x v="2"/>
    <x v="2"/>
    <x v="1"/>
    <s v="Beverage"/>
    <x v="474"/>
    <d v="2024-08-08T00:00:00"/>
    <d v="2024-08-22T00:00:00"/>
    <n v="18"/>
    <n v="4"/>
    <n v="4"/>
    <n v="204.2"/>
    <n v="816.8"/>
    <n v="0.09"/>
    <n v="73.510000000000005"/>
    <n v="743.29"/>
    <n v="530.91999999999996"/>
    <n v="212.37"/>
  </r>
  <r>
    <n v="200765"/>
    <n v="2319"/>
    <x v="0"/>
    <x v="0"/>
    <x v="1"/>
    <s v="Pasta"/>
    <x v="609"/>
    <d v="2024-09-10T00:00:00"/>
    <d v="2024-09-28T00:00:00"/>
    <n v="22"/>
    <n v="4"/>
    <n v="9"/>
    <n v="669.7"/>
    <n v="6027.3"/>
    <n v="0.09"/>
    <n v="542.46"/>
    <n v="5484.84"/>
    <n v="3917.75"/>
    <n v="1567.09"/>
  </r>
  <r>
    <n v="200766"/>
    <n v="4847"/>
    <x v="2"/>
    <x v="2"/>
    <x v="1"/>
    <s v="Snacks"/>
    <x v="630"/>
    <d v="2024-08-06T00:00:00"/>
    <d v="2024-08-12T00:00:00"/>
    <n v="7"/>
    <n v="1"/>
    <n v="8"/>
    <n v="641.04999999999995"/>
    <n v="5128.3999999999996"/>
    <n v="0.1"/>
    <n v="512.84"/>
    <n v="4615.5600000000004"/>
    <n v="2974.47"/>
    <n v="1641.09"/>
  </r>
  <r>
    <n v="200767"/>
    <n v="2414"/>
    <x v="1"/>
    <x v="0"/>
    <x v="1"/>
    <s v="Rice"/>
    <x v="680"/>
    <d v="2024-12-20T00:00:00"/>
    <d v="2024-12-24T00:00:00"/>
    <n v="5"/>
    <n v="1"/>
    <n v="2"/>
    <n v="176.21"/>
    <n v="352.42"/>
    <n v="0.14000000000000001"/>
    <n v="49.34"/>
    <n v="303.08"/>
    <n v="207.93"/>
    <n v="95.15"/>
  </r>
  <r>
    <n v="200768"/>
    <n v="3642"/>
    <x v="1"/>
    <x v="0"/>
    <x v="1"/>
    <s v="Beverage"/>
    <x v="583"/>
    <d v="2024-07-06T00:00:00"/>
    <d v="2024-07-10T00:00:00"/>
    <n v="7"/>
    <n v="3"/>
    <n v="5"/>
    <n v="35.119999999999997"/>
    <n v="175.6"/>
    <n v="0.02"/>
    <n v="3.51"/>
    <n v="172.09"/>
    <n v="110.63"/>
    <n v="61.46"/>
  </r>
  <r>
    <n v="200769"/>
    <n v="2066"/>
    <x v="2"/>
    <x v="2"/>
    <x v="0"/>
    <s v="Sofa"/>
    <x v="589"/>
    <d v="2024-05-11T00:00:00"/>
    <d v="2024-05-23T00:00:00"/>
    <n v="13"/>
    <n v="1"/>
    <n v="6"/>
    <n v="232.13"/>
    <n v="1392.78"/>
    <n v="0.13"/>
    <n v="181.06"/>
    <n v="1211.72"/>
    <n v="1044.58"/>
    <n v="167.14"/>
  </r>
  <r>
    <n v="200770"/>
    <n v="1468"/>
    <x v="0"/>
    <x v="2"/>
    <x v="0"/>
    <s v="Table"/>
    <x v="378"/>
    <d v="2024-02-01T00:00:00"/>
    <d v="2024-02-17T00:00:00"/>
    <n v="18"/>
    <n v="2"/>
    <n v="6"/>
    <n v="310.36"/>
    <n v="1862.16"/>
    <n v="0.08"/>
    <n v="148.97"/>
    <n v="1713.19"/>
    <n v="1303.51"/>
    <n v="409.68"/>
  </r>
  <r>
    <n v="200771"/>
    <n v="1019"/>
    <x v="3"/>
    <x v="0"/>
    <x v="0"/>
    <s v="Table"/>
    <x v="654"/>
    <d v="2024-02-21T00:00:00"/>
    <d v="2024-03-20T00:00:00"/>
    <n v="29"/>
    <n v="1"/>
    <n v="10"/>
    <n v="684.67"/>
    <n v="6846.7"/>
    <n v="0.14000000000000001"/>
    <n v="958.54"/>
    <n v="5888.16"/>
    <n v="4587.29"/>
    <n v="1300.8699999999999"/>
  </r>
  <r>
    <n v="200772"/>
    <n v="1098"/>
    <x v="3"/>
    <x v="1"/>
    <x v="1"/>
    <s v="Snacks"/>
    <x v="676"/>
    <d v="2024-09-02T00:00:00"/>
    <d v="2024-09-10T00:00:00"/>
    <n v="12"/>
    <n v="4"/>
    <n v="8"/>
    <n v="485.31"/>
    <n v="3882.48"/>
    <n v="0.12"/>
    <n v="465.9"/>
    <n v="3416.58"/>
    <n v="2717.74"/>
    <n v="698.84"/>
  </r>
  <r>
    <n v="200773"/>
    <n v="1200"/>
    <x v="0"/>
    <x v="2"/>
    <x v="1"/>
    <s v="Pasta"/>
    <x v="460"/>
    <d v="2024-10-11T00:00:00"/>
    <d v="2024-10-22T00:00:00"/>
    <n v="13"/>
    <n v="2"/>
    <n v="5"/>
    <n v="782.09"/>
    <n v="3910.45"/>
    <n v="0.16"/>
    <n v="625.66999999999996"/>
    <n v="3284.78"/>
    <n v="2502.69"/>
    <n v="782.09"/>
  </r>
  <r>
    <n v="200774"/>
    <n v="2381"/>
    <x v="3"/>
    <x v="2"/>
    <x v="0"/>
    <s v="Lamp"/>
    <x v="465"/>
    <d v="2024-06-06T00:00:00"/>
    <d v="2024-06-24T00:00:00"/>
    <n v="20"/>
    <n v="2"/>
    <n v="10"/>
    <n v="754.88"/>
    <n v="7548.8"/>
    <n v="0.16"/>
    <n v="1207.81"/>
    <n v="6340.99"/>
    <n v="5359.65"/>
    <n v="981.34"/>
  </r>
  <r>
    <n v="200775"/>
    <n v="3056"/>
    <x v="2"/>
    <x v="2"/>
    <x v="3"/>
    <s v="Shoes"/>
    <x v="647"/>
    <d v="2024-04-12T00:00:00"/>
    <d v="2024-04-28T00:00:00"/>
    <n v="20"/>
    <n v="4"/>
    <n v="5"/>
    <n v="67.91"/>
    <n v="339.55"/>
    <n v="7.0000000000000007E-2"/>
    <n v="23.77"/>
    <n v="315.77999999999997"/>
    <n v="207.13"/>
    <n v="108.65"/>
  </r>
  <r>
    <n v="200776"/>
    <n v="2761"/>
    <x v="2"/>
    <x v="1"/>
    <x v="0"/>
    <s v="Sofa"/>
    <x v="451"/>
    <d v="2024-09-14T00:00:00"/>
    <d v="2024-10-05T00:00:00"/>
    <n v="23"/>
    <n v="2"/>
    <n v="11"/>
    <n v="77.19"/>
    <n v="849.09"/>
    <n v="0.06"/>
    <n v="50.95"/>
    <n v="798.14"/>
    <n v="526.44000000000005"/>
    <n v="271.7"/>
  </r>
  <r>
    <n v="200777"/>
    <n v="3682"/>
    <x v="1"/>
    <x v="2"/>
    <x v="0"/>
    <s v="Sofa"/>
    <x v="422"/>
    <d v="2024-02-15T00:00:00"/>
    <d v="2024-02-23T00:00:00"/>
    <n v="12"/>
    <n v="4"/>
    <n v="12"/>
    <n v="397.62"/>
    <n v="4771.4399999999996"/>
    <n v="0.11"/>
    <n v="524.86"/>
    <n v="4246.58"/>
    <n v="2624.29"/>
    <n v="1622.29"/>
  </r>
  <r>
    <n v="200778"/>
    <n v="1157"/>
    <x v="2"/>
    <x v="0"/>
    <x v="0"/>
    <s v="Cookware"/>
    <x v="617"/>
    <d v="2024-05-01T00:00:00"/>
    <d v="2024-05-24T00:00:00"/>
    <n v="27"/>
    <n v="4"/>
    <n v="13"/>
    <n v="410.19"/>
    <n v="5332.47"/>
    <n v="0.09"/>
    <n v="479.92"/>
    <n v="4852.55"/>
    <n v="3092.83"/>
    <n v="1759.72"/>
  </r>
  <r>
    <n v="200779"/>
    <n v="1136"/>
    <x v="3"/>
    <x v="0"/>
    <x v="0"/>
    <s v="Sofa"/>
    <x v="385"/>
    <d v="2024-10-24T00:00:00"/>
    <d v="2024-11-18T00:00:00"/>
    <n v="26"/>
    <n v="1"/>
    <n v="5"/>
    <n v="669.26"/>
    <n v="3346.3"/>
    <n v="0.15"/>
    <n v="501.94"/>
    <n v="2844.36"/>
    <n v="2275.48"/>
    <n v="568.88"/>
  </r>
  <r>
    <n v="200780"/>
    <n v="2819"/>
    <x v="3"/>
    <x v="0"/>
    <x v="3"/>
    <s v="Jeans"/>
    <x v="561"/>
    <d v="2024-08-09T00:00:00"/>
    <d v="2024-08-22T00:00:00"/>
    <n v="16"/>
    <n v="3"/>
    <n v="12"/>
    <n v="254.62"/>
    <n v="3055.44"/>
    <n v="0.11"/>
    <n v="336.1"/>
    <n v="2719.34"/>
    <n v="2016.59"/>
    <n v="702.75"/>
  </r>
  <r>
    <n v="200781"/>
    <n v="3071"/>
    <x v="1"/>
    <x v="0"/>
    <x v="2"/>
    <s v="Phone"/>
    <x v="507"/>
    <d v="2024-06-10T00:00:00"/>
    <d v="2024-06-11T00:00:00"/>
    <n v="5"/>
    <n v="4"/>
    <n v="7"/>
    <n v="650.98"/>
    <n v="4556.8599999999997"/>
    <n v="0.05"/>
    <n v="227.84"/>
    <n v="4329.0200000000004"/>
    <n v="3144.23"/>
    <n v="1184.79"/>
  </r>
  <r>
    <n v="200782"/>
    <n v="2912"/>
    <x v="0"/>
    <x v="1"/>
    <x v="0"/>
    <s v="Cookware"/>
    <x v="471"/>
    <d v="2024-06-30T00:00:00"/>
    <d v="2024-07-16T00:00:00"/>
    <n v="17"/>
    <n v="1"/>
    <n v="7"/>
    <n v="24.84"/>
    <n v="173.88"/>
    <n v="0.1"/>
    <n v="17.39"/>
    <n v="156.49"/>
    <n v="102.59"/>
    <n v="53.9"/>
  </r>
  <r>
    <n v="200783"/>
    <n v="4549"/>
    <x v="3"/>
    <x v="1"/>
    <x v="3"/>
    <s v="Shoes"/>
    <x v="589"/>
    <d v="2024-05-15T00:00:00"/>
    <d v="2024-06-04T00:00:00"/>
    <n v="25"/>
    <n v="5"/>
    <n v="12"/>
    <n v="756.01"/>
    <n v="9072.1200000000008"/>
    <n v="0.08"/>
    <n v="725.77"/>
    <n v="8346.35"/>
    <n v="6804.09"/>
    <n v="1542.26"/>
  </r>
  <r>
    <n v="200784"/>
    <n v="1663"/>
    <x v="0"/>
    <x v="2"/>
    <x v="3"/>
    <s v="Jeans"/>
    <x v="500"/>
    <d v="2024-07-16T00:00:00"/>
    <d v="2024-07-25T00:00:00"/>
    <n v="12"/>
    <n v="3"/>
    <n v="11"/>
    <n v="776.75"/>
    <n v="8544.25"/>
    <n v="0.05"/>
    <n v="427.21"/>
    <n v="8117.04"/>
    <n v="5724.65"/>
    <n v="2392.39"/>
  </r>
  <r>
    <n v="200785"/>
    <n v="1786"/>
    <x v="2"/>
    <x v="0"/>
    <x v="2"/>
    <s v="Phone"/>
    <x v="568"/>
    <d v="2024-04-26T00:00:00"/>
    <d v="2024-05-16T00:00:00"/>
    <n v="21"/>
    <n v="1"/>
    <n v="8"/>
    <n v="656.31"/>
    <n v="5250.48"/>
    <n v="0.02"/>
    <n v="105.01"/>
    <n v="5145.47"/>
    <n v="3412.81"/>
    <n v="1732.66"/>
  </r>
  <r>
    <n v="200786"/>
    <n v="1380"/>
    <x v="2"/>
    <x v="1"/>
    <x v="0"/>
    <s v="Table"/>
    <x v="681"/>
    <d v="2024-11-03T00:00:00"/>
    <d v="2024-11-20T00:00:00"/>
    <n v="21"/>
    <n v="4"/>
    <n v="1"/>
    <n v="535.41"/>
    <n v="535.41"/>
    <n v="0.03"/>
    <n v="16.059999999999999"/>
    <n v="519.35"/>
    <n v="310.54000000000002"/>
    <n v="208.81"/>
  </r>
  <r>
    <n v="200787"/>
    <n v="3660"/>
    <x v="2"/>
    <x v="2"/>
    <x v="2"/>
    <s v="Laptop"/>
    <x v="425"/>
    <d v="2024-04-22T00:00:00"/>
    <d v="2024-05-04T00:00:00"/>
    <n v="15"/>
    <n v="3"/>
    <n v="8"/>
    <n v="209.73"/>
    <n v="1677.84"/>
    <n v="0.1"/>
    <n v="167.78"/>
    <n v="1510.06"/>
    <n v="956.37"/>
    <n v="553.69000000000005"/>
  </r>
  <r>
    <n v="200788"/>
    <n v="4084"/>
    <x v="1"/>
    <x v="2"/>
    <x v="1"/>
    <s v="Beverage"/>
    <x v="546"/>
    <d v="2024-05-22T00:00:00"/>
    <d v="2024-05-21T00:00:00"/>
    <n v="3"/>
    <n v="4"/>
    <n v="8"/>
    <n v="773.84"/>
    <n v="6190.72"/>
    <n v="0.06"/>
    <n v="371.44"/>
    <n v="5819.28"/>
    <n v="4147.78"/>
    <n v="1671.5"/>
  </r>
  <r>
    <n v="200789"/>
    <n v="2860"/>
    <x v="3"/>
    <x v="2"/>
    <x v="1"/>
    <s v="Pasta"/>
    <x v="383"/>
    <d v="2024-11-16T00:00:00"/>
    <d v="2024-11-29T00:00:00"/>
    <n v="18"/>
    <n v="5"/>
    <n v="6"/>
    <n v="285.77"/>
    <n v="1714.62"/>
    <n v="0.16"/>
    <n v="274.33999999999997"/>
    <n v="1440.28"/>
    <n v="1268.82"/>
    <n v="171.46"/>
  </r>
  <r>
    <n v="200790"/>
    <n v="3414"/>
    <x v="0"/>
    <x v="1"/>
    <x v="1"/>
    <s v="Snacks"/>
    <x v="682"/>
    <d v="2024-08-20T00:00:00"/>
    <d v="2024-08-23T00:00:00"/>
    <n v="8"/>
    <n v="5"/>
    <n v="8"/>
    <n v="280.43"/>
    <n v="2243.44"/>
    <n v="0.04"/>
    <n v="89.74"/>
    <n v="2153.6999999999998"/>
    <n v="1525.54"/>
    <n v="628.16"/>
  </r>
  <r>
    <n v="200791"/>
    <n v="2635"/>
    <x v="3"/>
    <x v="2"/>
    <x v="3"/>
    <s v="Shirt"/>
    <x v="600"/>
    <d v="2024-08-01T00:00:00"/>
    <d v="2024-08-20T00:00:00"/>
    <n v="24"/>
    <n v="5"/>
    <n v="8"/>
    <n v="289.43"/>
    <n v="2315.44"/>
    <n v="0.12"/>
    <n v="277.85000000000002"/>
    <n v="2037.59"/>
    <n v="1736.58"/>
    <n v="301.01"/>
  </r>
  <r>
    <n v="200792"/>
    <n v="1820"/>
    <x v="1"/>
    <x v="1"/>
    <x v="2"/>
    <s v="Tablet"/>
    <x v="467"/>
    <d v="2024-06-24T00:00:00"/>
    <d v="2024-07-07T00:00:00"/>
    <n v="14"/>
    <n v="1"/>
    <n v="4"/>
    <n v="436.29"/>
    <n v="1745.16"/>
    <n v="0.04"/>
    <n v="69.81"/>
    <n v="1675.35"/>
    <n v="1064.55"/>
    <n v="610.79999999999995"/>
  </r>
  <r>
    <n v="200793"/>
    <n v="3929"/>
    <x v="0"/>
    <x v="1"/>
    <x v="3"/>
    <s v="Shoes"/>
    <x v="683"/>
    <d v="2024-02-07T00:00:00"/>
    <d v="2024-03-01T00:00:00"/>
    <n v="27"/>
    <n v="4"/>
    <n v="7"/>
    <n v="227.23"/>
    <n v="1590.61"/>
    <n v="0.08"/>
    <n v="127.25"/>
    <n v="1463.36"/>
    <n v="1033.9000000000001"/>
    <n v="429.46"/>
  </r>
  <r>
    <n v="200794"/>
    <n v="4237"/>
    <x v="2"/>
    <x v="0"/>
    <x v="1"/>
    <s v="Pasta"/>
    <x v="681"/>
    <d v="2024-10-31T00:00:00"/>
    <d v="2024-11-22T00:00:00"/>
    <n v="23"/>
    <n v="1"/>
    <n v="3"/>
    <n v="342.09"/>
    <n v="1026.27"/>
    <n v="0.04"/>
    <n v="41.05"/>
    <n v="985.22"/>
    <n v="718.39"/>
    <n v="266.83"/>
  </r>
  <r>
    <n v="200795"/>
    <n v="2248"/>
    <x v="3"/>
    <x v="0"/>
    <x v="1"/>
    <s v="Beverage"/>
    <x v="509"/>
    <d v="2024-01-30T00:00:00"/>
    <d v="2024-02-23T00:00:00"/>
    <n v="27"/>
    <n v="3"/>
    <n v="9"/>
    <n v="591.76"/>
    <n v="5325.84"/>
    <n v="0.16"/>
    <n v="852.13"/>
    <n v="4473.71"/>
    <n v="3515.05"/>
    <n v="958.66"/>
  </r>
  <r>
    <n v="200796"/>
    <n v="2411"/>
    <x v="1"/>
    <x v="1"/>
    <x v="0"/>
    <s v="Sofa"/>
    <x v="406"/>
    <d v="2024-03-16T00:00:00"/>
    <d v="2024-04-07T00:00:00"/>
    <n v="27"/>
    <n v="5"/>
    <n v="2"/>
    <n v="796.46"/>
    <n v="1592.92"/>
    <n v="0.13"/>
    <n v="207.08"/>
    <n v="1385.84"/>
    <n v="1019.47"/>
    <n v="366.37"/>
  </r>
  <r>
    <n v="200797"/>
    <n v="4552"/>
    <x v="1"/>
    <x v="2"/>
    <x v="2"/>
    <s v="Tablet"/>
    <x v="463"/>
    <d v="2024-06-22T00:00:00"/>
    <d v="2024-06-20T00:00:00"/>
    <n v="2"/>
    <n v="4"/>
    <n v="2"/>
    <n v="27.24"/>
    <n v="54.48"/>
    <n v="0.06"/>
    <n v="3.27"/>
    <n v="51.21"/>
    <n v="38.14"/>
    <n v="13.07"/>
  </r>
  <r>
    <n v="200798"/>
    <n v="4908"/>
    <x v="2"/>
    <x v="2"/>
    <x v="1"/>
    <s v="Snacks"/>
    <x v="469"/>
    <d v="2024-08-16T00:00:00"/>
    <d v="2024-09-06T00:00:00"/>
    <n v="24"/>
    <n v="3"/>
    <n v="4"/>
    <n v="498.96"/>
    <n v="1995.84"/>
    <n v="0.05"/>
    <n v="99.79"/>
    <n v="1896.05"/>
    <n v="1297.3"/>
    <n v="598.75"/>
  </r>
  <r>
    <n v="200799"/>
    <n v="1750"/>
    <x v="3"/>
    <x v="0"/>
    <x v="1"/>
    <s v="Snacks"/>
    <x v="385"/>
    <d v="2024-10-27T00:00:00"/>
    <d v="2024-11-06T00:00:00"/>
    <n v="14"/>
    <n v="4"/>
    <n v="12"/>
    <n v="792.51"/>
    <n v="9510.1200000000008"/>
    <n v="7.0000000000000007E-2"/>
    <n v="665.71"/>
    <n v="8844.41"/>
    <n v="5991.38"/>
    <n v="2853.03"/>
  </r>
  <r>
    <n v="200800"/>
    <n v="3791"/>
    <x v="0"/>
    <x v="0"/>
    <x v="0"/>
    <s v="Sofa"/>
    <x v="597"/>
    <d v="2024-02-22T00:00:00"/>
    <d v="2024-03-04T00:00:00"/>
    <n v="12"/>
    <n v="1"/>
    <n v="1"/>
    <n v="790.16"/>
    <n v="790.16"/>
    <n v="7.0000000000000007E-2"/>
    <n v="55.31"/>
    <n v="734.85"/>
    <n v="474.1"/>
    <n v="260.75"/>
  </r>
  <r>
    <n v="200801"/>
    <n v="2393"/>
    <x v="1"/>
    <x v="2"/>
    <x v="1"/>
    <s v="Snacks"/>
    <x v="663"/>
    <d v="2024-08-22T00:00:00"/>
    <d v="2024-09-10T00:00:00"/>
    <n v="23"/>
    <n v="4"/>
    <n v="1"/>
    <n v="352.5"/>
    <n v="352.5"/>
    <n v="0.09"/>
    <n v="31.72"/>
    <n v="320.77"/>
    <n v="207.98"/>
    <n v="112.79"/>
  </r>
  <r>
    <n v="200802"/>
    <n v="4114"/>
    <x v="3"/>
    <x v="1"/>
    <x v="1"/>
    <s v="Pasta"/>
    <x v="591"/>
    <d v="2024-12-05T00:00:00"/>
    <d v="2024-12-30T00:00:00"/>
    <n v="27"/>
    <n v="2"/>
    <n v="13"/>
    <n v="625.94000000000005"/>
    <n v="8137.22"/>
    <n v="0.06"/>
    <n v="488.23"/>
    <n v="7648.99"/>
    <n v="5451.94"/>
    <n v="2197.0500000000002"/>
  </r>
  <r>
    <n v="200803"/>
    <n v="4633"/>
    <x v="1"/>
    <x v="2"/>
    <x v="1"/>
    <s v="Pasta"/>
    <x v="456"/>
    <d v="2024-05-15T00:00:00"/>
    <d v="2024-06-02T00:00:00"/>
    <n v="22"/>
    <n v="4"/>
    <n v="13"/>
    <n v="453.5"/>
    <n v="5895.5"/>
    <n v="0.12"/>
    <n v="707.46"/>
    <n v="5188.04"/>
    <n v="4008.94"/>
    <n v="1179.0999999999999"/>
  </r>
  <r>
    <n v="200804"/>
    <n v="2187"/>
    <x v="0"/>
    <x v="1"/>
    <x v="3"/>
    <s v="Jeans"/>
    <x v="507"/>
    <d v="2024-06-08T00:00:00"/>
    <d v="2024-06-10T00:00:00"/>
    <n v="4"/>
    <n v="2"/>
    <n v="8"/>
    <n v="652.29999999999995"/>
    <n v="5218.3999999999996"/>
    <n v="0.06"/>
    <n v="313.10000000000002"/>
    <n v="4905.3"/>
    <n v="3235.41"/>
    <n v="1669.89"/>
  </r>
  <r>
    <n v="200805"/>
    <n v="2142"/>
    <x v="1"/>
    <x v="0"/>
    <x v="0"/>
    <s v="Table"/>
    <x v="497"/>
    <d v="2024-05-08T00:00:00"/>
    <d v="2024-05-16T00:00:00"/>
    <n v="13"/>
    <n v="5"/>
    <n v="5"/>
    <n v="242.73"/>
    <n v="1213.6500000000001"/>
    <n v="0.16"/>
    <n v="194.18"/>
    <n v="1019.47"/>
    <n v="728.19"/>
    <n v="291.27999999999997"/>
  </r>
  <r>
    <n v="200806"/>
    <n v="4347"/>
    <x v="3"/>
    <x v="2"/>
    <x v="3"/>
    <s v="Jacket"/>
    <x v="570"/>
    <d v="2024-06-29T00:00:00"/>
    <d v="2024-06-27T00:00:00"/>
    <n v="3"/>
    <n v="5"/>
    <n v="7"/>
    <n v="9.6"/>
    <n v="67.2"/>
    <n v="0.1"/>
    <n v="6.72"/>
    <n v="60.48"/>
    <n v="47.04"/>
    <n v="13.44"/>
  </r>
  <r>
    <n v="200807"/>
    <n v="1274"/>
    <x v="3"/>
    <x v="0"/>
    <x v="3"/>
    <s v="Shirt"/>
    <x v="612"/>
    <d v="2024-01-13T00:00:00"/>
    <d v="2024-01-19T00:00:00"/>
    <n v="11"/>
    <n v="5"/>
    <n v="9"/>
    <n v="36.57"/>
    <n v="329.13"/>
    <n v="0.2"/>
    <n v="65.83"/>
    <n v="263.3"/>
    <n v="207.35"/>
    <n v="55.95"/>
  </r>
  <r>
    <n v="200808"/>
    <n v="2127"/>
    <x v="2"/>
    <x v="1"/>
    <x v="0"/>
    <s v="Lamp"/>
    <x v="527"/>
    <d v="2024-10-01T00:00:00"/>
    <d v="2024-10-08T00:00:00"/>
    <n v="8"/>
    <n v="1"/>
    <n v="13"/>
    <n v="683.7"/>
    <n v="8888.1"/>
    <n v="0.17"/>
    <n v="1510.98"/>
    <n v="7377.12"/>
    <n v="5332.86"/>
    <n v="2044.26"/>
  </r>
  <r>
    <n v="200809"/>
    <n v="3472"/>
    <x v="0"/>
    <x v="0"/>
    <x v="2"/>
    <s v="Laptop"/>
    <x v="554"/>
    <d v="2024-04-04T00:00:00"/>
    <d v="2024-04-28T00:00:00"/>
    <n v="25"/>
    <n v="1"/>
    <n v="7"/>
    <n v="193.04"/>
    <n v="1351.28"/>
    <n v="0.12"/>
    <n v="162.15"/>
    <n v="1189.1300000000001"/>
    <n v="770.23"/>
    <n v="418.9"/>
  </r>
  <r>
    <n v="200810"/>
    <n v="3968"/>
    <x v="1"/>
    <x v="1"/>
    <x v="1"/>
    <s v="Beverage"/>
    <x v="492"/>
    <d v="2024-07-01T00:00:00"/>
    <d v="2024-07-26T00:00:00"/>
    <n v="29"/>
    <n v="4"/>
    <n v="6"/>
    <n v="347.84"/>
    <n v="2087.04"/>
    <n v="0.11"/>
    <n v="229.57"/>
    <n v="1857.47"/>
    <n v="1231.3499999999999"/>
    <n v="626.12"/>
  </r>
  <r>
    <n v="200811"/>
    <n v="2481"/>
    <x v="3"/>
    <x v="1"/>
    <x v="2"/>
    <s v="Laptop"/>
    <x v="491"/>
    <d v="2024-04-04T00:00:00"/>
    <d v="2024-04-22T00:00:00"/>
    <n v="20"/>
    <n v="2"/>
    <n v="3"/>
    <n v="144.41"/>
    <n v="433.23"/>
    <n v="0.05"/>
    <n v="21.66"/>
    <n v="411.57"/>
    <n v="290.26"/>
    <n v="121.31"/>
  </r>
  <r>
    <n v="200812"/>
    <n v="4541"/>
    <x v="3"/>
    <x v="0"/>
    <x v="2"/>
    <s v="Laptop"/>
    <x v="408"/>
    <d v="2024-09-25T00:00:00"/>
    <d v="2024-10-09T00:00:00"/>
    <n v="18"/>
    <n v="4"/>
    <n v="9"/>
    <n v="614.29999999999995"/>
    <n v="5528.7"/>
    <n v="0.17"/>
    <n v="939.88"/>
    <n v="4588.82"/>
    <n v="3538.37"/>
    <n v="1050.45"/>
  </r>
  <r>
    <n v="200813"/>
    <n v="3187"/>
    <x v="2"/>
    <x v="0"/>
    <x v="2"/>
    <s v="Laptop"/>
    <x v="606"/>
    <d v="2024-09-05T00:00:00"/>
    <d v="2024-09-14T00:00:00"/>
    <n v="10"/>
    <n v="1"/>
    <n v="11"/>
    <n v="387.72"/>
    <n v="4264.92"/>
    <n v="0.14000000000000001"/>
    <n v="597.09"/>
    <n v="3667.83"/>
    <n v="2473.65"/>
    <n v="1194.18"/>
  </r>
  <r>
    <n v="200814"/>
    <n v="1381"/>
    <x v="2"/>
    <x v="2"/>
    <x v="3"/>
    <s v="Shoes"/>
    <x v="684"/>
    <d v="2024-01-11T00:00:00"/>
    <d v="2024-01-13T00:00:00"/>
    <n v="7"/>
    <n v="5"/>
    <n v="3"/>
    <n v="587.04999999999995"/>
    <n v="1761.15"/>
    <n v="0.11"/>
    <n v="193.73"/>
    <n v="1567.42"/>
    <n v="1109.52"/>
    <n v="457.9"/>
  </r>
  <r>
    <n v="200815"/>
    <n v="2331"/>
    <x v="3"/>
    <x v="0"/>
    <x v="1"/>
    <s v="Beverage"/>
    <x v="434"/>
    <d v="2024-08-09T00:00:00"/>
    <d v="2024-09-05T00:00:00"/>
    <n v="29"/>
    <n v="2"/>
    <n v="13"/>
    <n v="669.79"/>
    <n v="8707.27"/>
    <n v="0.05"/>
    <n v="435.36"/>
    <n v="8271.91"/>
    <n v="6008.02"/>
    <n v="2263.89"/>
  </r>
  <r>
    <n v="200816"/>
    <n v="4365"/>
    <x v="0"/>
    <x v="0"/>
    <x v="2"/>
    <s v="Tablet"/>
    <x v="565"/>
    <d v="2024-03-18T00:00:00"/>
    <d v="2024-03-31T00:00:00"/>
    <n v="16"/>
    <n v="3"/>
    <n v="9"/>
    <n v="608"/>
    <n v="5472"/>
    <n v="0.11"/>
    <n v="601.91999999999996"/>
    <n v="4870.08"/>
    <n v="3556.8"/>
    <n v="1313.28"/>
  </r>
  <r>
    <n v="200817"/>
    <n v="3610"/>
    <x v="2"/>
    <x v="2"/>
    <x v="2"/>
    <s v="Phone"/>
    <x v="493"/>
    <d v="2024-10-03T00:00:00"/>
    <d v="2024-10-23T00:00:00"/>
    <n v="22"/>
    <n v="2"/>
    <n v="9"/>
    <n v="384.73"/>
    <n v="3462.57"/>
    <n v="0.04"/>
    <n v="138.5"/>
    <n v="3324.07"/>
    <n v="2146.79"/>
    <n v="1177.28"/>
  </r>
  <r>
    <n v="200818"/>
    <n v="1611"/>
    <x v="2"/>
    <x v="2"/>
    <x v="3"/>
    <s v="Jeans"/>
    <x v="649"/>
    <d v="2024-10-18T00:00:00"/>
    <d v="2024-11-09T00:00:00"/>
    <n v="23"/>
    <n v="1"/>
    <n v="7"/>
    <n v="336.29"/>
    <n v="2354.0300000000002"/>
    <n v="7.0000000000000007E-2"/>
    <n v="164.78"/>
    <n v="2189.25"/>
    <n v="1624.28"/>
    <n v="564.97"/>
  </r>
  <r>
    <n v="200819"/>
    <n v="1878"/>
    <x v="3"/>
    <x v="1"/>
    <x v="1"/>
    <s v="Rice"/>
    <x v="510"/>
    <d v="2024-10-01T00:00:00"/>
    <d v="2024-09-29T00:00:00"/>
    <n v="2"/>
    <n v="4"/>
    <n v="8"/>
    <n v="762.18"/>
    <n v="6097.44"/>
    <n v="0.16"/>
    <n v="975.59"/>
    <n v="5121.8500000000004"/>
    <n v="3658.46"/>
    <n v="1463.39"/>
  </r>
  <r>
    <n v="200820"/>
    <n v="3492"/>
    <x v="3"/>
    <x v="0"/>
    <x v="0"/>
    <s v="Cookware"/>
    <x v="538"/>
    <d v="2024-07-07T00:00:00"/>
    <d v="2024-07-29T00:00:00"/>
    <n v="25"/>
    <n v="3"/>
    <n v="13"/>
    <n v="513.27"/>
    <n v="6672.51"/>
    <n v="0.02"/>
    <n v="133.44999999999999"/>
    <n v="6539.06"/>
    <n v="4403.8599999999997"/>
    <n v="2135.1999999999998"/>
  </r>
  <r>
    <n v="200821"/>
    <n v="1290"/>
    <x v="0"/>
    <x v="2"/>
    <x v="2"/>
    <s v="Tablet"/>
    <x v="549"/>
    <d v="2024-06-11T00:00:00"/>
    <d v="2024-07-04T00:00:00"/>
    <n v="25"/>
    <n v="2"/>
    <n v="6"/>
    <n v="650.03"/>
    <n v="3900.18"/>
    <n v="0.13"/>
    <n v="507.02"/>
    <n v="3393.16"/>
    <n v="2574.12"/>
    <n v="819.04"/>
  </r>
  <r>
    <n v="200822"/>
    <n v="4435"/>
    <x v="1"/>
    <x v="0"/>
    <x v="2"/>
    <s v="Headphones"/>
    <x v="413"/>
    <d v="2024-07-11T00:00:00"/>
    <d v="2024-08-07T00:00:00"/>
    <n v="28"/>
    <n v="1"/>
    <n v="12"/>
    <n v="15.26"/>
    <n v="183.12"/>
    <n v="7.0000000000000007E-2"/>
    <n v="12.82"/>
    <n v="170.3"/>
    <n v="108.04"/>
    <n v="62.26"/>
  </r>
  <r>
    <n v="200823"/>
    <n v="4067"/>
    <x v="3"/>
    <x v="2"/>
    <x v="1"/>
    <s v="Pasta"/>
    <x v="654"/>
    <d v="2024-02-23T00:00:00"/>
    <d v="2024-03-01T00:00:00"/>
    <n v="10"/>
    <n v="3"/>
    <n v="11"/>
    <n v="635.62"/>
    <n v="6991.82"/>
    <n v="0.09"/>
    <n v="629.26"/>
    <n v="6362.56"/>
    <n v="4125.17"/>
    <n v="2237.39"/>
  </r>
  <r>
    <n v="200824"/>
    <n v="4329"/>
    <x v="3"/>
    <x v="2"/>
    <x v="0"/>
    <s v="Table"/>
    <x v="363"/>
    <d v="2024-09-17T00:00:00"/>
    <d v="2024-10-02T00:00:00"/>
    <n v="17"/>
    <n v="2"/>
    <n v="10"/>
    <n v="385.99"/>
    <n v="3859.9"/>
    <n v="0.15"/>
    <n v="578.98"/>
    <n v="3280.92"/>
    <n v="2586.13"/>
    <n v="694.79"/>
  </r>
  <r>
    <n v="200825"/>
    <n v="2273"/>
    <x v="2"/>
    <x v="1"/>
    <x v="3"/>
    <s v="Jacket"/>
    <x v="661"/>
    <d v="2024-12-30T00:00:00"/>
    <d v="2025-01-06T00:00:00"/>
    <n v="11"/>
    <n v="4"/>
    <n v="2"/>
    <n v="579.45000000000005"/>
    <n v="1158.9000000000001"/>
    <n v="0.05"/>
    <n v="57.95"/>
    <n v="1100.96"/>
    <n v="753.29"/>
    <n v="347.67"/>
  </r>
  <r>
    <n v="200826"/>
    <n v="3477"/>
    <x v="2"/>
    <x v="1"/>
    <x v="2"/>
    <s v="Tablet"/>
    <x v="412"/>
    <d v="2024-02-11T00:00:00"/>
    <d v="2024-03-04T00:00:00"/>
    <n v="23"/>
    <n v="1"/>
    <n v="7"/>
    <n v="591.51"/>
    <n v="4140.57"/>
    <n v="0.05"/>
    <n v="207.03"/>
    <n v="3933.54"/>
    <n v="2484.34"/>
    <n v="1449.2"/>
  </r>
  <r>
    <n v="200827"/>
    <n v="4749"/>
    <x v="2"/>
    <x v="2"/>
    <x v="2"/>
    <s v="Headphones"/>
    <x v="591"/>
    <d v="2024-12-07T00:00:00"/>
    <d v="2024-12-10T00:00:00"/>
    <n v="7"/>
    <n v="4"/>
    <n v="1"/>
    <n v="284.64"/>
    <n v="284.64"/>
    <n v="0.17"/>
    <n v="48.39"/>
    <n v="236.25"/>
    <n v="176.48"/>
    <n v="59.77"/>
  </r>
  <r>
    <n v="200828"/>
    <n v="4297"/>
    <x v="1"/>
    <x v="0"/>
    <x v="1"/>
    <s v="Beverage"/>
    <x v="378"/>
    <d v="2024-02-01T00:00:00"/>
    <d v="2024-02-05T00:00:00"/>
    <n v="6"/>
    <n v="2"/>
    <n v="4"/>
    <n v="508.42"/>
    <n v="2033.68"/>
    <n v="0.17"/>
    <n v="345.73"/>
    <n v="1687.95"/>
    <n v="1321.89"/>
    <n v="366.06"/>
  </r>
  <r>
    <n v="200829"/>
    <n v="3847"/>
    <x v="3"/>
    <x v="0"/>
    <x v="3"/>
    <s v="Shirt"/>
    <x v="685"/>
    <d v="2024-08-26T00:00:00"/>
    <d v="2024-08-30T00:00:00"/>
    <n v="7"/>
    <n v="3"/>
    <n v="7"/>
    <n v="344.05"/>
    <n v="2408.35"/>
    <n v="0.15"/>
    <n v="361.25"/>
    <n v="2047.1"/>
    <n v="1565.43"/>
    <n v="481.67"/>
  </r>
  <r>
    <n v="200830"/>
    <n v="4953"/>
    <x v="0"/>
    <x v="0"/>
    <x v="3"/>
    <s v="Shirt"/>
    <x v="405"/>
    <d v="2024-05-21T00:00:00"/>
    <d v="2024-05-31T00:00:00"/>
    <n v="14"/>
    <n v="4"/>
    <n v="5"/>
    <n v="712.06"/>
    <n v="3560.3"/>
    <n v="0.05"/>
    <n v="178.02"/>
    <n v="3382.28"/>
    <n v="2421"/>
    <n v="961.28"/>
  </r>
  <r>
    <n v="200831"/>
    <n v="2162"/>
    <x v="3"/>
    <x v="1"/>
    <x v="0"/>
    <s v="Sofa"/>
    <x v="644"/>
    <d v="2024-10-06T00:00:00"/>
    <d v="2024-10-14T00:00:00"/>
    <n v="11"/>
    <n v="3"/>
    <n v="9"/>
    <n v="498.72"/>
    <n v="4488.4799999999996"/>
    <n v="0.11"/>
    <n v="493.73"/>
    <n v="3994.75"/>
    <n v="3321.48"/>
    <n v="673.27"/>
  </r>
  <r>
    <n v="200832"/>
    <n v="2432"/>
    <x v="3"/>
    <x v="0"/>
    <x v="3"/>
    <s v="Jeans"/>
    <x v="686"/>
    <d v="2024-03-06T00:00:00"/>
    <d v="2024-03-27T00:00:00"/>
    <n v="25"/>
    <n v="4"/>
    <n v="2"/>
    <n v="220.44"/>
    <n v="440.88"/>
    <n v="0.15"/>
    <n v="66.13"/>
    <n v="374.75"/>
    <n v="277.75"/>
    <n v="97"/>
  </r>
  <r>
    <n v="200833"/>
    <n v="4097"/>
    <x v="0"/>
    <x v="0"/>
    <x v="2"/>
    <s v="Tablet"/>
    <x v="409"/>
    <d v="2024-02-17T00:00:00"/>
    <d v="2024-02-29T00:00:00"/>
    <n v="13"/>
    <n v="1"/>
    <n v="4"/>
    <n v="725.78"/>
    <n v="2903.12"/>
    <n v="0.11"/>
    <n v="319.33999999999997"/>
    <n v="2583.7800000000002"/>
    <n v="1770.9"/>
    <n v="812.88"/>
  </r>
  <r>
    <n v="200834"/>
    <n v="2191"/>
    <x v="0"/>
    <x v="1"/>
    <x v="2"/>
    <s v="Tablet"/>
    <x v="520"/>
    <d v="2024-05-06T00:00:00"/>
    <d v="2024-05-14T00:00:00"/>
    <n v="9"/>
    <n v="1"/>
    <n v="12"/>
    <n v="45.87"/>
    <n v="550.44000000000005"/>
    <n v="0.1"/>
    <n v="55.04"/>
    <n v="495.4"/>
    <n v="291.73"/>
    <n v="203.67"/>
  </r>
  <r>
    <n v="200835"/>
    <n v="1697"/>
    <x v="2"/>
    <x v="2"/>
    <x v="3"/>
    <s v="Shoes"/>
    <x v="638"/>
    <d v="2024-09-28T00:00:00"/>
    <d v="2024-09-27T00:00:00"/>
    <n v="2"/>
    <n v="3"/>
    <n v="5"/>
    <n v="510.79"/>
    <n v="2553.9499999999998"/>
    <n v="0.06"/>
    <n v="153.24"/>
    <n v="2400.71"/>
    <n v="1506.83"/>
    <n v="893.88"/>
  </r>
  <r>
    <n v="200836"/>
    <n v="1711"/>
    <x v="3"/>
    <x v="2"/>
    <x v="1"/>
    <s v="Pasta"/>
    <x v="546"/>
    <d v="2024-05-21T00:00:00"/>
    <d v="2024-06-03T00:00:00"/>
    <n v="16"/>
    <n v="3"/>
    <n v="12"/>
    <n v="556.58000000000004"/>
    <n v="6678.96"/>
    <n v="0.12"/>
    <n v="801.48"/>
    <n v="5877.48"/>
    <n v="4408.1099999999997"/>
    <n v="1469.37"/>
  </r>
  <r>
    <n v="200837"/>
    <n v="1533"/>
    <x v="3"/>
    <x v="2"/>
    <x v="0"/>
    <s v="Table"/>
    <x v="672"/>
    <d v="2024-08-06T00:00:00"/>
    <d v="2024-08-20T00:00:00"/>
    <n v="18"/>
    <n v="4"/>
    <n v="9"/>
    <n v="218.44"/>
    <n v="1965.96"/>
    <n v="0.16"/>
    <n v="314.55"/>
    <n v="1651.41"/>
    <n v="1179.58"/>
    <n v="471.83"/>
  </r>
  <r>
    <n v="200838"/>
    <n v="4174"/>
    <x v="1"/>
    <x v="0"/>
    <x v="1"/>
    <s v="Beverage"/>
    <x v="545"/>
    <d v="2024-05-29T00:00:00"/>
    <d v="2024-06-05T00:00:00"/>
    <n v="11"/>
    <n v="4"/>
    <n v="4"/>
    <n v="697.53"/>
    <n v="2790.12"/>
    <n v="0.13"/>
    <n v="362.72"/>
    <n v="2427.4"/>
    <n v="1562.47"/>
    <n v="864.93"/>
  </r>
  <r>
    <n v="200839"/>
    <n v="1825"/>
    <x v="0"/>
    <x v="2"/>
    <x v="0"/>
    <s v="Cookware"/>
    <x v="687"/>
    <d v="2024-01-13T00:00:00"/>
    <d v="2024-02-05T00:00:00"/>
    <n v="24"/>
    <n v="1"/>
    <n v="12"/>
    <n v="443.74"/>
    <n v="5324.88"/>
    <n v="0.16"/>
    <n v="851.98"/>
    <n v="4472.8999999999996"/>
    <n v="3461.17"/>
    <n v="1011.73"/>
  </r>
  <r>
    <n v="200840"/>
    <n v="3494"/>
    <x v="3"/>
    <x v="1"/>
    <x v="2"/>
    <s v="Tablet"/>
    <x v="683"/>
    <d v="2024-02-06T00:00:00"/>
    <d v="2024-02-22T00:00:00"/>
    <n v="19"/>
    <n v="3"/>
    <n v="12"/>
    <n v="532.95000000000005"/>
    <n v="6395.4"/>
    <n v="0.08"/>
    <n v="511.63"/>
    <n v="5883.77"/>
    <n v="3773.29"/>
    <n v="2110.48"/>
  </r>
  <r>
    <n v="200841"/>
    <n v="1778"/>
    <x v="2"/>
    <x v="0"/>
    <x v="0"/>
    <s v="Cookware"/>
    <x v="684"/>
    <d v="2024-01-11T00:00:00"/>
    <d v="2024-01-16T00:00:00"/>
    <n v="10"/>
    <n v="5"/>
    <n v="2"/>
    <n v="126.56"/>
    <n v="253.12"/>
    <n v="0.02"/>
    <n v="5.0599999999999996"/>
    <n v="248.06"/>
    <n v="167.06"/>
    <n v="81"/>
  </r>
  <r>
    <n v="200842"/>
    <n v="1331"/>
    <x v="0"/>
    <x v="1"/>
    <x v="3"/>
    <s v="Shoes"/>
    <x v="427"/>
    <d v="2025-01-01T00:00:00"/>
    <d v="2025-01-13T00:00:00"/>
    <n v="15"/>
    <n v="3"/>
    <n v="13"/>
    <n v="306.67"/>
    <n v="3986.71"/>
    <n v="0.09"/>
    <n v="358.8"/>
    <n v="3627.91"/>
    <n v="2392.0300000000002"/>
    <n v="1235.8800000000001"/>
  </r>
  <r>
    <n v="200843"/>
    <n v="2186"/>
    <x v="1"/>
    <x v="1"/>
    <x v="3"/>
    <s v="Jacket"/>
    <x v="499"/>
    <d v="2024-04-13T00:00:00"/>
    <d v="2024-05-03T00:00:00"/>
    <n v="24"/>
    <n v="4"/>
    <n v="5"/>
    <n v="203.99"/>
    <n v="1019.95"/>
    <n v="0.06"/>
    <n v="61.2"/>
    <n v="958.75"/>
    <n v="713.96"/>
    <n v="244.79"/>
  </r>
  <r>
    <n v="200844"/>
    <n v="4014"/>
    <x v="3"/>
    <x v="1"/>
    <x v="0"/>
    <s v="Lamp"/>
    <x v="382"/>
    <d v="2025-01-05T00:00:00"/>
    <d v="2025-01-30T00:00:00"/>
    <n v="30"/>
    <n v="5"/>
    <n v="7"/>
    <n v="397.17"/>
    <n v="2780.19"/>
    <n v="0.06"/>
    <n v="166.81"/>
    <n v="2613.38"/>
    <n v="1723.72"/>
    <n v="889.66"/>
  </r>
  <r>
    <n v="200845"/>
    <n v="2657"/>
    <x v="0"/>
    <x v="2"/>
    <x v="2"/>
    <s v="Tablet"/>
    <x v="621"/>
    <d v="2024-09-13T00:00:00"/>
    <d v="2024-10-08T00:00:00"/>
    <n v="27"/>
    <n v="2"/>
    <n v="2"/>
    <n v="580.22"/>
    <n v="1160.44"/>
    <n v="0.02"/>
    <n v="23.21"/>
    <n v="1137.23"/>
    <n v="684.66"/>
    <n v="452.57"/>
  </r>
  <r>
    <n v="200846"/>
    <n v="1223"/>
    <x v="3"/>
    <x v="2"/>
    <x v="0"/>
    <s v="Cookware"/>
    <x v="489"/>
    <d v="2024-06-22T00:00:00"/>
    <d v="2024-07-13T00:00:00"/>
    <n v="26"/>
    <n v="5"/>
    <n v="12"/>
    <n v="569.19000000000005"/>
    <n v="6830.28"/>
    <n v="0.09"/>
    <n v="614.73"/>
    <n v="6215.55"/>
    <n v="4507.9799999999996"/>
    <n v="1707.57"/>
  </r>
  <r>
    <n v="200847"/>
    <n v="3048"/>
    <x v="1"/>
    <x v="1"/>
    <x v="2"/>
    <s v="Tablet"/>
    <x v="472"/>
    <d v="2024-07-03T00:00:00"/>
    <d v="2024-07-27T00:00:00"/>
    <n v="29"/>
    <n v="5"/>
    <n v="11"/>
    <n v="68.180000000000007"/>
    <n v="749.98"/>
    <n v="0.14000000000000001"/>
    <n v="105"/>
    <n v="644.98"/>
    <n v="502.49"/>
    <n v="142.49"/>
  </r>
  <r>
    <n v="200848"/>
    <n v="4685"/>
    <x v="2"/>
    <x v="1"/>
    <x v="2"/>
    <s v="Tablet"/>
    <x v="685"/>
    <d v="2024-08-26T00:00:00"/>
    <d v="2024-09-11T00:00:00"/>
    <n v="19"/>
    <n v="3"/>
    <n v="11"/>
    <n v="761.46"/>
    <n v="8376.06"/>
    <n v="0.08"/>
    <n v="670.08"/>
    <n v="7705.98"/>
    <n v="5360.68"/>
    <n v="2345.3000000000002"/>
  </r>
  <r>
    <n v="200849"/>
    <n v="2142"/>
    <x v="0"/>
    <x v="1"/>
    <x v="0"/>
    <s v="Table"/>
    <x v="640"/>
    <d v="2024-12-05T00:00:00"/>
    <d v="2024-12-24T00:00:00"/>
    <n v="20"/>
    <n v="1"/>
    <n v="9"/>
    <n v="185.47"/>
    <n v="1669.23"/>
    <n v="0"/>
    <n v="0"/>
    <n v="1669.23"/>
    <n v="1018.23"/>
    <n v="651"/>
  </r>
  <r>
    <n v="200850"/>
    <n v="1852"/>
    <x v="0"/>
    <x v="1"/>
    <x v="1"/>
    <s v="Beverage"/>
    <x v="572"/>
    <d v="2024-04-27T00:00:00"/>
    <d v="2024-04-30T00:00:00"/>
    <n v="8"/>
    <n v="5"/>
    <n v="4"/>
    <n v="360.19"/>
    <n v="1440.76"/>
    <n v="0.12"/>
    <n v="172.89"/>
    <n v="1267.8699999999999"/>
    <n v="922.09"/>
    <n v="345.78"/>
  </r>
  <r>
    <n v="200851"/>
    <n v="3028"/>
    <x v="2"/>
    <x v="2"/>
    <x v="0"/>
    <s v="Sofa"/>
    <x v="360"/>
    <d v="2024-05-04T00:00:00"/>
    <d v="2024-05-26T00:00:00"/>
    <n v="26"/>
    <n v="4"/>
    <n v="6"/>
    <n v="556.87"/>
    <n v="3341.22"/>
    <n v="0.12"/>
    <n v="400.95"/>
    <n v="2940.27"/>
    <n v="2272.0300000000002"/>
    <n v="668.24"/>
  </r>
  <r>
    <n v="200852"/>
    <n v="3336"/>
    <x v="0"/>
    <x v="1"/>
    <x v="3"/>
    <s v="Jacket"/>
    <x v="627"/>
    <d v="2024-06-30T00:00:00"/>
    <d v="2024-07-10T00:00:00"/>
    <n v="14"/>
    <n v="4"/>
    <n v="10"/>
    <n v="342.94"/>
    <n v="3429.4"/>
    <n v="0.17"/>
    <n v="583"/>
    <n v="2846.4"/>
    <n v="2194.8200000000002"/>
    <n v="651.58000000000004"/>
  </r>
  <r>
    <n v="200853"/>
    <n v="4126"/>
    <x v="3"/>
    <x v="2"/>
    <x v="1"/>
    <s v="Rice"/>
    <x v="474"/>
    <d v="2024-08-08T00:00:00"/>
    <d v="2024-08-13T00:00:00"/>
    <n v="9"/>
    <n v="4"/>
    <n v="12"/>
    <n v="472.85"/>
    <n v="5674.2"/>
    <n v="0.11"/>
    <n v="624.16"/>
    <n v="5050.04"/>
    <n v="3461.26"/>
    <n v="1588.78"/>
  </r>
  <r>
    <n v="200854"/>
    <n v="4272"/>
    <x v="1"/>
    <x v="1"/>
    <x v="3"/>
    <s v="Jeans"/>
    <x v="517"/>
    <d v="2024-02-10T00:00:00"/>
    <d v="2024-02-07T00:00:00"/>
    <n v="2"/>
    <n v="5"/>
    <n v="3"/>
    <n v="574.04999999999995"/>
    <n v="1722.15"/>
    <n v="0.09"/>
    <n v="154.99"/>
    <n v="1567.16"/>
    <n v="1171.06"/>
    <n v="396.1"/>
  </r>
  <r>
    <n v="200855"/>
    <n v="4059"/>
    <x v="0"/>
    <x v="1"/>
    <x v="1"/>
    <s v="Beverage"/>
    <x v="625"/>
    <d v="2024-03-08T00:00:00"/>
    <d v="2024-03-17T00:00:00"/>
    <n v="10"/>
    <n v="1"/>
    <n v="6"/>
    <n v="486.47"/>
    <n v="2918.82"/>
    <n v="0.16"/>
    <n v="467.01"/>
    <n v="2451.81"/>
    <n v="2043.17"/>
    <n v="408.64"/>
  </r>
  <r>
    <n v="200856"/>
    <n v="2808"/>
    <x v="0"/>
    <x v="0"/>
    <x v="3"/>
    <s v="Shirt"/>
    <x v="507"/>
    <d v="2024-06-11T00:00:00"/>
    <d v="2024-06-30T00:00:00"/>
    <n v="24"/>
    <n v="5"/>
    <n v="3"/>
    <n v="538.78"/>
    <n v="1616.34"/>
    <n v="0.08"/>
    <n v="129.31"/>
    <n v="1487.03"/>
    <n v="1115.27"/>
    <n v="371.76"/>
  </r>
  <r>
    <n v="200857"/>
    <n v="4613"/>
    <x v="2"/>
    <x v="2"/>
    <x v="0"/>
    <s v="Cookware"/>
    <x v="540"/>
    <d v="2024-03-13T00:00:00"/>
    <d v="2024-04-03T00:00:00"/>
    <n v="26"/>
    <n v="5"/>
    <n v="3"/>
    <n v="120.88"/>
    <n v="362.64"/>
    <n v="0.1"/>
    <n v="36.26"/>
    <n v="326.38"/>
    <n v="239.34"/>
    <n v="87.04"/>
  </r>
  <r>
    <n v="200858"/>
    <n v="1020"/>
    <x v="3"/>
    <x v="2"/>
    <x v="3"/>
    <s v="Jacket"/>
    <x v="651"/>
    <d v="2024-06-24T00:00:00"/>
    <d v="2024-06-25T00:00:00"/>
    <n v="6"/>
    <n v="5"/>
    <n v="14"/>
    <n v="218.14"/>
    <n v="3053.96"/>
    <n v="0.13"/>
    <n v="397.01"/>
    <n v="2656.95"/>
    <n v="1985.07"/>
    <n v="671.88"/>
  </r>
  <r>
    <n v="200859"/>
    <n v="2694"/>
    <x v="2"/>
    <x v="2"/>
    <x v="1"/>
    <s v="Rice"/>
    <x v="375"/>
    <d v="2024-10-28T00:00:00"/>
    <d v="2024-11-01T00:00:00"/>
    <n v="7"/>
    <n v="3"/>
    <n v="5"/>
    <n v="632.29"/>
    <n v="3161.45"/>
    <n v="7.0000000000000007E-2"/>
    <n v="221.3"/>
    <n v="2940.15"/>
    <n v="1865.26"/>
    <n v="1074.8900000000001"/>
  </r>
  <r>
    <n v="200860"/>
    <n v="2535"/>
    <x v="1"/>
    <x v="0"/>
    <x v="1"/>
    <s v="Snacks"/>
    <x v="484"/>
    <d v="2024-06-19T00:00:00"/>
    <d v="2024-06-26T00:00:00"/>
    <n v="10"/>
    <n v="3"/>
    <n v="12"/>
    <n v="68.98"/>
    <n v="827.76"/>
    <n v="0.13"/>
    <n v="107.61"/>
    <n v="720.15"/>
    <n v="554.6"/>
    <n v="165.55"/>
  </r>
  <r>
    <n v="200861"/>
    <n v="2955"/>
    <x v="0"/>
    <x v="2"/>
    <x v="3"/>
    <s v="Jacket"/>
    <x v="380"/>
    <d v="2024-11-19T00:00:00"/>
    <d v="2024-12-14T00:00:00"/>
    <n v="29"/>
    <n v="4"/>
    <n v="13"/>
    <n v="613.46"/>
    <n v="7974.98"/>
    <n v="0.14000000000000001"/>
    <n v="1116.5"/>
    <n v="6858.48"/>
    <n v="5582.49"/>
    <n v="1275.99"/>
  </r>
  <r>
    <n v="200862"/>
    <n v="3744"/>
    <x v="3"/>
    <x v="0"/>
    <x v="2"/>
    <s v="Tablet"/>
    <x v="666"/>
    <d v="2024-01-21T00:00:00"/>
    <d v="2024-02-10T00:00:00"/>
    <n v="21"/>
    <n v="1"/>
    <n v="13"/>
    <n v="530.14"/>
    <n v="6891.82"/>
    <n v="0.19"/>
    <n v="1309.45"/>
    <n v="5582.37"/>
    <n v="4272.93"/>
    <n v="1309.44"/>
  </r>
  <r>
    <n v="200863"/>
    <n v="2998"/>
    <x v="2"/>
    <x v="0"/>
    <x v="1"/>
    <s v="Snacks"/>
    <x v="490"/>
    <d v="2024-08-25T00:00:00"/>
    <d v="2024-08-31T00:00:00"/>
    <n v="7"/>
    <n v="1"/>
    <n v="3"/>
    <n v="404.85"/>
    <n v="1214.55"/>
    <n v="0.03"/>
    <n v="36.44"/>
    <n v="1178.1099999999999"/>
    <n v="838.04"/>
    <n v="340.07"/>
  </r>
  <r>
    <n v="200864"/>
    <n v="4200"/>
    <x v="2"/>
    <x v="0"/>
    <x v="1"/>
    <s v="Beverage"/>
    <x v="510"/>
    <d v="2024-10-02T00:00:00"/>
    <d v="2024-10-08T00:00:00"/>
    <n v="11"/>
    <n v="5"/>
    <n v="10"/>
    <n v="272.62"/>
    <n v="2726.2"/>
    <n v="0.06"/>
    <n v="163.57"/>
    <n v="2562.63"/>
    <n v="1853.82"/>
    <n v="708.81"/>
  </r>
  <r>
    <n v="200865"/>
    <n v="2568"/>
    <x v="3"/>
    <x v="1"/>
    <x v="0"/>
    <s v="Cookware"/>
    <x v="385"/>
    <d v="2024-10-24T00:00:00"/>
    <d v="2024-11-08T00:00:00"/>
    <n v="16"/>
    <n v="1"/>
    <n v="12"/>
    <n v="283.99"/>
    <n v="3407.88"/>
    <n v="0.18"/>
    <n v="613.41999999999996"/>
    <n v="2794.46"/>
    <n v="2010.65"/>
    <n v="783.81"/>
  </r>
  <r>
    <n v="200866"/>
    <n v="4974"/>
    <x v="1"/>
    <x v="0"/>
    <x v="0"/>
    <s v="Table"/>
    <x v="591"/>
    <d v="2024-12-05T00:00:00"/>
    <d v="2024-12-05T00:00:00"/>
    <n v="2"/>
    <n v="2"/>
    <n v="5"/>
    <n v="338.41"/>
    <n v="1692.05"/>
    <n v="0.15"/>
    <n v="253.81"/>
    <n v="1438.24"/>
    <n v="930.63"/>
    <n v="507.61"/>
  </r>
  <r>
    <n v="200867"/>
    <n v="2411"/>
    <x v="2"/>
    <x v="2"/>
    <x v="2"/>
    <s v="Tablet"/>
    <x v="673"/>
    <d v="2024-12-03T00:00:00"/>
    <d v="2024-12-28T00:00:00"/>
    <n v="30"/>
    <n v="5"/>
    <n v="7"/>
    <n v="20.98"/>
    <n v="146.86000000000001"/>
    <n v="0.05"/>
    <n v="7.34"/>
    <n v="139.52000000000001"/>
    <n v="91.05"/>
    <n v="48.47"/>
  </r>
  <r>
    <n v="200868"/>
    <n v="1926"/>
    <x v="2"/>
    <x v="0"/>
    <x v="2"/>
    <s v="Laptop"/>
    <x v="379"/>
    <d v="2024-11-16T00:00:00"/>
    <d v="2024-11-19T00:00:00"/>
    <n v="5"/>
    <n v="2"/>
    <n v="7"/>
    <n v="703.42"/>
    <n v="4923.9399999999996"/>
    <n v="7.0000000000000007E-2"/>
    <n v="344.68"/>
    <n v="4579.26"/>
    <n v="3397.52"/>
    <n v="1181.74"/>
  </r>
  <r>
    <n v="200869"/>
    <n v="1400"/>
    <x v="2"/>
    <x v="2"/>
    <x v="0"/>
    <s v="Cookware"/>
    <x v="354"/>
    <d v="2024-01-30T00:00:00"/>
    <d v="2024-02-01T00:00:00"/>
    <n v="4"/>
    <n v="2"/>
    <n v="8"/>
    <n v="154.63999999999999"/>
    <n v="1237.1199999999999"/>
    <n v="0.15"/>
    <n v="185.57"/>
    <n v="1051.55"/>
    <n v="754.64"/>
    <n v="296.91000000000003"/>
  </r>
  <r>
    <n v="200870"/>
    <n v="1238"/>
    <x v="0"/>
    <x v="0"/>
    <x v="3"/>
    <s v="Jacket"/>
    <x v="513"/>
    <d v="2024-12-01T00:00:00"/>
    <d v="2024-12-10T00:00:00"/>
    <n v="10"/>
    <n v="1"/>
    <n v="1"/>
    <n v="69.91"/>
    <n v="69.91"/>
    <n v="0.01"/>
    <n v="0.7"/>
    <n v="69.209999999999994"/>
    <n v="43.34"/>
    <n v="25.87"/>
  </r>
  <r>
    <n v="200871"/>
    <n v="2496"/>
    <x v="1"/>
    <x v="1"/>
    <x v="0"/>
    <s v="Table"/>
    <x v="364"/>
    <d v="2024-02-14T00:00:00"/>
    <d v="2024-02-18T00:00:00"/>
    <n v="6"/>
    <n v="2"/>
    <n v="5"/>
    <n v="437.87"/>
    <n v="2189.35"/>
    <n v="0.05"/>
    <n v="109.47"/>
    <n v="2079.88"/>
    <n v="1423.08"/>
    <n v="656.8"/>
  </r>
  <r>
    <n v="200872"/>
    <n v="1309"/>
    <x v="0"/>
    <x v="2"/>
    <x v="3"/>
    <s v="Shoes"/>
    <x v="611"/>
    <d v="2024-08-13T00:00:00"/>
    <d v="2024-09-07T00:00:00"/>
    <n v="26"/>
    <n v="1"/>
    <n v="2"/>
    <n v="46.46"/>
    <n v="92.92"/>
    <n v="0.12"/>
    <n v="11.15"/>
    <n v="81.77"/>
    <n v="75.27"/>
    <n v="6.5"/>
  </r>
  <r>
    <n v="200873"/>
    <n v="4046"/>
    <x v="3"/>
    <x v="2"/>
    <x v="3"/>
    <s v="Shoes"/>
    <x v="472"/>
    <d v="2024-07-03T00:00:00"/>
    <d v="2024-07-11T00:00:00"/>
    <n v="13"/>
    <n v="5"/>
    <n v="8"/>
    <n v="594.57000000000005"/>
    <n v="4756.5600000000004"/>
    <n v="0.14000000000000001"/>
    <n v="665.92"/>
    <n v="4090.64"/>
    <n v="2616.11"/>
    <n v="1474.53"/>
  </r>
  <r>
    <n v="200874"/>
    <n v="3422"/>
    <x v="2"/>
    <x v="2"/>
    <x v="3"/>
    <s v="Jeans"/>
    <x v="576"/>
    <d v="2024-12-19T00:00:00"/>
    <d v="2024-12-27T00:00:00"/>
    <n v="11"/>
    <n v="3"/>
    <n v="1"/>
    <n v="737.21"/>
    <n v="737.21"/>
    <n v="0.05"/>
    <n v="36.86"/>
    <n v="700.35"/>
    <n v="523.41999999999996"/>
    <n v="176.93"/>
  </r>
  <r>
    <n v="200875"/>
    <n v="2918"/>
    <x v="1"/>
    <x v="2"/>
    <x v="0"/>
    <s v="Cookware"/>
    <x v="378"/>
    <d v="2024-02-04T00:00:00"/>
    <d v="2024-02-09T00:00:00"/>
    <n v="10"/>
    <n v="5"/>
    <n v="2"/>
    <n v="19.2"/>
    <n v="38.4"/>
    <n v="0.01"/>
    <n v="0.38"/>
    <n v="38.020000000000003"/>
    <n v="24.19"/>
    <n v="13.83"/>
  </r>
  <r>
    <n v="200876"/>
    <n v="3828"/>
    <x v="0"/>
    <x v="1"/>
    <x v="3"/>
    <s v="Shirt"/>
    <x v="463"/>
    <d v="2024-06-23T00:00:00"/>
    <d v="2024-06-23T00:00:00"/>
    <n v="5"/>
    <n v="5"/>
    <n v="4"/>
    <n v="564.99"/>
    <n v="2259.96"/>
    <n v="0.08"/>
    <n v="180.8"/>
    <n v="2079.16"/>
    <n v="1559.37"/>
    <n v="519.79"/>
  </r>
  <r>
    <n v="200877"/>
    <n v="4688"/>
    <x v="3"/>
    <x v="1"/>
    <x v="0"/>
    <s v="Cookware"/>
    <x v="601"/>
    <d v="2024-10-17T00:00:00"/>
    <d v="2024-10-23T00:00:00"/>
    <n v="8"/>
    <n v="2"/>
    <n v="6"/>
    <n v="726.86"/>
    <n v="4361.16"/>
    <n v="0.11"/>
    <n v="479.73"/>
    <n v="3881.43"/>
    <n v="2660.31"/>
    <n v="1221.1199999999999"/>
  </r>
  <r>
    <n v="200878"/>
    <n v="2969"/>
    <x v="1"/>
    <x v="0"/>
    <x v="2"/>
    <s v="Headphones"/>
    <x v="507"/>
    <d v="2024-06-07T00:00:00"/>
    <d v="2024-06-18T00:00:00"/>
    <n v="12"/>
    <n v="1"/>
    <n v="5"/>
    <n v="82.94"/>
    <n v="414.7"/>
    <n v="0.08"/>
    <n v="33.18"/>
    <n v="381.52"/>
    <n v="290.29000000000002"/>
    <n v="91.23"/>
  </r>
  <r>
    <n v="200879"/>
    <n v="4707"/>
    <x v="2"/>
    <x v="1"/>
    <x v="0"/>
    <s v="Sofa"/>
    <x v="426"/>
    <d v="2024-01-02T00:00:00"/>
    <d v="2024-01-29T00:00:00"/>
    <n v="28"/>
    <n v="1"/>
    <n v="3"/>
    <n v="28.38"/>
    <n v="85.14"/>
    <n v="0.14000000000000001"/>
    <n v="11.92"/>
    <n v="73.22"/>
    <n v="47.68"/>
    <n v="25.54"/>
  </r>
  <r>
    <n v="200880"/>
    <n v="4276"/>
    <x v="2"/>
    <x v="2"/>
    <x v="3"/>
    <s v="Shirt"/>
    <x v="475"/>
    <d v="2024-01-18T00:00:00"/>
    <d v="2024-01-28T00:00:00"/>
    <n v="11"/>
    <n v="1"/>
    <n v="7"/>
    <n v="95.42"/>
    <n v="667.94"/>
    <n v="7.0000000000000007E-2"/>
    <n v="46.76"/>
    <n v="621.17999999999995"/>
    <n v="360.69"/>
    <n v="260.49"/>
  </r>
  <r>
    <n v="200881"/>
    <n v="2122"/>
    <x v="0"/>
    <x v="2"/>
    <x v="2"/>
    <s v="Tablet"/>
    <x v="544"/>
    <d v="2024-07-27T00:00:00"/>
    <d v="2024-07-26T00:00:00"/>
    <n v="2"/>
    <n v="3"/>
    <n v="11"/>
    <n v="229.15"/>
    <n v="2520.65"/>
    <n v="0.04"/>
    <n v="100.83"/>
    <n v="2419.8200000000002"/>
    <n v="1663.63"/>
    <n v="756.19"/>
  </r>
  <r>
    <n v="200882"/>
    <n v="1678"/>
    <x v="0"/>
    <x v="0"/>
    <x v="0"/>
    <s v="Cookware"/>
    <x v="667"/>
    <d v="2024-12-11T00:00:00"/>
    <d v="2024-12-21T00:00:00"/>
    <n v="13"/>
    <n v="3"/>
    <n v="1"/>
    <n v="702.7"/>
    <n v="702.7"/>
    <n v="0.22"/>
    <n v="154.59"/>
    <n v="548.11"/>
    <n v="505.94"/>
    <n v="42.17"/>
  </r>
  <r>
    <n v="200883"/>
    <n v="1957"/>
    <x v="3"/>
    <x v="2"/>
    <x v="3"/>
    <s v="Shoes"/>
    <x v="556"/>
    <d v="2024-07-07T00:00:00"/>
    <d v="2024-07-17T00:00:00"/>
    <n v="12"/>
    <n v="2"/>
    <n v="14"/>
    <n v="490.76"/>
    <n v="6870.64"/>
    <n v="0.08"/>
    <n v="549.65"/>
    <n v="6320.99"/>
    <n v="4328.5"/>
    <n v="1992.49"/>
  </r>
  <r>
    <n v="200884"/>
    <n v="3552"/>
    <x v="3"/>
    <x v="2"/>
    <x v="0"/>
    <s v="Lamp"/>
    <x v="576"/>
    <d v="2024-12-17T00:00:00"/>
    <d v="2024-12-18T00:00:00"/>
    <n v="2"/>
    <n v="1"/>
    <n v="14"/>
    <n v="355.95"/>
    <n v="4983.3"/>
    <n v="0.03"/>
    <n v="149.5"/>
    <n v="4833.8"/>
    <n v="3189.31"/>
    <n v="1644.49"/>
  </r>
  <r>
    <n v="200885"/>
    <n v="1736"/>
    <x v="3"/>
    <x v="1"/>
    <x v="1"/>
    <s v="Rice"/>
    <x v="421"/>
    <d v="2024-03-01T00:00:00"/>
    <d v="2024-03-05T00:00:00"/>
    <n v="7"/>
    <n v="3"/>
    <n v="7"/>
    <n v="361.62"/>
    <n v="2531.34"/>
    <n v="0.1"/>
    <n v="253.13"/>
    <n v="2278.21"/>
    <n v="1620.06"/>
    <n v="658.15"/>
  </r>
  <r>
    <n v="200886"/>
    <n v="3760"/>
    <x v="1"/>
    <x v="1"/>
    <x v="3"/>
    <s v="Jacket"/>
    <x v="633"/>
    <d v="2024-04-05T00:00:00"/>
    <d v="2024-04-07T00:00:00"/>
    <n v="3"/>
    <n v="1"/>
    <n v="9"/>
    <n v="477.81"/>
    <n v="4300.29"/>
    <n v="0.08"/>
    <n v="344.02"/>
    <n v="3956.27"/>
    <n v="2666.18"/>
    <n v="1290.0899999999999"/>
  </r>
  <r>
    <n v="200887"/>
    <n v="3166"/>
    <x v="1"/>
    <x v="2"/>
    <x v="0"/>
    <s v="Lamp"/>
    <x v="658"/>
    <d v="2024-11-28T00:00:00"/>
    <d v="2024-11-26T00:00:00"/>
    <n v="2"/>
    <n v="4"/>
    <n v="5"/>
    <n v="238.5"/>
    <n v="1192.5"/>
    <n v="0.21"/>
    <n v="250.42"/>
    <n v="942.08"/>
    <n v="775.12"/>
    <n v="166.96"/>
  </r>
  <r>
    <n v="200888"/>
    <n v="3381"/>
    <x v="0"/>
    <x v="1"/>
    <x v="2"/>
    <s v="Tablet"/>
    <x v="659"/>
    <d v="2024-02-17T00:00:00"/>
    <d v="2024-03-08T00:00:00"/>
    <n v="23"/>
    <n v="3"/>
    <n v="4"/>
    <n v="272.74"/>
    <n v="1090.96"/>
    <n v="0.09"/>
    <n v="98.19"/>
    <n v="992.77"/>
    <n v="796.4"/>
    <n v="196.37"/>
  </r>
  <r>
    <n v="200889"/>
    <n v="3898"/>
    <x v="1"/>
    <x v="1"/>
    <x v="2"/>
    <s v="Tablet"/>
    <x v="626"/>
    <d v="2024-04-12T00:00:00"/>
    <d v="2024-04-28T00:00:00"/>
    <n v="18"/>
    <n v="2"/>
    <n v="6"/>
    <n v="349.41"/>
    <n v="2096.46"/>
    <n v="0.08"/>
    <n v="167.72"/>
    <n v="1928.74"/>
    <n v="1320.77"/>
    <n v="607.97"/>
  </r>
  <r>
    <n v="200890"/>
    <n v="3180"/>
    <x v="1"/>
    <x v="2"/>
    <x v="0"/>
    <s v="Lamp"/>
    <x v="674"/>
    <d v="2024-04-19T00:00:00"/>
    <d v="2024-04-24T00:00:00"/>
    <n v="10"/>
    <n v="5"/>
    <n v="7"/>
    <n v="795.65"/>
    <n v="5569.55"/>
    <n v="0.12"/>
    <n v="668.35"/>
    <n v="4901.2"/>
    <n v="4065.77"/>
    <n v="835.43"/>
  </r>
  <r>
    <n v="200891"/>
    <n v="3712"/>
    <x v="1"/>
    <x v="0"/>
    <x v="2"/>
    <s v="Tablet"/>
    <x v="445"/>
    <d v="2024-05-17T00:00:00"/>
    <d v="2024-06-12T00:00:00"/>
    <n v="27"/>
    <n v="1"/>
    <n v="10"/>
    <n v="466.58"/>
    <n v="4665.8"/>
    <n v="0.04"/>
    <n v="186.63"/>
    <n v="4479.17"/>
    <n v="2846.14"/>
    <n v="1633.03"/>
  </r>
  <r>
    <n v="200892"/>
    <n v="1701"/>
    <x v="0"/>
    <x v="2"/>
    <x v="2"/>
    <s v="Headphones"/>
    <x v="447"/>
    <d v="2024-11-03T00:00:00"/>
    <d v="2024-11-24T00:00:00"/>
    <n v="22"/>
    <n v="1"/>
    <n v="14"/>
    <n v="75.010000000000005"/>
    <n v="1050.1400000000001"/>
    <n v="0.16"/>
    <n v="168.02"/>
    <n v="882.12"/>
    <n v="693.09"/>
    <n v="189.03"/>
  </r>
  <r>
    <n v="200893"/>
    <n v="2868"/>
    <x v="1"/>
    <x v="2"/>
    <x v="3"/>
    <s v="Jacket"/>
    <x v="601"/>
    <d v="2024-10-18T00:00:00"/>
    <d v="2024-10-31T00:00:00"/>
    <n v="16"/>
    <n v="3"/>
    <n v="2"/>
    <n v="727.44"/>
    <n v="1454.88"/>
    <n v="0.12"/>
    <n v="174.59"/>
    <n v="1280.29"/>
    <n v="1047.51"/>
    <n v="232.78"/>
  </r>
  <r>
    <n v="200894"/>
    <n v="1502"/>
    <x v="2"/>
    <x v="2"/>
    <x v="0"/>
    <s v="Lamp"/>
    <x v="432"/>
    <d v="2024-03-12T00:00:00"/>
    <d v="2024-03-13T00:00:00"/>
    <n v="3"/>
    <n v="2"/>
    <n v="1"/>
    <n v="575.67999999999995"/>
    <n v="575.67999999999995"/>
    <n v="0.12"/>
    <n v="69.08"/>
    <n v="506.6"/>
    <n v="397.22"/>
    <n v="109.38"/>
  </r>
  <r>
    <n v="200895"/>
    <n v="4655"/>
    <x v="2"/>
    <x v="0"/>
    <x v="0"/>
    <s v="Lamp"/>
    <x v="438"/>
    <d v="2024-01-13T00:00:00"/>
    <d v="2024-01-19T00:00:00"/>
    <n v="8"/>
    <n v="2"/>
    <n v="5"/>
    <n v="25.86"/>
    <n v="129.30000000000001"/>
    <n v="0.11"/>
    <n v="14.22"/>
    <n v="115.08"/>
    <n v="85.34"/>
    <n v="29.74"/>
  </r>
  <r>
    <n v="200896"/>
    <n v="2882"/>
    <x v="0"/>
    <x v="2"/>
    <x v="2"/>
    <s v="Phone"/>
    <x v="520"/>
    <d v="2024-05-07T00:00:00"/>
    <d v="2024-05-13T00:00:00"/>
    <n v="8"/>
    <n v="2"/>
    <n v="8"/>
    <n v="374.17"/>
    <n v="2993.36"/>
    <n v="0"/>
    <n v="0"/>
    <n v="2993.36"/>
    <n v="2035.48"/>
    <n v="957.88"/>
  </r>
  <r>
    <n v="200897"/>
    <n v="1010"/>
    <x v="2"/>
    <x v="1"/>
    <x v="1"/>
    <s v="Beverage"/>
    <x v="655"/>
    <d v="2024-11-30T00:00:00"/>
    <d v="2024-12-04T00:00:00"/>
    <n v="5"/>
    <n v="1"/>
    <n v="10"/>
    <n v="742.57"/>
    <n v="7425.7"/>
    <n v="0.11"/>
    <n v="816.83"/>
    <n v="6608.87"/>
    <n v="4826.71"/>
    <n v="1782.16"/>
  </r>
  <r>
    <n v="200898"/>
    <n v="1962"/>
    <x v="3"/>
    <x v="1"/>
    <x v="3"/>
    <s v="Shoes"/>
    <x v="448"/>
    <d v="2024-01-28T00:00:00"/>
    <d v="2024-02-12T00:00:00"/>
    <n v="17"/>
    <n v="2"/>
    <n v="11"/>
    <n v="740"/>
    <n v="8140"/>
    <n v="7.0000000000000007E-2"/>
    <n v="569.79999999999995"/>
    <n v="7570.2"/>
    <n v="5698"/>
    <n v="1872.2"/>
  </r>
  <r>
    <n v="200899"/>
    <n v="3911"/>
    <x v="3"/>
    <x v="0"/>
    <x v="3"/>
    <s v="Shoes"/>
    <x v="525"/>
    <d v="2024-01-11T00:00:00"/>
    <d v="2024-02-07T00:00:00"/>
    <n v="28"/>
    <n v="1"/>
    <n v="8"/>
    <n v="256.61"/>
    <n v="2052.88"/>
    <n v="0.12"/>
    <n v="246.35"/>
    <n v="1806.53"/>
    <n v="1354.9"/>
    <n v="451.63"/>
  </r>
  <r>
    <n v="200900"/>
    <n v="4077"/>
    <x v="2"/>
    <x v="2"/>
    <x v="1"/>
    <s v="Beverage"/>
    <x v="517"/>
    <d v="2024-02-08T00:00:00"/>
    <d v="2024-02-15T00:00:00"/>
    <n v="10"/>
    <n v="3"/>
    <n v="14"/>
    <n v="407.59"/>
    <n v="5706.26"/>
    <n v="0.15"/>
    <n v="855.94"/>
    <n v="4850.32"/>
    <n v="3480.82"/>
    <n v="1369.5"/>
  </r>
  <r>
    <n v="200901"/>
    <n v="4488"/>
    <x v="2"/>
    <x v="1"/>
    <x v="0"/>
    <s v="Cookware"/>
    <x v="444"/>
    <d v="2024-06-10T00:00:00"/>
    <d v="2024-07-06T00:00:00"/>
    <n v="28"/>
    <n v="2"/>
    <n v="5"/>
    <n v="15.95"/>
    <n v="79.75"/>
    <n v="0.11"/>
    <n v="8.77"/>
    <n v="70.98"/>
    <n v="49.44"/>
    <n v="21.54"/>
  </r>
  <r>
    <n v="200902"/>
    <n v="2616"/>
    <x v="3"/>
    <x v="2"/>
    <x v="3"/>
    <s v="Shirt"/>
    <x v="641"/>
    <d v="2024-10-20T00:00:00"/>
    <d v="2024-11-04T00:00:00"/>
    <n v="16"/>
    <n v="1"/>
    <n v="3"/>
    <n v="509.03"/>
    <n v="1527.09"/>
    <n v="0.11"/>
    <n v="167.98"/>
    <n v="1359.11"/>
    <n v="900.98"/>
    <n v="458.13"/>
  </r>
  <r>
    <n v="200903"/>
    <n v="2344"/>
    <x v="2"/>
    <x v="1"/>
    <x v="3"/>
    <s v="Jacket"/>
    <x v="586"/>
    <d v="2024-01-26T00:00:00"/>
    <d v="2024-02-18T00:00:00"/>
    <n v="28"/>
    <n v="5"/>
    <n v="8"/>
    <n v="233.37"/>
    <n v="1866.96"/>
    <n v="0.14000000000000001"/>
    <n v="261.37"/>
    <n v="1605.59"/>
    <n v="1213.52"/>
    <n v="392.07"/>
  </r>
  <r>
    <n v="200904"/>
    <n v="2357"/>
    <x v="3"/>
    <x v="0"/>
    <x v="2"/>
    <s v="Tablet"/>
    <x v="465"/>
    <d v="2024-06-09T00:00:00"/>
    <d v="2024-06-18T00:00:00"/>
    <n v="14"/>
    <n v="5"/>
    <n v="1"/>
    <n v="376.78"/>
    <n v="376.78"/>
    <n v="0.18"/>
    <n v="67.819999999999993"/>
    <n v="308.95999999999998"/>
    <n v="259.98"/>
    <n v="48.98"/>
  </r>
  <r>
    <n v="200905"/>
    <n v="4000"/>
    <x v="1"/>
    <x v="1"/>
    <x v="3"/>
    <s v="Jacket"/>
    <x v="391"/>
    <d v="2024-06-25T00:00:00"/>
    <d v="2024-07-12T00:00:00"/>
    <n v="22"/>
    <n v="5"/>
    <n v="8"/>
    <n v="462.53"/>
    <n v="3700.24"/>
    <n v="0.17"/>
    <n v="629.04"/>
    <n v="3071.2"/>
    <n v="1998.13"/>
    <n v="1073.07"/>
  </r>
  <r>
    <n v="200906"/>
    <n v="1361"/>
    <x v="3"/>
    <x v="2"/>
    <x v="2"/>
    <s v="Phone"/>
    <x v="666"/>
    <d v="2024-01-21T00:00:00"/>
    <d v="2024-02-14T00:00:00"/>
    <n v="25"/>
    <n v="1"/>
    <n v="13"/>
    <n v="797.37"/>
    <n v="10365.81"/>
    <n v="0"/>
    <n v="0"/>
    <n v="10365.81"/>
    <n v="6323.14"/>
    <n v="4042.67"/>
  </r>
  <r>
    <n v="200907"/>
    <n v="2306"/>
    <x v="3"/>
    <x v="1"/>
    <x v="2"/>
    <s v="Tablet"/>
    <x v="688"/>
    <d v="2024-10-14T00:00:00"/>
    <d v="2024-10-21T00:00:00"/>
    <n v="10"/>
    <n v="3"/>
    <n v="3"/>
    <n v="729.71"/>
    <n v="2189.13"/>
    <n v="0.12"/>
    <n v="262.7"/>
    <n v="1926.43"/>
    <n v="1641.85"/>
    <n v="284.58"/>
  </r>
  <r>
    <n v="200908"/>
    <n v="4856"/>
    <x v="1"/>
    <x v="2"/>
    <x v="3"/>
    <s v="Shoes"/>
    <x v="602"/>
    <d v="2024-12-15T00:00:00"/>
    <d v="2025-01-09T00:00:00"/>
    <n v="30"/>
    <n v="5"/>
    <n v="10"/>
    <n v="579.29999999999995"/>
    <n v="5793"/>
    <n v="0.05"/>
    <n v="289.64999999999998"/>
    <n v="5503.35"/>
    <n v="3823.38"/>
    <n v="1679.97"/>
  </r>
  <r>
    <n v="200909"/>
    <n v="4871"/>
    <x v="2"/>
    <x v="2"/>
    <x v="1"/>
    <s v="Snacks"/>
    <x v="551"/>
    <d v="2024-03-05T00:00:00"/>
    <d v="2024-03-26T00:00:00"/>
    <n v="23"/>
    <n v="2"/>
    <n v="11"/>
    <n v="14.6"/>
    <n v="160.6"/>
    <n v="0.09"/>
    <n v="14.45"/>
    <n v="146.15"/>
    <n v="96.36"/>
    <n v="49.79"/>
  </r>
  <r>
    <n v="200910"/>
    <n v="3109"/>
    <x v="0"/>
    <x v="0"/>
    <x v="2"/>
    <s v="Tablet"/>
    <x v="614"/>
    <d v="2024-06-26T00:00:00"/>
    <d v="2024-06-23T00:00:00"/>
    <n v="2"/>
    <n v="5"/>
    <n v="2"/>
    <n v="354.33"/>
    <n v="708.66"/>
    <n v="0.04"/>
    <n v="28.35"/>
    <n v="680.31"/>
    <n v="446.46"/>
    <n v="233.85"/>
  </r>
  <r>
    <n v="200911"/>
    <n v="2259"/>
    <x v="0"/>
    <x v="2"/>
    <x v="3"/>
    <s v="Jeans"/>
    <x v="528"/>
    <d v="2024-08-23T00:00:00"/>
    <d v="2024-08-24T00:00:00"/>
    <n v="2"/>
    <n v="1"/>
    <n v="10"/>
    <n v="169.23"/>
    <n v="1692.3"/>
    <n v="0.04"/>
    <n v="67.69"/>
    <n v="1624.61"/>
    <n v="1167.69"/>
    <n v="456.92"/>
  </r>
  <r>
    <n v="200912"/>
    <n v="4839"/>
    <x v="1"/>
    <x v="0"/>
    <x v="1"/>
    <s v="Pasta"/>
    <x v="361"/>
    <d v="2024-02-28T00:00:00"/>
    <d v="2024-03-16T00:00:00"/>
    <n v="22"/>
    <n v="5"/>
    <n v="14"/>
    <n v="728.94"/>
    <n v="10205.16"/>
    <n v="0.12"/>
    <n v="1224.6199999999999"/>
    <n v="8980.5400000000009"/>
    <n v="5408.73"/>
    <n v="3571.81"/>
  </r>
  <r>
    <n v="200913"/>
    <n v="1136"/>
    <x v="2"/>
    <x v="2"/>
    <x v="0"/>
    <s v="Cookware"/>
    <x v="452"/>
    <d v="2024-03-18T00:00:00"/>
    <d v="2024-04-01T00:00:00"/>
    <n v="15"/>
    <n v="1"/>
    <n v="2"/>
    <n v="723.76"/>
    <n v="1447.52"/>
    <n v="0.08"/>
    <n v="115.8"/>
    <n v="1331.72"/>
    <n v="911.94"/>
    <n v="419.78"/>
  </r>
  <r>
    <n v="200914"/>
    <n v="3287"/>
    <x v="3"/>
    <x v="0"/>
    <x v="2"/>
    <s v="Tablet"/>
    <x v="567"/>
    <d v="2024-10-12T00:00:00"/>
    <d v="2024-10-25T00:00:00"/>
    <n v="17"/>
    <n v="4"/>
    <n v="7"/>
    <n v="50.54"/>
    <n v="353.78"/>
    <n v="0.08"/>
    <n v="28.3"/>
    <n v="325.48"/>
    <n v="244.11"/>
    <n v="81.37"/>
  </r>
  <r>
    <n v="200915"/>
    <n v="4144"/>
    <x v="2"/>
    <x v="0"/>
    <x v="0"/>
    <s v="Cookware"/>
    <x v="465"/>
    <d v="2024-06-05T00:00:00"/>
    <d v="2024-06-15T00:00:00"/>
    <n v="11"/>
    <n v="1"/>
    <n v="7"/>
    <n v="458.8"/>
    <n v="3211.6"/>
    <n v="0.1"/>
    <n v="321.16000000000003"/>
    <n v="2890.44"/>
    <n v="1862.73"/>
    <n v="1027.71"/>
  </r>
  <r>
    <n v="200916"/>
    <n v="4151"/>
    <x v="0"/>
    <x v="2"/>
    <x v="2"/>
    <s v="Phone"/>
    <x v="668"/>
    <d v="2024-03-12T00:00:00"/>
    <d v="2024-04-05T00:00:00"/>
    <n v="27"/>
    <n v="3"/>
    <n v="7"/>
    <n v="478.73"/>
    <n v="3351.11"/>
    <n v="0.11"/>
    <n v="368.62"/>
    <n v="2982.49"/>
    <n v="1977.15"/>
    <n v="1005.34"/>
  </r>
  <r>
    <n v="200917"/>
    <n v="1582"/>
    <x v="0"/>
    <x v="1"/>
    <x v="0"/>
    <s v="Cookware"/>
    <x v="492"/>
    <d v="2024-06-29T00:00:00"/>
    <d v="2024-07-15T00:00:00"/>
    <n v="18"/>
    <n v="2"/>
    <n v="9"/>
    <n v="429.01"/>
    <n v="3861.09"/>
    <n v="0.09"/>
    <n v="347.5"/>
    <n v="3513.59"/>
    <n v="2664.15"/>
    <n v="849.44"/>
  </r>
  <r>
    <n v="200918"/>
    <n v="2970"/>
    <x v="2"/>
    <x v="2"/>
    <x v="2"/>
    <s v="Laptop"/>
    <x v="370"/>
    <d v="2024-09-15T00:00:00"/>
    <d v="2024-09-19T00:00:00"/>
    <n v="5"/>
    <n v="1"/>
    <n v="4"/>
    <n v="675.09"/>
    <n v="2700.36"/>
    <n v="0.13"/>
    <n v="351.05"/>
    <n v="2349.31"/>
    <n v="1836.24"/>
    <n v="513.07000000000005"/>
  </r>
  <r>
    <n v="200919"/>
    <n v="4306"/>
    <x v="2"/>
    <x v="2"/>
    <x v="3"/>
    <s v="Jacket"/>
    <x v="580"/>
    <d v="2024-10-30T00:00:00"/>
    <d v="2024-11-01T00:00:00"/>
    <n v="6"/>
    <n v="4"/>
    <n v="12"/>
    <n v="355.45"/>
    <n v="4265.3999999999996"/>
    <n v="0.24"/>
    <n v="1023.7"/>
    <n v="3241.7"/>
    <n v="2345.9699999999998"/>
    <n v="895.73"/>
  </r>
  <r>
    <n v="200920"/>
    <n v="2031"/>
    <x v="2"/>
    <x v="2"/>
    <x v="2"/>
    <s v="Tablet"/>
    <x v="508"/>
    <d v="2024-07-25T00:00:00"/>
    <d v="2024-07-29T00:00:00"/>
    <n v="9"/>
    <n v="5"/>
    <n v="7"/>
    <n v="714.95"/>
    <n v="5004.6499999999996"/>
    <n v="0.13"/>
    <n v="650.6"/>
    <n v="4354.05"/>
    <n v="2902.7"/>
    <n v="1451.35"/>
  </r>
  <r>
    <n v="200921"/>
    <n v="2530"/>
    <x v="3"/>
    <x v="2"/>
    <x v="2"/>
    <s v="Laptop"/>
    <x v="657"/>
    <d v="2024-12-25T00:00:00"/>
    <d v="2025-01-20T00:00:00"/>
    <n v="29"/>
    <n v="3"/>
    <n v="13"/>
    <n v="270.24"/>
    <n v="3513.12"/>
    <n v="0.14000000000000001"/>
    <n v="491.84"/>
    <n v="3021.28"/>
    <n v="2459.1799999999998"/>
    <n v="562.1"/>
  </r>
  <r>
    <n v="200922"/>
    <n v="2602"/>
    <x v="1"/>
    <x v="0"/>
    <x v="0"/>
    <s v="Cookware"/>
    <x v="495"/>
    <d v="2024-02-25T00:00:00"/>
    <d v="2024-03-03T00:00:00"/>
    <n v="10"/>
    <n v="3"/>
    <n v="14"/>
    <n v="467.71"/>
    <n v="6547.94"/>
    <n v="0.11"/>
    <n v="720.27"/>
    <n v="5827.67"/>
    <n v="4452.6000000000004"/>
    <n v="1375.07"/>
  </r>
  <r>
    <n v="200923"/>
    <n v="2930"/>
    <x v="0"/>
    <x v="0"/>
    <x v="1"/>
    <s v="Rice"/>
    <x v="388"/>
    <d v="2024-02-14T00:00:00"/>
    <d v="2024-03-04T00:00:00"/>
    <n v="20"/>
    <n v="1"/>
    <n v="4"/>
    <n v="721.04"/>
    <n v="2884.16"/>
    <n v="0.12"/>
    <n v="346.1"/>
    <n v="2538.06"/>
    <n v="1788.18"/>
    <n v="749.88"/>
  </r>
  <r>
    <n v="200924"/>
    <n v="1305"/>
    <x v="1"/>
    <x v="1"/>
    <x v="3"/>
    <s v="Jacket"/>
    <x v="636"/>
    <d v="2024-05-06T00:00:00"/>
    <d v="2024-05-06T00:00:00"/>
    <n v="4"/>
    <n v="4"/>
    <n v="6"/>
    <n v="96.16"/>
    <n v="576.96"/>
    <n v="0.1"/>
    <n v="57.7"/>
    <n v="519.26"/>
    <n v="340.41"/>
    <n v="178.85"/>
  </r>
  <r>
    <n v="200925"/>
    <n v="1546"/>
    <x v="2"/>
    <x v="2"/>
    <x v="1"/>
    <s v="Rice"/>
    <x v="471"/>
    <d v="2024-07-01T00:00:00"/>
    <d v="2024-07-28T00:00:00"/>
    <n v="29"/>
    <n v="2"/>
    <n v="3"/>
    <n v="223.51"/>
    <n v="670.53"/>
    <n v="0.01"/>
    <n v="6.71"/>
    <n v="663.82"/>
    <n v="476.08"/>
    <n v="187.74"/>
  </r>
  <r>
    <n v="200926"/>
    <n v="2313"/>
    <x v="1"/>
    <x v="2"/>
    <x v="0"/>
    <s v="Sofa"/>
    <x v="604"/>
    <d v="2024-12-26T00:00:00"/>
    <d v="2025-01-20T00:00:00"/>
    <n v="30"/>
    <n v="5"/>
    <n v="8"/>
    <n v="467.84"/>
    <n v="3742.72"/>
    <n v="0.18"/>
    <n v="673.69"/>
    <n v="3069.03"/>
    <n v="1946.21"/>
    <n v="1122.82"/>
  </r>
  <r>
    <n v="200927"/>
    <n v="3835"/>
    <x v="1"/>
    <x v="0"/>
    <x v="1"/>
    <s v="Snacks"/>
    <x v="436"/>
    <d v="2024-04-20T00:00:00"/>
    <d v="2024-05-04T00:00:00"/>
    <n v="16"/>
    <n v="2"/>
    <n v="9"/>
    <n v="791.16"/>
    <n v="7120.44"/>
    <n v="0.15"/>
    <n v="1068.07"/>
    <n v="6052.37"/>
    <n v="4485.88"/>
    <n v="1566.49"/>
  </r>
  <r>
    <n v="200928"/>
    <n v="4255"/>
    <x v="0"/>
    <x v="0"/>
    <x v="0"/>
    <s v="Table"/>
    <x v="651"/>
    <d v="2024-06-22T00:00:00"/>
    <d v="2024-06-25T00:00:00"/>
    <n v="6"/>
    <n v="3"/>
    <n v="9"/>
    <n v="435.97"/>
    <n v="3923.73"/>
    <n v="0.16"/>
    <n v="627.79999999999995"/>
    <n v="3295.93"/>
    <n v="2432.71"/>
    <n v="863.22"/>
  </r>
  <r>
    <n v="200929"/>
    <n v="1885"/>
    <x v="3"/>
    <x v="0"/>
    <x v="1"/>
    <s v="Pasta"/>
    <x v="616"/>
    <d v="2024-11-03T00:00:00"/>
    <d v="2024-11-04T00:00:00"/>
    <n v="3"/>
    <n v="2"/>
    <n v="2"/>
    <n v="383.29"/>
    <n v="766.58"/>
    <n v="0.12"/>
    <n v="91.99"/>
    <n v="674.59"/>
    <n v="498.28"/>
    <n v="176.31"/>
  </r>
  <r>
    <n v="200930"/>
    <n v="3439"/>
    <x v="3"/>
    <x v="2"/>
    <x v="2"/>
    <s v="Phone"/>
    <x v="530"/>
    <d v="2024-02-21T00:00:00"/>
    <d v="2024-03-18T00:00:00"/>
    <n v="28"/>
    <n v="2"/>
    <n v="4"/>
    <n v="638"/>
    <n v="2552"/>
    <n v="0.15"/>
    <n v="382.8"/>
    <n v="2169.1999999999998"/>
    <n v="1429.12"/>
    <n v="740.08"/>
  </r>
  <r>
    <n v="200931"/>
    <n v="4220"/>
    <x v="1"/>
    <x v="1"/>
    <x v="3"/>
    <s v="Jeans"/>
    <x v="612"/>
    <d v="2024-01-13T00:00:00"/>
    <d v="2024-01-24T00:00:00"/>
    <n v="16"/>
    <n v="5"/>
    <n v="12"/>
    <n v="635.54999999999995"/>
    <n v="7626.6"/>
    <n v="0.09"/>
    <n v="686.39"/>
    <n v="6940.21"/>
    <n v="4957.29"/>
    <n v="1982.92"/>
  </r>
  <r>
    <n v="200932"/>
    <n v="1846"/>
    <x v="3"/>
    <x v="1"/>
    <x v="2"/>
    <s v="Headphones"/>
    <x v="541"/>
    <d v="2024-07-16T00:00:00"/>
    <d v="2024-07-19T00:00:00"/>
    <n v="5"/>
    <n v="2"/>
    <n v="7"/>
    <n v="168.36"/>
    <n v="1178.52"/>
    <n v="0.04"/>
    <n v="47.14"/>
    <n v="1131.3800000000001"/>
    <n v="824.96"/>
    <n v="306.42"/>
  </r>
  <r>
    <n v="200933"/>
    <n v="2600"/>
    <x v="0"/>
    <x v="2"/>
    <x v="2"/>
    <s v="Phone"/>
    <x v="683"/>
    <d v="2024-02-06T00:00:00"/>
    <d v="2024-02-11T00:00:00"/>
    <n v="8"/>
    <n v="3"/>
    <n v="3"/>
    <n v="541"/>
    <n v="1623"/>
    <n v="0.06"/>
    <n v="97.38"/>
    <n v="1525.62"/>
    <n v="957.57"/>
    <n v="568.04999999999995"/>
  </r>
  <r>
    <n v="200934"/>
    <n v="3029"/>
    <x v="0"/>
    <x v="0"/>
    <x v="0"/>
    <s v="Lamp"/>
    <x v="675"/>
    <d v="2024-04-05T00:00:00"/>
    <d v="2024-04-20T00:00:00"/>
    <n v="20"/>
    <n v="5"/>
    <n v="12"/>
    <n v="698.4"/>
    <n v="8380.7999999999993"/>
    <n v="0.08"/>
    <n v="670.46"/>
    <n v="7710.34"/>
    <n v="5363.71"/>
    <n v="2346.63"/>
  </r>
  <r>
    <n v="200935"/>
    <n v="1241"/>
    <x v="3"/>
    <x v="0"/>
    <x v="1"/>
    <s v="Snacks"/>
    <x v="606"/>
    <d v="2024-09-05T00:00:00"/>
    <d v="2024-09-08T00:00:00"/>
    <n v="4"/>
    <n v="1"/>
    <n v="9"/>
    <n v="713.54"/>
    <n v="6421.86"/>
    <n v="0.17"/>
    <n v="1091.72"/>
    <n v="5330.14"/>
    <n v="3596.24"/>
    <n v="1733.9"/>
  </r>
  <r>
    <n v="200936"/>
    <n v="2594"/>
    <x v="3"/>
    <x v="2"/>
    <x v="2"/>
    <s v="Headphones"/>
    <x v="663"/>
    <d v="2024-08-22T00:00:00"/>
    <d v="2024-08-27T00:00:00"/>
    <n v="9"/>
    <n v="4"/>
    <n v="12"/>
    <n v="231.2"/>
    <n v="2774.4"/>
    <n v="0.18"/>
    <n v="499.39"/>
    <n v="2275.0100000000002"/>
    <n v="1636.9"/>
    <n v="638.11"/>
  </r>
  <r>
    <n v="200937"/>
    <n v="1093"/>
    <x v="0"/>
    <x v="1"/>
    <x v="1"/>
    <s v="Pasta"/>
    <x v="453"/>
    <d v="2024-02-20T00:00:00"/>
    <d v="2024-03-03T00:00:00"/>
    <n v="15"/>
    <n v="3"/>
    <n v="9"/>
    <n v="789.03"/>
    <n v="7101.27"/>
    <n v="0.17"/>
    <n v="1207.22"/>
    <n v="5894.05"/>
    <n v="4828.8599999999997"/>
    <n v="1065.19"/>
  </r>
  <r>
    <n v="200938"/>
    <n v="3730"/>
    <x v="3"/>
    <x v="0"/>
    <x v="1"/>
    <s v="Snacks"/>
    <x v="562"/>
    <d v="2024-10-25T00:00:00"/>
    <d v="2024-11-18T00:00:00"/>
    <n v="27"/>
    <n v="3"/>
    <n v="4"/>
    <n v="598.76"/>
    <n v="2395.04"/>
    <n v="0.09"/>
    <n v="215.55"/>
    <n v="2179.4899999999998"/>
    <n v="1413.07"/>
    <n v="766.42"/>
  </r>
  <r>
    <n v="200939"/>
    <n v="3888"/>
    <x v="1"/>
    <x v="1"/>
    <x v="3"/>
    <s v="Shoes"/>
    <x v="608"/>
    <d v="2024-06-05T00:00:00"/>
    <d v="2024-06-12T00:00:00"/>
    <n v="10"/>
    <n v="3"/>
    <n v="7"/>
    <n v="422.07"/>
    <n v="2954.49"/>
    <n v="0.15"/>
    <n v="443.17"/>
    <n v="2511.3200000000002"/>
    <n v="2038.6"/>
    <n v="472.72"/>
  </r>
  <r>
    <n v="200940"/>
    <n v="2029"/>
    <x v="2"/>
    <x v="0"/>
    <x v="2"/>
    <s v="Phone"/>
    <x v="500"/>
    <d v="2024-07-14T00:00:00"/>
    <d v="2024-08-05T00:00:00"/>
    <n v="23"/>
    <n v="1"/>
    <n v="11"/>
    <n v="105.36"/>
    <n v="1158.96"/>
    <n v="0.09"/>
    <n v="104.31"/>
    <n v="1054.6500000000001"/>
    <n v="730.14"/>
    <n v="324.51"/>
  </r>
  <r>
    <n v="200941"/>
    <n v="2692"/>
    <x v="1"/>
    <x v="1"/>
    <x v="3"/>
    <s v="Shirt"/>
    <x v="687"/>
    <d v="2024-01-17T00:00:00"/>
    <d v="2024-01-28T00:00:00"/>
    <n v="16"/>
    <n v="5"/>
    <n v="2"/>
    <n v="650.53"/>
    <n v="1301.06"/>
    <n v="0.09"/>
    <n v="117.1"/>
    <n v="1183.96"/>
    <n v="910.74"/>
    <n v="273.22000000000003"/>
  </r>
  <r>
    <n v="200942"/>
    <n v="4064"/>
    <x v="0"/>
    <x v="0"/>
    <x v="0"/>
    <s v="Table"/>
    <x v="451"/>
    <d v="2024-09-17T00:00:00"/>
    <d v="2024-09-28T00:00:00"/>
    <n v="16"/>
    <n v="5"/>
    <n v="10"/>
    <n v="227.51"/>
    <n v="2275.1"/>
    <n v="0.15"/>
    <n v="341.26"/>
    <n v="1933.84"/>
    <n v="1433.31"/>
    <n v="500.53"/>
  </r>
  <r>
    <n v="200943"/>
    <n v="3160"/>
    <x v="3"/>
    <x v="1"/>
    <x v="2"/>
    <s v="Phone"/>
    <x v="507"/>
    <d v="2024-06-10T00:00:00"/>
    <d v="2024-06-27T00:00:00"/>
    <n v="21"/>
    <n v="4"/>
    <n v="4"/>
    <n v="582.13"/>
    <n v="2328.52"/>
    <n v="0.16"/>
    <n v="372.56"/>
    <n v="1955.96"/>
    <n v="1606.68"/>
    <n v="349.28"/>
  </r>
  <r>
    <n v="200944"/>
    <n v="3969"/>
    <x v="2"/>
    <x v="1"/>
    <x v="2"/>
    <s v="Laptop"/>
    <x v="484"/>
    <d v="2024-06-20T00:00:00"/>
    <d v="2024-07-12T00:00:00"/>
    <n v="26"/>
    <n v="4"/>
    <n v="14"/>
    <n v="293.56"/>
    <n v="4109.84"/>
    <n v="0.1"/>
    <n v="410.98"/>
    <n v="3698.86"/>
    <n v="2301.5100000000002"/>
    <n v="1397.35"/>
  </r>
  <r>
    <n v="200945"/>
    <n v="1228"/>
    <x v="3"/>
    <x v="2"/>
    <x v="1"/>
    <s v="Snacks"/>
    <x v="573"/>
    <d v="2024-06-05T00:00:00"/>
    <d v="2024-06-05T00:00:00"/>
    <n v="2"/>
    <n v="2"/>
    <n v="1"/>
    <n v="410.21"/>
    <n v="410.21"/>
    <n v="0.02"/>
    <n v="8.1999999999999993"/>
    <n v="402.01"/>
    <n v="262.52999999999997"/>
    <n v="139.47999999999999"/>
  </r>
  <r>
    <n v="200946"/>
    <n v="4184"/>
    <x v="2"/>
    <x v="0"/>
    <x v="3"/>
    <s v="Shoes"/>
    <x v="409"/>
    <d v="2024-02-21T00:00:00"/>
    <d v="2024-03-17T00:00:00"/>
    <n v="30"/>
    <n v="5"/>
    <n v="13"/>
    <n v="602.72"/>
    <n v="7835.36"/>
    <n v="7.0000000000000007E-2"/>
    <n v="548.48"/>
    <n v="7286.88"/>
    <n v="5563.11"/>
    <n v="1723.77"/>
  </r>
  <r>
    <n v="200947"/>
    <n v="2701"/>
    <x v="2"/>
    <x v="2"/>
    <x v="1"/>
    <s v="Snacks"/>
    <x v="483"/>
    <d v="2024-12-13T00:00:00"/>
    <d v="2025-01-07T00:00:00"/>
    <n v="27"/>
    <n v="2"/>
    <n v="6"/>
    <n v="493.87"/>
    <n v="2963.22"/>
    <n v="0.16"/>
    <n v="474.12"/>
    <n v="2489.1"/>
    <n v="1896.46"/>
    <n v="592.64"/>
  </r>
  <r>
    <n v="200948"/>
    <n v="1069"/>
    <x v="0"/>
    <x v="2"/>
    <x v="3"/>
    <s v="Jacket"/>
    <x v="689"/>
    <d v="2024-03-28T00:00:00"/>
    <d v="2024-04-24T00:00:00"/>
    <n v="29"/>
    <n v="2"/>
    <n v="7"/>
    <n v="166.06"/>
    <n v="1162.42"/>
    <n v="0.17"/>
    <n v="197.61"/>
    <n v="964.81"/>
    <n v="743.95"/>
    <n v="220.86"/>
  </r>
  <r>
    <n v="200949"/>
    <n v="1245"/>
    <x v="1"/>
    <x v="1"/>
    <x v="2"/>
    <s v="Phone"/>
    <x v="560"/>
    <d v="2024-08-27T00:00:00"/>
    <d v="2024-09-06T00:00:00"/>
    <n v="12"/>
    <n v="2"/>
    <n v="4"/>
    <n v="534.5"/>
    <n v="2138"/>
    <n v="0.13"/>
    <n v="277.94"/>
    <n v="1860.06"/>
    <n v="1496.6"/>
    <n v="363.46"/>
  </r>
  <r>
    <n v="200950"/>
    <n v="3747"/>
    <x v="3"/>
    <x v="1"/>
    <x v="0"/>
    <s v="Sofa"/>
    <x v="559"/>
    <d v="2024-05-08T00:00:00"/>
    <d v="2024-05-08T00:00:00"/>
    <n v="2"/>
    <n v="2"/>
    <n v="4"/>
    <n v="42.27"/>
    <n v="169.08"/>
    <n v="0.11"/>
    <n v="18.600000000000001"/>
    <n v="150.47999999999999"/>
    <n v="114.97"/>
    <n v="35.51"/>
  </r>
  <r>
    <n v="200951"/>
    <n v="1528"/>
    <x v="2"/>
    <x v="0"/>
    <x v="2"/>
    <s v="Tablet"/>
    <x v="628"/>
    <d v="2024-07-17T00:00:00"/>
    <d v="2024-08-09T00:00:00"/>
    <n v="24"/>
    <n v="1"/>
    <n v="3"/>
    <n v="643.37"/>
    <n v="1930.11"/>
    <n v="0"/>
    <n v="0"/>
    <n v="1930.11"/>
    <n v="1158.07"/>
    <n v="772.04"/>
  </r>
  <r>
    <n v="200952"/>
    <n v="2500"/>
    <x v="0"/>
    <x v="1"/>
    <x v="2"/>
    <s v="Phone"/>
    <x v="597"/>
    <d v="2024-02-23T00:00:00"/>
    <d v="2024-03-21T00:00:00"/>
    <n v="29"/>
    <n v="2"/>
    <n v="1"/>
    <n v="646.36"/>
    <n v="646.36"/>
    <n v="0.09"/>
    <n v="58.17"/>
    <n v="588.19000000000005"/>
    <n v="400.74"/>
    <n v="187.45"/>
  </r>
  <r>
    <n v="200953"/>
    <n v="4744"/>
    <x v="0"/>
    <x v="1"/>
    <x v="3"/>
    <s v="Shoes"/>
    <x v="575"/>
    <d v="2024-07-30T00:00:00"/>
    <d v="2024-08-03T00:00:00"/>
    <n v="6"/>
    <n v="2"/>
    <n v="2"/>
    <n v="217.28"/>
    <n v="434.56"/>
    <n v="0.12"/>
    <n v="52.15"/>
    <n v="382.41"/>
    <n v="260.74"/>
    <n v="121.67"/>
  </r>
  <r>
    <n v="200954"/>
    <n v="1243"/>
    <x v="1"/>
    <x v="0"/>
    <x v="0"/>
    <s v="Sofa"/>
    <x v="636"/>
    <d v="2024-05-05T00:00:00"/>
    <d v="2024-05-19T00:00:00"/>
    <n v="17"/>
    <n v="3"/>
    <n v="6"/>
    <n v="440.14"/>
    <n v="2640.84"/>
    <n v="0.17"/>
    <n v="448.94"/>
    <n v="2191.9"/>
    <n v="1478.87"/>
    <n v="713.03"/>
  </r>
  <r>
    <n v="200955"/>
    <n v="3892"/>
    <x v="1"/>
    <x v="0"/>
    <x v="0"/>
    <s v="Lamp"/>
    <x v="649"/>
    <d v="2024-10-18T00:00:00"/>
    <d v="2024-11-15T00:00:00"/>
    <n v="29"/>
    <n v="1"/>
    <n v="10"/>
    <n v="63.01"/>
    <n v="630.1"/>
    <n v="7.0000000000000007E-2"/>
    <n v="44.11"/>
    <n v="585.99"/>
    <n v="390.66"/>
    <n v="195.33"/>
  </r>
  <r>
    <n v="200956"/>
    <n v="3135"/>
    <x v="1"/>
    <x v="0"/>
    <x v="1"/>
    <s v="Pasta"/>
    <x v="405"/>
    <d v="2024-05-19T00:00:00"/>
    <d v="2024-05-24T00:00:00"/>
    <n v="7"/>
    <n v="2"/>
    <n v="9"/>
    <n v="424.16"/>
    <n v="3817.44"/>
    <n v="0.11"/>
    <n v="419.92"/>
    <n v="3397.52"/>
    <n v="2290.46"/>
    <n v="1107.06"/>
  </r>
  <r>
    <n v="200957"/>
    <n v="3355"/>
    <x v="1"/>
    <x v="1"/>
    <x v="2"/>
    <s v="Headphones"/>
    <x v="431"/>
    <d v="2024-01-19T00:00:00"/>
    <d v="2024-01-25T00:00:00"/>
    <n v="7"/>
    <n v="1"/>
    <n v="13"/>
    <n v="341.68"/>
    <n v="4441.84"/>
    <n v="0.11"/>
    <n v="488.6"/>
    <n v="3953.24"/>
    <n v="3331.38"/>
    <n v="621.86"/>
  </r>
  <r>
    <n v="200958"/>
    <n v="1303"/>
    <x v="3"/>
    <x v="1"/>
    <x v="1"/>
    <s v="Beverage"/>
    <x v="668"/>
    <d v="2024-03-10T00:00:00"/>
    <d v="2024-03-14T00:00:00"/>
    <n v="5"/>
    <n v="1"/>
    <n v="10"/>
    <n v="411.02"/>
    <n v="4110.2"/>
    <n v="0.09"/>
    <n v="369.92"/>
    <n v="3740.28"/>
    <n v="2630.53"/>
    <n v="1109.75"/>
  </r>
  <r>
    <n v="200959"/>
    <n v="3832"/>
    <x v="1"/>
    <x v="0"/>
    <x v="0"/>
    <s v="Sofa"/>
    <x v="616"/>
    <d v="2024-11-02T00:00:00"/>
    <d v="2024-11-23T00:00:00"/>
    <n v="22"/>
    <n v="1"/>
    <n v="7"/>
    <n v="246.79"/>
    <n v="1727.53"/>
    <n v="0.1"/>
    <n v="172.75"/>
    <n v="1554.78"/>
    <n v="1105.6199999999999"/>
    <n v="449.16"/>
  </r>
  <r>
    <n v="200960"/>
    <n v="4109"/>
    <x v="2"/>
    <x v="1"/>
    <x v="3"/>
    <s v="Shirt"/>
    <x v="606"/>
    <d v="2024-09-09T00:00:00"/>
    <d v="2024-09-23T00:00:00"/>
    <n v="19"/>
    <n v="5"/>
    <n v="12"/>
    <n v="164.17"/>
    <n v="1970.04"/>
    <n v="0.03"/>
    <n v="59.1"/>
    <n v="1910.94"/>
    <n v="1319.93"/>
    <n v="591.01"/>
  </r>
  <r>
    <n v="200961"/>
    <n v="2085"/>
    <x v="0"/>
    <x v="2"/>
    <x v="3"/>
    <s v="Jeans"/>
    <x v="522"/>
    <d v="2024-04-02T00:00:00"/>
    <d v="2024-04-08T00:00:00"/>
    <n v="7"/>
    <n v="1"/>
    <n v="1"/>
    <n v="430.95"/>
    <n v="430.95"/>
    <n v="0.1"/>
    <n v="43.1"/>
    <n v="387.86"/>
    <n v="258.57"/>
    <n v="129.29"/>
  </r>
  <r>
    <n v="200962"/>
    <n v="4466"/>
    <x v="2"/>
    <x v="0"/>
    <x v="0"/>
    <s v="Lamp"/>
    <x v="432"/>
    <d v="2024-03-14T00:00:00"/>
    <d v="2024-03-17T00:00:00"/>
    <n v="7"/>
    <n v="4"/>
    <n v="10"/>
    <n v="209.2"/>
    <n v="2092"/>
    <n v="0.13"/>
    <n v="271.95999999999998"/>
    <n v="1820.04"/>
    <n v="1234.28"/>
    <n v="585.76"/>
  </r>
  <r>
    <n v="200963"/>
    <n v="1664"/>
    <x v="0"/>
    <x v="2"/>
    <x v="2"/>
    <s v="Laptop"/>
    <x v="668"/>
    <d v="2024-03-13T00:00:00"/>
    <d v="2024-04-07T00:00:00"/>
    <n v="29"/>
    <n v="4"/>
    <n v="12"/>
    <n v="634.75"/>
    <n v="7617"/>
    <n v="0.06"/>
    <n v="457.02"/>
    <n v="7159.98"/>
    <n v="4874.88"/>
    <n v="2285.1"/>
  </r>
  <r>
    <n v="200964"/>
    <n v="1297"/>
    <x v="2"/>
    <x v="0"/>
    <x v="1"/>
    <s v="Snacks"/>
    <x v="690"/>
    <d v="2024-10-08T00:00:00"/>
    <d v="2024-10-29T00:00:00"/>
    <n v="24"/>
    <n v="3"/>
    <n v="9"/>
    <n v="612.52"/>
    <n v="5512.68"/>
    <n v="0.04"/>
    <n v="220.51"/>
    <n v="5292.17"/>
    <n v="3472.99"/>
    <n v="1819.18"/>
  </r>
  <r>
    <n v="200965"/>
    <n v="1131"/>
    <x v="1"/>
    <x v="0"/>
    <x v="0"/>
    <s v="Table"/>
    <x v="392"/>
    <d v="2024-10-19T00:00:00"/>
    <d v="2024-10-26T00:00:00"/>
    <n v="12"/>
    <n v="5"/>
    <n v="3"/>
    <n v="72.53"/>
    <n v="217.59"/>
    <n v="7.0000000000000007E-2"/>
    <n v="15.23"/>
    <n v="202.36"/>
    <n v="154.49"/>
    <n v="47.87"/>
  </r>
  <r>
    <n v="200966"/>
    <n v="3453"/>
    <x v="3"/>
    <x v="1"/>
    <x v="1"/>
    <s v="Beverage"/>
    <x v="577"/>
    <d v="2024-05-23T00:00:00"/>
    <d v="2024-06-17T00:00:00"/>
    <n v="28"/>
    <n v="3"/>
    <n v="8"/>
    <n v="268.62"/>
    <n v="2148.96"/>
    <n v="0.11"/>
    <n v="236.39"/>
    <n v="1912.57"/>
    <n v="1310.87"/>
    <n v="601.70000000000005"/>
  </r>
  <r>
    <n v="200967"/>
    <n v="2243"/>
    <x v="3"/>
    <x v="2"/>
    <x v="2"/>
    <s v="Phone"/>
    <x v="400"/>
    <d v="2024-08-21T00:00:00"/>
    <d v="2024-08-30T00:00:00"/>
    <n v="10"/>
    <n v="1"/>
    <n v="9"/>
    <n v="729.15"/>
    <n v="6562.35"/>
    <n v="0.12"/>
    <n v="787.48"/>
    <n v="5774.87"/>
    <n v="3806.16"/>
    <n v="1968.71"/>
  </r>
  <r>
    <n v="200968"/>
    <n v="4255"/>
    <x v="3"/>
    <x v="0"/>
    <x v="1"/>
    <s v="Beverage"/>
    <x v="389"/>
    <d v="2024-03-15T00:00:00"/>
    <d v="2024-03-27T00:00:00"/>
    <n v="15"/>
    <n v="3"/>
    <n v="1"/>
    <n v="789.82"/>
    <n v="789.82"/>
    <n v="0.17"/>
    <n v="134.27000000000001"/>
    <n v="655.55"/>
    <n v="529.17999999999995"/>
    <n v="126.37"/>
  </r>
  <r>
    <n v="200969"/>
    <n v="3311"/>
    <x v="1"/>
    <x v="1"/>
    <x v="1"/>
    <s v="Rice"/>
    <x v="480"/>
    <d v="2024-07-26T00:00:00"/>
    <d v="2024-08-15T00:00:00"/>
    <n v="25"/>
    <n v="5"/>
    <n v="4"/>
    <n v="273.73"/>
    <n v="1094.92"/>
    <n v="0.18"/>
    <n v="197.09"/>
    <n v="897.83"/>
    <n v="689.8"/>
    <n v="208.03"/>
  </r>
  <r>
    <n v="200970"/>
    <n v="3700"/>
    <x v="0"/>
    <x v="2"/>
    <x v="0"/>
    <s v="Sofa"/>
    <x v="367"/>
    <d v="2024-03-23T00:00:00"/>
    <d v="2024-04-02T00:00:00"/>
    <n v="12"/>
    <n v="2"/>
    <n v="3"/>
    <n v="621.08000000000004"/>
    <n v="1863.24"/>
    <n v="0.12"/>
    <n v="223.59"/>
    <n v="1639.65"/>
    <n v="1211.1099999999999"/>
    <n v="428.54"/>
  </r>
  <r>
    <n v="200971"/>
    <n v="1979"/>
    <x v="0"/>
    <x v="1"/>
    <x v="0"/>
    <s v="Cookware"/>
    <x v="573"/>
    <d v="2024-06-08T00:00:00"/>
    <d v="2024-07-03T00:00:00"/>
    <n v="30"/>
    <n v="5"/>
    <n v="9"/>
    <n v="474.97"/>
    <n v="4274.7299999999996"/>
    <n v="0.11"/>
    <n v="470.22"/>
    <n v="3804.51"/>
    <n v="2821.32"/>
    <n v="983.19"/>
  </r>
  <r>
    <n v="200972"/>
    <n v="2952"/>
    <x v="0"/>
    <x v="2"/>
    <x v="1"/>
    <s v="Pasta"/>
    <x v="551"/>
    <d v="2024-03-08T00:00:00"/>
    <d v="2024-03-31T00:00:00"/>
    <n v="28"/>
    <n v="5"/>
    <n v="13"/>
    <n v="555.89"/>
    <n v="7226.57"/>
    <n v="7.0000000000000007E-2"/>
    <n v="505.86"/>
    <n v="6720.71"/>
    <n v="4841.8"/>
    <n v="1878.91"/>
  </r>
  <r>
    <n v="200973"/>
    <n v="1334"/>
    <x v="0"/>
    <x v="2"/>
    <x v="1"/>
    <s v="Beverage"/>
    <x v="370"/>
    <d v="2024-09-16T00:00:00"/>
    <d v="2024-09-18T00:00:00"/>
    <n v="4"/>
    <n v="2"/>
    <n v="2"/>
    <n v="626.16999999999996"/>
    <n v="1252.3399999999999"/>
    <n v="0.12"/>
    <n v="150.28"/>
    <n v="1102.06"/>
    <n v="788.97"/>
    <n v="313.08999999999997"/>
  </r>
  <r>
    <n v="200974"/>
    <n v="1243"/>
    <x v="3"/>
    <x v="2"/>
    <x v="1"/>
    <s v="Rice"/>
    <x v="691"/>
    <d v="2024-06-26T00:00:00"/>
    <d v="2024-07-05T00:00:00"/>
    <n v="10"/>
    <n v="1"/>
    <n v="8"/>
    <n v="342.85"/>
    <n v="2742.8"/>
    <n v="0.1"/>
    <n v="274.27999999999997"/>
    <n v="2468.52"/>
    <n v="1755.39"/>
    <n v="713.13"/>
  </r>
  <r>
    <n v="200975"/>
    <n v="4414"/>
    <x v="1"/>
    <x v="0"/>
    <x v="3"/>
    <s v="Shoes"/>
    <x v="529"/>
    <d v="2024-08-01T00:00:00"/>
    <d v="2024-08-22T00:00:00"/>
    <n v="24"/>
    <n v="3"/>
    <n v="5"/>
    <n v="312.79000000000002"/>
    <n v="1563.95"/>
    <n v="0.1"/>
    <n v="156.4"/>
    <n v="1407.56"/>
    <n v="969.65"/>
    <n v="437.91"/>
  </r>
  <r>
    <n v="200976"/>
    <n v="2119"/>
    <x v="3"/>
    <x v="0"/>
    <x v="1"/>
    <s v="Pasta"/>
    <x v="392"/>
    <d v="2024-10-19T00:00:00"/>
    <d v="2024-11-13T00:00:00"/>
    <n v="30"/>
    <n v="5"/>
    <n v="11"/>
    <n v="460.82"/>
    <n v="5069.0200000000004"/>
    <n v="0.06"/>
    <n v="304.14"/>
    <n v="4764.88"/>
    <n v="3142.79"/>
    <n v="1622.09"/>
  </r>
  <r>
    <n v="200977"/>
    <n v="3176"/>
    <x v="1"/>
    <x v="2"/>
    <x v="0"/>
    <s v="Sofa"/>
    <x v="474"/>
    <d v="2024-08-05T00:00:00"/>
    <d v="2024-08-16T00:00:00"/>
    <n v="12"/>
    <n v="1"/>
    <n v="14"/>
    <n v="43.84"/>
    <n v="613.76"/>
    <n v="0.22"/>
    <n v="135.03"/>
    <n v="478.73"/>
    <n v="417.36"/>
    <n v="61.37"/>
  </r>
  <r>
    <n v="200978"/>
    <n v="3204"/>
    <x v="1"/>
    <x v="0"/>
    <x v="3"/>
    <s v="Jeans"/>
    <x v="466"/>
    <d v="2024-09-03T00:00:00"/>
    <d v="2024-09-04T00:00:00"/>
    <n v="3"/>
    <n v="2"/>
    <n v="8"/>
    <n v="550.99"/>
    <n v="4407.92"/>
    <n v="0.13"/>
    <n v="573.03"/>
    <n v="3834.89"/>
    <n v="2909.23"/>
    <n v="925.66"/>
  </r>
  <r>
    <n v="200979"/>
    <n v="4296"/>
    <x v="1"/>
    <x v="1"/>
    <x v="0"/>
    <s v="Lamp"/>
    <x v="655"/>
    <d v="2024-12-04T00:00:00"/>
    <d v="2024-12-12T00:00:00"/>
    <n v="13"/>
    <n v="5"/>
    <n v="5"/>
    <n v="573.4"/>
    <n v="2867"/>
    <n v="7.0000000000000007E-2"/>
    <n v="200.69"/>
    <n v="2666.31"/>
    <n v="1634.19"/>
    <n v="1032.1199999999999"/>
  </r>
  <r>
    <n v="200980"/>
    <n v="2613"/>
    <x v="3"/>
    <x v="1"/>
    <x v="3"/>
    <s v="Shirt"/>
    <x v="478"/>
    <d v="2024-08-17T00:00:00"/>
    <d v="2024-08-31T00:00:00"/>
    <n v="17"/>
    <n v="3"/>
    <n v="8"/>
    <n v="384.46"/>
    <n v="3075.68"/>
    <n v="0.08"/>
    <n v="246.05"/>
    <n v="2829.63"/>
    <n v="1845.41"/>
    <n v="984.22"/>
  </r>
  <r>
    <n v="200981"/>
    <n v="4760"/>
    <x v="2"/>
    <x v="2"/>
    <x v="0"/>
    <s v="Sofa"/>
    <x v="401"/>
    <d v="2024-10-07T00:00:00"/>
    <d v="2024-10-28T00:00:00"/>
    <n v="24"/>
    <n v="3"/>
    <n v="9"/>
    <n v="465.55"/>
    <n v="4189.95"/>
    <n v="7.0000000000000007E-2"/>
    <n v="293.3"/>
    <n v="3896.65"/>
    <n v="2513.9699999999998"/>
    <n v="1382.68"/>
  </r>
  <r>
    <n v="200982"/>
    <n v="4544"/>
    <x v="2"/>
    <x v="0"/>
    <x v="1"/>
    <s v="Snacks"/>
    <x v="460"/>
    <d v="2024-10-11T00:00:00"/>
    <d v="2024-10-23T00:00:00"/>
    <n v="14"/>
    <n v="2"/>
    <n v="13"/>
    <n v="438.45"/>
    <n v="5699.85"/>
    <n v="0.14000000000000001"/>
    <n v="797.98"/>
    <n v="4901.87"/>
    <n v="3476.91"/>
    <n v="1424.96"/>
  </r>
  <r>
    <n v="200983"/>
    <n v="4742"/>
    <x v="1"/>
    <x v="0"/>
    <x v="1"/>
    <s v="Rice"/>
    <x v="495"/>
    <d v="2024-02-26T00:00:00"/>
    <d v="2024-03-07T00:00:00"/>
    <n v="14"/>
    <n v="4"/>
    <n v="11"/>
    <n v="74.680000000000007"/>
    <n v="821.48"/>
    <n v="0.1"/>
    <n v="82.15"/>
    <n v="739.33"/>
    <n v="550.39"/>
    <n v="188.94"/>
  </r>
  <r>
    <n v="200984"/>
    <n v="3597"/>
    <x v="1"/>
    <x v="1"/>
    <x v="1"/>
    <s v="Pasta"/>
    <x v="650"/>
    <d v="2024-03-27T00:00:00"/>
    <d v="2024-04-08T00:00:00"/>
    <n v="14"/>
    <n v="2"/>
    <n v="7"/>
    <n v="97.48"/>
    <n v="682.36"/>
    <n v="0.14000000000000001"/>
    <n v="95.53"/>
    <n v="586.83000000000004"/>
    <n v="443.53"/>
    <n v="143.30000000000001"/>
  </r>
  <r>
    <n v="200985"/>
    <n v="3040"/>
    <x v="1"/>
    <x v="0"/>
    <x v="1"/>
    <s v="Beverage"/>
    <x v="430"/>
    <d v="2024-06-14T00:00:00"/>
    <d v="2024-06-13T00:00:00"/>
    <n v="3"/>
    <n v="4"/>
    <n v="3"/>
    <n v="417.77"/>
    <n v="1253.31"/>
    <n v="0.19"/>
    <n v="238.13"/>
    <n v="1015.18"/>
    <n v="751.99"/>
    <n v="263.19"/>
  </r>
  <r>
    <n v="200986"/>
    <n v="2300"/>
    <x v="3"/>
    <x v="1"/>
    <x v="3"/>
    <s v="Shoes"/>
    <x v="416"/>
    <d v="2024-03-04T00:00:00"/>
    <d v="2024-03-10T00:00:00"/>
    <n v="9"/>
    <n v="3"/>
    <n v="11"/>
    <n v="699.07"/>
    <n v="7689.77"/>
    <n v="0"/>
    <n v="0"/>
    <n v="7689.77"/>
    <n v="4767.66"/>
    <n v="2922.11"/>
  </r>
  <r>
    <n v="200987"/>
    <n v="4161"/>
    <x v="1"/>
    <x v="0"/>
    <x v="2"/>
    <s v="Headphones"/>
    <x v="583"/>
    <d v="2024-07-05T00:00:00"/>
    <d v="2024-08-02T00:00:00"/>
    <n v="30"/>
    <n v="2"/>
    <n v="4"/>
    <n v="608.25"/>
    <n v="2433"/>
    <n v="0.18"/>
    <n v="437.94"/>
    <n v="1995.06"/>
    <n v="1459.8"/>
    <n v="535.26"/>
  </r>
  <r>
    <n v="200988"/>
    <n v="1714"/>
    <x v="2"/>
    <x v="1"/>
    <x v="1"/>
    <s v="Beverage"/>
    <x v="687"/>
    <d v="2024-01-17T00:00:00"/>
    <d v="2024-01-27T00:00:00"/>
    <n v="15"/>
    <n v="5"/>
    <n v="8"/>
    <n v="154.52000000000001"/>
    <n v="1236.1600000000001"/>
    <n v="0.09"/>
    <n v="111.25"/>
    <n v="1124.9100000000001"/>
    <n v="741.7"/>
    <n v="383.21"/>
  </r>
  <r>
    <n v="200989"/>
    <n v="3317"/>
    <x v="0"/>
    <x v="1"/>
    <x v="0"/>
    <s v="Cookware"/>
    <x v="420"/>
    <d v="2024-11-18T00:00:00"/>
    <d v="2024-11-20T00:00:00"/>
    <n v="7"/>
    <n v="5"/>
    <n v="2"/>
    <n v="348.46"/>
    <n v="696.92"/>
    <n v="0.08"/>
    <n v="55.75"/>
    <n v="641.16999999999996"/>
    <n v="411.18"/>
    <n v="229.99"/>
  </r>
  <r>
    <n v="200990"/>
    <n v="1069"/>
    <x v="1"/>
    <x v="0"/>
    <x v="2"/>
    <s v="Laptop"/>
    <x v="639"/>
    <d v="2024-05-11T00:00:00"/>
    <d v="2024-05-31T00:00:00"/>
    <n v="23"/>
    <n v="3"/>
    <n v="6"/>
    <n v="743.09"/>
    <n v="4458.54"/>
    <n v="0.12"/>
    <n v="535.02"/>
    <n v="3923.52"/>
    <n v="2942.64"/>
    <n v="980.88"/>
  </r>
  <r>
    <n v="200991"/>
    <n v="4904"/>
    <x v="0"/>
    <x v="2"/>
    <x v="1"/>
    <s v="Rice"/>
    <x v="620"/>
    <d v="2024-09-29T00:00:00"/>
    <d v="2024-10-13T00:00:00"/>
    <n v="17"/>
    <n v="3"/>
    <n v="8"/>
    <n v="696.17"/>
    <n v="5569.36"/>
    <n v="0.2"/>
    <n v="1113.8699999999999"/>
    <n v="4455.49"/>
    <n v="3675.78"/>
    <n v="779.71"/>
  </r>
  <r>
    <n v="200992"/>
    <n v="3280"/>
    <x v="3"/>
    <x v="2"/>
    <x v="0"/>
    <s v="Cookware"/>
    <x v="409"/>
    <d v="2024-02-21T00:00:00"/>
    <d v="2024-02-26T00:00:00"/>
    <n v="10"/>
    <n v="5"/>
    <n v="8"/>
    <n v="282.95999999999998"/>
    <n v="2263.6799999999998"/>
    <n v="0.09"/>
    <n v="203.73"/>
    <n v="2059.9499999999998"/>
    <n v="1403.48"/>
    <n v="656.47"/>
  </r>
  <r>
    <n v="200993"/>
    <n v="4582"/>
    <x v="3"/>
    <x v="0"/>
    <x v="2"/>
    <s v="Laptop"/>
    <x v="602"/>
    <d v="2024-12-12T00:00:00"/>
    <d v="2024-12-15T00:00:00"/>
    <n v="5"/>
    <n v="2"/>
    <n v="8"/>
    <n v="539.70000000000005"/>
    <n v="4317.6000000000004"/>
    <n v="0.17"/>
    <n v="733.99"/>
    <n v="3583.61"/>
    <n v="2806.44"/>
    <n v="777.17"/>
  </r>
  <r>
    <n v="200994"/>
    <n v="4496"/>
    <x v="0"/>
    <x v="1"/>
    <x v="1"/>
    <s v="Pasta"/>
    <x v="592"/>
    <d v="2024-11-06T00:00:00"/>
    <d v="2024-11-25T00:00:00"/>
    <n v="20"/>
    <n v="1"/>
    <n v="8"/>
    <n v="415.29"/>
    <n v="3322.32"/>
    <n v="0.12"/>
    <n v="398.68"/>
    <n v="2923.64"/>
    <n v="2192.73"/>
    <n v="730.91"/>
  </r>
  <r>
    <n v="200995"/>
    <n v="4642"/>
    <x v="2"/>
    <x v="1"/>
    <x v="2"/>
    <s v="Tablet"/>
    <x v="355"/>
    <d v="2024-11-18T00:00:00"/>
    <d v="2024-11-20T00:00:00"/>
    <n v="4"/>
    <n v="2"/>
    <n v="5"/>
    <n v="687.01"/>
    <n v="3435.05"/>
    <n v="7.0000000000000007E-2"/>
    <n v="240.45"/>
    <n v="3194.6"/>
    <n v="2129.73"/>
    <n v="1064.8699999999999"/>
  </r>
  <r>
    <n v="200996"/>
    <n v="4534"/>
    <x v="0"/>
    <x v="0"/>
    <x v="3"/>
    <s v="Shoes"/>
    <x v="541"/>
    <d v="2024-07-16T00:00:00"/>
    <d v="2024-07-30T00:00:00"/>
    <n v="16"/>
    <n v="2"/>
    <n v="13"/>
    <n v="230.78"/>
    <n v="3000.14"/>
    <n v="0.15"/>
    <n v="450.02"/>
    <n v="2550.12"/>
    <n v="2010.09"/>
    <n v="540.03"/>
  </r>
  <r>
    <n v="200997"/>
    <n v="4048"/>
    <x v="2"/>
    <x v="0"/>
    <x v="3"/>
    <s v="Jeans"/>
    <x v="564"/>
    <d v="2024-11-25T00:00:00"/>
    <d v="2024-12-11T00:00:00"/>
    <n v="20"/>
    <n v="4"/>
    <n v="4"/>
    <n v="716.41"/>
    <n v="2865.64"/>
    <n v="0.15"/>
    <n v="429.85"/>
    <n v="2435.79"/>
    <n v="1891.32"/>
    <n v="544.47"/>
  </r>
  <r>
    <n v="200998"/>
    <n v="3764"/>
    <x v="0"/>
    <x v="1"/>
    <x v="3"/>
    <s v="Jeans"/>
    <x v="596"/>
    <d v="2024-10-28T00:00:00"/>
    <d v="2024-11-06T00:00:00"/>
    <n v="13"/>
    <n v="4"/>
    <n v="6"/>
    <n v="104.82"/>
    <n v="628.91999999999996"/>
    <n v="0.1"/>
    <n v="62.89"/>
    <n v="566.03"/>
    <n v="364.77"/>
    <n v="201.26"/>
  </r>
  <r>
    <n v="200999"/>
    <n v="4954"/>
    <x v="0"/>
    <x v="0"/>
    <x v="2"/>
    <s v="Laptop"/>
    <x v="692"/>
    <d v="2024-02-11T00:00:00"/>
    <d v="2024-03-06T00:00:00"/>
    <n v="29"/>
    <n v="5"/>
    <n v="2"/>
    <n v="55.49"/>
    <n v="110.98"/>
    <n v="7.0000000000000007E-2"/>
    <n v="7.77"/>
    <n v="103.21"/>
    <n v="73.25"/>
    <n v="29.96"/>
  </r>
  <r>
    <n v="201000"/>
    <n v="4897"/>
    <x v="1"/>
    <x v="0"/>
    <x v="2"/>
    <s v="Phone"/>
    <x v="494"/>
    <d v="2024-02-03T00:00:00"/>
    <d v="2024-02-14T00:00:00"/>
    <n v="16"/>
    <n v="5"/>
    <n v="10"/>
    <n v="67.260000000000005"/>
    <n v="672.6"/>
    <n v="0.11"/>
    <n v="73.989999999999995"/>
    <n v="598.61"/>
    <n v="403.56"/>
    <n v="195.05"/>
  </r>
  <r>
    <n v="201001"/>
    <n v="3179"/>
    <x v="2"/>
    <x v="2"/>
    <x v="1"/>
    <s v="Pasta"/>
    <x v="361"/>
    <d v="2024-02-24T00:00:00"/>
    <d v="2024-03-07T00:00:00"/>
    <n v="13"/>
    <n v="1"/>
    <n v="8"/>
    <n v="483.16"/>
    <n v="3865.28"/>
    <n v="7.0000000000000007E-2"/>
    <n v="270.57"/>
    <n v="3594.71"/>
    <n v="2473.7800000000002"/>
    <n v="1120.93"/>
  </r>
  <r>
    <n v="201002"/>
    <n v="1267"/>
    <x v="0"/>
    <x v="0"/>
    <x v="1"/>
    <s v="Beverage"/>
    <x v="488"/>
    <d v="2024-07-04T00:00:00"/>
    <d v="2024-07-28T00:00:00"/>
    <n v="27"/>
    <n v="3"/>
    <n v="4"/>
    <n v="416.2"/>
    <n v="1664.8"/>
    <n v="0.13"/>
    <n v="216.42"/>
    <n v="1448.38"/>
    <n v="1098.77"/>
    <n v="349.61"/>
  </r>
  <r>
    <n v="201003"/>
    <n v="3045"/>
    <x v="0"/>
    <x v="0"/>
    <x v="0"/>
    <s v="Sofa"/>
    <x v="634"/>
    <d v="2024-01-07T00:00:00"/>
    <d v="2024-01-23T00:00:00"/>
    <n v="20"/>
    <n v="4"/>
    <n v="13"/>
    <n v="759.67"/>
    <n v="9875.7099999999991"/>
    <n v="0.18"/>
    <n v="1777.63"/>
    <n v="8098.08"/>
    <n v="5431.64"/>
    <n v="2666.44"/>
  </r>
  <r>
    <n v="201004"/>
    <n v="3963"/>
    <x v="1"/>
    <x v="0"/>
    <x v="2"/>
    <s v="Phone"/>
    <x v="471"/>
    <d v="2024-07-03T00:00:00"/>
    <d v="2024-07-18T00:00:00"/>
    <n v="19"/>
    <n v="4"/>
    <n v="4"/>
    <n v="675.1"/>
    <n v="2700.4"/>
    <n v="0.13"/>
    <n v="351.05"/>
    <n v="2349.35"/>
    <n v="1620.24"/>
    <n v="729.11"/>
  </r>
  <r>
    <n v="201005"/>
    <n v="2121"/>
    <x v="1"/>
    <x v="0"/>
    <x v="3"/>
    <s v="Shoes"/>
    <x v="643"/>
    <d v="2024-09-20T00:00:00"/>
    <d v="2024-09-28T00:00:00"/>
    <n v="9"/>
    <n v="1"/>
    <n v="14"/>
    <n v="40.090000000000003"/>
    <n v="561.26"/>
    <n v="0.11"/>
    <n v="61.74"/>
    <n v="499.52"/>
    <n v="336.76"/>
    <n v="162.76"/>
  </r>
  <r>
    <n v="201006"/>
    <n v="4143"/>
    <x v="1"/>
    <x v="1"/>
    <x v="0"/>
    <s v="Cookware"/>
    <x v="432"/>
    <d v="2024-03-15T00:00:00"/>
    <d v="2024-03-22T00:00:00"/>
    <n v="12"/>
    <n v="5"/>
    <n v="3"/>
    <n v="309.19"/>
    <n v="927.57"/>
    <n v="0.15"/>
    <n v="139.13999999999999"/>
    <n v="788.43"/>
    <n v="528.71"/>
    <n v="259.72000000000003"/>
  </r>
  <r>
    <n v="201007"/>
    <n v="1157"/>
    <x v="3"/>
    <x v="2"/>
    <x v="3"/>
    <s v="Jacket"/>
    <x v="693"/>
    <d v="2024-01-17T00:00:00"/>
    <d v="2024-02-12T00:00:00"/>
    <n v="27"/>
    <n v="1"/>
    <n v="7"/>
    <n v="243.17"/>
    <n v="1702.19"/>
    <n v="7.0000000000000007E-2"/>
    <n v="119.15"/>
    <n v="1583.04"/>
    <n v="1208.55"/>
    <n v="374.49"/>
  </r>
  <r>
    <n v="201008"/>
    <n v="3176"/>
    <x v="3"/>
    <x v="1"/>
    <x v="1"/>
    <s v="Pasta"/>
    <x v="643"/>
    <d v="2024-09-22T00:00:00"/>
    <d v="2024-09-21T00:00:00"/>
    <n v="2"/>
    <n v="3"/>
    <n v="9"/>
    <n v="750.83"/>
    <n v="6757.47"/>
    <n v="0.12"/>
    <n v="810.9"/>
    <n v="5946.57"/>
    <n v="4527.5"/>
    <n v="1419.07"/>
  </r>
  <r>
    <n v="201009"/>
    <n v="1821"/>
    <x v="0"/>
    <x v="2"/>
    <x v="3"/>
    <s v="Jacket"/>
    <x v="600"/>
    <d v="2024-07-30T00:00:00"/>
    <d v="2024-07-29T00:00:00"/>
    <n v="2"/>
    <n v="3"/>
    <n v="12"/>
    <n v="501.47"/>
    <n v="6017.64"/>
    <n v="0.06"/>
    <n v="361.06"/>
    <n v="5656.58"/>
    <n v="4031.82"/>
    <n v="1624.76"/>
  </r>
  <r>
    <n v="201010"/>
    <n v="1076"/>
    <x v="3"/>
    <x v="1"/>
    <x v="1"/>
    <s v="Snacks"/>
    <x v="514"/>
    <d v="2024-05-22T00:00:00"/>
    <d v="2024-06-10T00:00:00"/>
    <n v="22"/>
    <n v="3"/>
    <n v="12"/>
    <n v="548.45000000000005"/>
    <n v="6581.4"/>
    <n v="7.0000000000000007E-2"/>
    <n v="460.7"/>
    <n v="6120.7"/>
    <n v="4672.79"/>
    <n v="1447.91"/>
  </r>
  <r>
    <n v="201011"/>
    <n v="2004"/>
    <x v="3"/>
    <x v="1"/>
    <x v="2"/>
    <s v="Laptop"/>
    <x v="366"/>
    <d v="2024-05-04T00:00:00"/>
    <d v="2024-05-22T00:00:00"/>
    <n v="21"/>
    <n v="3"/>
    <n v="1"/>
    <n v="795.64"/>
    <n v="795.64"/>
    <n v="0.16"/>
    <n v="127.3"/>
    <n v="668.34"/>
    <n v="469.43"/>
    <n v="198.91"/>
  </r>
  <r>
    <n v="201012"/>
    <n v="1993"/>
    <x v="3"/>
    <x v="1"/>
    <x v="2"/>
    <s v="Headphones"/>
    <x v="552"/>
    <d v="2024-06-03T00:00:00"/>
    <d v="2024-06-08T00:00:00"/>
    <n v="7"/>
    <n v="2"/>
    <n v="6"/>
    <n v="248.36"/>
    <n v="1490.16"/>
    <n v="0.02"/>
    <n v="29.8"/>
    <n v="1460.36"/>
    <n v="938.8"/>
    <n v="521.55999999999995"/>
  </r>
  <r>
    <n v="201013"/>
    <n v="4340"/>
    <x v="1"/>
    <x v="1"/>
    <x v="0"/>
    <s v="Lamp"/>
    <x v="537"/>
    <d v="2024-09-01T00:00:00"/>
    <d v="2024-09-04T00:00:00"/>
    <n v="7"/>
    <n v="4"/>
    <n v="5"/>
    <n v="457.63"/>
    <n v="2288.15"/>
    <n v="0.04"/>
    <n v="91.53"/>
    <n v="2196.62"/>
    <n v="1372.89"/>
    <n v="823.73"/>
  </r>
  <r>
    <n v="201014"/>
    <n v="4882"/>
    <x v="1"/>
    <x v="0"/>
    <x v="1"/>
    <s v="Pasta"/>
    <x v="357"/>
    <d v="2024-04-30T00:00:00"/>
    <d v="2024-04-29T00:00:00"/>
    <n v="3"/>
    <n v="4"/>
    <n v="4"/>
    <n v="767.09"/>
    <n v="3068.36"/>
    <n v="0.12"/>
    <n v="368.2"/>
    <n v="2700.16"/>
    <n v="1902.38"/>
    <n v="797.78"/>
  </r>
  <r>
    <n v="201015"/>
    <n v="4729"/>
    <x v="1"/>
    <x v="2"/>
    <x v="3"/>
    <s v="Jacket"/>
    <x v="651"/>
    <d v="2024-06-21T00:00:00"/>
    <d v="2024-06-25T00:00:00"/>
    <n v="6"/>
    <n v="2"/>
    <n v="3"/>
    <n v="367.07"/>
    <n v="1101.21"/>
    <n v="0.1"/>
    <n v="110.12"/>
    <n v="991.09"/>
    <n v="682.75"/>
    <n v="308.33999999999997"/>
  </r>
  <r>
    <n v="201016"/>
    <n v="3305"/>
    <x v="2"/>
    <x v="2"/>
    <x v="3"/>
    <s v="Jacket"/>
    <x v="557"/>
    <d v="2024-02-11T00:00:00"/>
    <d v="2024-02-14T00:00:00"/>
    <n v="5"/>
    <n v="2"/>
    <n v="3"/>
    <n v="330.6"/>
    <n v="991.8"/>
    <n v="0.02"/>
    <n v="19.84"/>
    <n v="971.96"/>
    <n v="644.66999999999996"/>
    <n v="327.29000000000002"/>
  </r>
  <r>
    <n v="201017"/>
    <n v="1297"/>
    <x v="1"/>
    <x v="1"/>
    <x v="3"/>
    <s v="Jeans"/>
    <x v="642"/>
    <d v="2024-12-10T00:00:00"/>
    <d v="2024-12-16T00:00:00"/>
    <n v="10"/>
    <n v="4"/>
    <n v="13"/>
    <n v="128.38"/>
    <n v="1668.94"/>
    <n v="0.1"/>
    <n v="166.89"/>
    <n v="1502.05"/>
    <n v="1235.02"/>
    <n v="267.02999999999997"/>
  </r>
  <r>
    <n v="201018"/>
    <n v="4361"/>
    <x v="0"/>
    <x v="0"/>
    <x v="0"/>
    <s v="Table"/>
    <x v="411"/>
    <d v="2024-12-01T00:00:00"/>
    <d v="2024-12-27T00:00:00"/>
    <n v="30"/>
    <n v="4"/>
    <n v="4"/>
    <n v="282.26"/>
    <n v="1129.04"/>
    <n v="0.08"/>
    <n v="90.32"/>
    <n v="1038.72"/>
    <n v="779.04"/>
    <n v="259.68"/>
  </r>
  <r>
    <n v="201019"/>
    <n v="1881"/>
    <x v="1"/>
    <x v="0"/>
    <x v="2"/>
    <s v="Tablet"/>
    <x v="537"/>
    <d v="2024-08-31T00:00:00"/>
    <d v="2024-09-26T00:00:00"/>
    <n v="29"/>
    <n v="3"/>
    <n v="3"/>
    <n v="28.2"/>
    <n v="84.6"/>
    <n v="0.1"/>
    <n v="8.4600000000000009"/>
    <n v="76.14"/>
    <n v="53.3"/>
    <n v="22.84"/>
  </r>
  <r>
    <n v="201020"/>
    <n v="2360"/>
    <x v="1"/>
    <x v="1"/>
    <x v="0"/>
    <s v="Sofa"/>
    <x v="457"/>
    <d v="2024-11-10T00:00:00"/>
    <d v="2024-11-24T00:00:00"/>
    <n v="17"/>
    <n v="3"/>
    <n v="5"/>
    <n v="113.03"/>
    <n v="565.15"/>
    <n v="0"/>
    <n v="0"/>
    <n v="565.15"/>
    <n v="333.44"/>
    <n v="231.71"/>
  </r>
  <r>
    <n v="201021"/>
    <n v="1280"/>
    <x v="2"/>
    <x v="2"/>
    <x v="0"/>
    <s v="Cookware"/>
    <x v="441"/>
    <d v="2024-07-21T00:00:00"/>
    <d v="2024-08-04T00:00:00"/>
    <n v="16"/>
    <n v="2"/>
    <n v="6"/>
    <n v="538.24"/>
    <n v="3229.44"/>
    <n v="0.09"/>
    <n v="290.64999999999998"/>
    <n v="2938.79"/>
    <n v="2260.61"/>
    <n v="678.18"/>
  </r>
  <r>
    <n v="201022"/>
    <n v="3072"/>
    <x v="2"/>
    <x v="0"/>
    <x v="1"/>
    <s v="Rice"/>
    <x v="499"/>
    <d v="2024-04-10T00:00:00"/>
    <d v="2024-04-30T00:00:00"/>
    <n v="21"/>
    <n v="1"/>
    <n v="12"/>
    <n v="464.87"/>
    <n v="5578.44"/>
    <n v="7.0000000000000007E-2"/>
    <n v="390.49"/>
    <n v="5187.95"/>
    <n v="3347.06"/>
    <n v="1840.89"/>
  </r>
  <r>
    <n v="201023"/>
    <n v="3032"/>
    <x v="0"/>
    <x v="0"/>
    <x v="3"/>
    <s v="Jacket"/>
    <x v="533"/>
    <d v="2024-04-14T00:00:00"/>
    <d v="2024-05-12T00:00:00"/>
    <n v="30"/>
    <n v="2"/>
    <n v="4"/>
    <n v="618.1"/>
    <n v="2472.4"/>
    <n v="0.11"/>
    <n v="271.95999999999998"/>
    <n v="2200.44"/>
    <n v="1755.4"/>
    <n v="445.04"/>
  </r>
  <r>
    <n v="201024"/>
    <n v="4263"/>
    <x v="3"/>
    <x v="2"/>
    <x v="2"/>
    <s v="Tablet"/>
    <x v="677"/>
    <d v="2024-12-04T00:00:00"/>
    <d v="2024-12-30T00:00:00"/>
    <n v="29"/>
    <n v="3"/>
    <n v="14"/>
    <n v="754.98"/>
    <n v="10569.72"/>
    <n v="0.13"/>
    <n v="1374.06"/>
    <n v="9195.66"/>
    <n v="5813.35"/>
    <n v="3382.31"/>
  </r>
  <r>
    <n v="201025"/>
    <n v="1287"/>
    <x v="2"/>
    <x v="0"/>
    <x v="0"/>
    <s v="Cookware"/>
    <x v="659"/>
    <d v="2024-02-15T00:00:00"/>
    <d v="2024-02-23T00:00:00"/>
    <n v="9"/>
    <n v="1"/>
    <n v="3"/>
    <n v="680.28"/>
    <n v="2040.84"/>
    <n v="0.11"/>
    <n v="224.49"/>
    <n v="1816.35"/>
    <n v="1244.9100000000001"/>
    <n v="571.44000000000005"/>
  </r>
  <r>
    <n v="201026"/>
    <n v="4707"/>
    <x v="2"/>
    <x v="0"/>
    <x v="3"/>
    <s v="Shirt"/>
    <x v="365"/>
    <d v="2024-03-18T00:00:00"/>
    <d v="2024-04-05T00:00:00"/>
    <n v="23"/>
    <n v="5"/>
    <n v="14"/>
    <n v="72.67"/>
    <n v="1017.38"/>
    <n v="0.13"/>
    <n v="132.26"/>
    <n v="885.12"/>
    <n v="579.91"/>
    <n v="305.20999999999998"/>
  </r>
  <r>
    <n v="201027"/>
    <n v="4650"/>
    <x v="2"/>
    <x v="0"/>
    <x v="3"/>
    <s v="Shoes"/>
    <x v="687"/>
    <d v="2024-01-13T00:00:00"/>
    <d v="2024-02-11T00:00:00"/>
    <n v="30"/>
    <n v="1"/>
    <n v="10"/>
    <n v="148.03"/>
    <n v="1480.3"/>
    <n v="0.04"/>
    <n v="59.21"/>
    <n v="1421.09"/>
    <n v="932.59"/>
    <n v="488.5"/>
  </r>
  <r>
    <n v="201028"/>
    <n v="4253"/>
    <x v="1"/>
    <x v="1"/>
    <x v="1"/>
    <s v="Rice"/>
    <x v="638"/>
    <d v="2024-09-27T00:00:00"/>
    <d v="2024-10-20T00:00:00"/>
    <n v="25"/>
    <n v="2"/>
    <n v="11"/>
    <n v="267.26"/>
    <n v="2939.86"/>
    <n v="0.13"/>
    <n v="382.18"/>
    <n v="2557.6799999999998"/>
    <n v="1910.91"/>
    <n v="646.77"/>
  </r>
  <r>
    <n v="201029"/>
    <n v="3802"/>
    <x v="0"/>
    <x v="2"/>
    <x v="2"/>
    <s v="Tablet"/>
    <x v="661"/>
    <d v="2024-12-31T00:00:00"/>
    <d v="2025-01-08T00:00:00"/>
    <n v="13"/>
    <n v="5"/>
    <n v="11"/>
    <n v="579.27"/>
    <n v="6371.97"/>
    <n v="0.13"/>
    <n v="828.36"/>
    <n v="5543.61"/>
    <n v="4014.34"/>
    <n v="1529.27"/>
  </r>
  <r>
    <n v="201030"/>
    <n v="2221"/>
    <x v="2"/>
    <x v="1"/>
    <x v="2"/>
    <s v="Phone"/>
    <x v="670"/>
    <d v="2024-04-03T00:00:00"/>
    <d v="2024-04-20T00:00:00"/>
    <n v="22"/>
    <n v="5"/>
    <n v="4"/>
    <n v="421.87"/>
    <n v="1687.48"/>
    <n v="0.13"/>
    <n v="219.37"/>
    <n v="1468.11"/>
    <n v="1113.74"/>
    <n v="354.37"/>
  </r>
  <r>
    <n v="201031"/>
    <n v="2539"/>
    <x v="3"/>
    <x v="0"/>
    <x v="2"/>
    <s v="Tablet"/>
    <x v="414"/>
    <d v="2024-02-11T00:00:00"/>
    <d v="2024-02-10T00:00:00"/>
    <n v="3"/>
    <n v="4"/>
    <n v="13"/>
    <n v="68.64"/>
    <n v="892.32"/>
    <n v="0.08"/>
    <n v="71.39"/>
    <n v="820.93"/>
    <n v="544.32000000000005"/>
    <n v="276.61"/>
  </r>
  <r>
    <n v="201032"/>
    <n v="1525"/>
    <x v="3"/>
    <x v="1"/>
    <x v="2"/>
    <s v="Laptop"/>
    <x v="496"/>
    <d v="2024-03-27T00:00:00"/>
    <d v="2024-04-10T00:00:00"/>
    <n v="17"/>
    <n v="3"/>
    <n v="11"/>
    <n v="339.55"/>
    <n v="3735.05"/>
    <n v="0.17"/>
    <n v="634.96"/>
    <n v="3100.09"/>
    <n v="2278.38"/>
    <n v="821.71"/>
  </r>
  <r>
    <n v="201033"/>
    <n v="4695"/>
    <x v="0"/>
    <x v="2"/>
    <x v="1"/>
    <s v="Snacks"/>
    <x v="494"/>
    <d v="2024-02-03T00:00:00"/>
    <d v="2024-02-14T00:00:00"/>
    <n v="16"/>
    <n v="5"/>
    <n v="6"/>
    <n v="170.88"/>
    <n v="1025.28"/>
    <n v="0.09"/>
    <n v="92.28"/>
    <n v="933"/>
    <n v="584.41"/>
    <n v="348.59"/>
  </r>
  <r>
    <n v="201034"/>
    <n v="4991"/>
    <x v="3"/>
    <x v="1"/>
    <x v="2"/>
    <s v="Laptop"/>
    <x v="450"/>
    <d v="2024-09-03T00:00:00"/>
    <d v="2024-09-15T00:00:00"/>
    <n v="15"/>
    <n v="3"/>
    <n v="3"/>
    <n v="489.91"/>
    <n v="1469.73"/>
    <n v="7.0000000000000007E-2"/>
    <n v="102.88"/>
    <n v="1366.85"/>
    <n v="896.54"/>
    <n v="470.31"/>
  </r>
  <r>
    <n v="201035"/>
    <n v="1083"/>
    <x v="0"/>
    <x v="2"/>
    <x v="0"/>
    <s v="Sofa"/>
    <x v="580"/>
    <d v="2024-10-29T00:00:00"/>
    <d v="2024-11-20T00:00:00"/>
    <n v="25"/>
    <n v="3"/>
    <n v="6"/>
    <n v="490.92"/>
    <n v="2945.52"/>
    <n v="0.11"/>
    <n v="324.01"/>
    <n v="2621.51"/>
    <n v="2091.3200000000002"/>
    <n v="530.19000000000005"/>
  </r>
  <r>
    <n v="201036"/>
    <n v="1296"/>
    <x v="2"/>
    <x v="2"/>
    <x v="0"/>
    <s v="Cookware"/>
    <x v="562"/>
    <d v="2024-10-23T00:00:00"/>
    <d v="2024-10-27T00:00:00"/>
    <n v="5"/>
    <n v="1"/>
    <n v="14"/>
    <n v="122.95"/>
    <n v="1721.3"/>
    <n v="0.14000000000000001"/>
    <n v="240.98"/>
    <n v="1480.32"/>
    <n v="998.35"/>
    <n v="481.97"/>
  </r>
  <r>
    <n v="201037"/>
    <n v="4265"/>
    <x v="2"/>
    <x v="0"/>
    <x v="1"/>
    <s v="Snacks"/>
    <x v="466"/>
    <d v="2024-09-03T00:00:00"/>
    <d v="2024-09-18T00:00:00"/>
    <n v="17"/>
    <n v="2"/>
    <n v="14"/>
    <n v="793.36"/>
    <n v="11107.04"/>
    <n v="0.06"/>
    <n v="666.42"/>
    <n v="10440.620000000001"/>
    <n v="7219.58"/>
    <n v="3221.04"/>
  </r>
  <r>
    <n v="201038"/>
    <n v="3565"/>
    <x v="0"/>
    <x v="1"/>
    <x v="0"/>
    <s v="Table"/>
    <x v="587"/>
    <d v="2024-11-09T00:00:00"/>
    <d v="2024-11-11T00:00:00"/>
    <n v="3"/>
    <n v="1"/>
    <n v="2"/>
    <n v="230.79"/>
    <n v="461.58"/>
    <n v="0.12"/>
    <n v="55.39"/>
    <n v="406.19"/>
    <n v="336.95"/>
    <n v="69.239999999999995"/>
  </r>
  <r>
    <n v="201039"/>
    <n v="3425"/>
    <x v="2"/>
    <x v="2"/>
    <x v="3"/>
    <s v="Jacket"/>
    <x v="375"/>
    <d v="2024-10-29T00:00:00"/>
    <d v="2024-10-27T00:00:00"/>
    <n v="2"/>
    <n v="4"/>
    <n v="10"/>
    <n v="385.93"/>
    <n v="3859.3"/>
    <n v="0.17"/>
    <n v="656.08"/>
    <n v="3203.22"/>
    <n v="2006.84"/>
    <n v="1196.3800000000001"/>
  </r>
  <r>
    <n v="201040"/>
    <n v="3062"/>
    <x v="3"/>
    <x v="1"/>
    <x v="2"/>
    <s v="Phone"/>
    <x v="552"/>
    <d v="2024-06-04T00:00:00"/>
    <d v="2024-06-18T00:00:00"/>
    <n v="17"/>
    <n v="3"/>
    <n v="8"/>
    <n v="115.93"/>
    <n v="927.44"/>
    <n v="0.16"/>
    <n v="148.38999999999999"/>
    <n v="779.05"/>
    <n v="547.19000000000005"/>
    <n v="231.86"/>
  </r>
  <r>
    <n v="201041"/>
    <n v="4584"/>
    <x v="2"/>
    <x v="2"/>
    <x v="0"/>
    <s v="Cookware"/>
    <x v="469"/>
    <d v="2024-08-15T00:00:00"/>
    <d v="2024-08-22T00:00:00"/>
    <n v="9"/>
    <n v="2"/>
    <n v="9"/>
    <n v="121.2"/>
    <n v="1090.8"/>
    <n v="0.09"/>
    <n v="98.17"/>
    <n v="992.63"/>
    <n v="850.82"/>
    <n v="141.81"/>
  </r>
  <r>
    <n v="201042"/>
    <n v="2536"/>
    <x v="1"/>
    <x v="2"/>
    <x v="0"/>
    <s v="Table"/>
    <x v="447"/>
    <d v="2024-11-05T00:00:00"/>
    <d v="2024-11-25T00:00:00"/>
    <n v="23"/>
    <n v="3"/>
    <n v="12"/>
    <n v="356.21"/>
    <n v="4274.5200000000004"/>
    <n v="0.08"/>
    <n v="341.96"/>
    <n v="3932.56"/>
    <n v="2735.69"/>
    <n v="1196.8699999999999"/>
  </r>
  <r>
    <n v="201043"/>
    <n v="4502"/>
    <x v="1"/>
    <x v="2"/>
    <x v="1"/>
    <s v="Beverage"/>
    <x v="475"/>
    <d v="2024-01-20T00:00:00"/>
    <d v="2024-01-29T00:00:00"/>
    <n v="12"/>
    <n v="3"/>
    <n v="7"/>
    <n v="520.79999999999995"/>
    <n v="3645.6"/>
    <n v="0.15"/>
    <n v="546.84"/>
    <n v="3098.76"/>
    <n v="2442.5500000000002"/>
    <n v="656.21"/>
  </r>
  <r>
    <n v="201044"/>
    <n v="4662"/>
    <x v="0"/>
    <x v="1"/>
    <x v="3"/>
    <s v="Shoes"/>
    <x v="393"/>
    <d v="2024-05-28T00:00:00"/>
    <d v="2024-06-21T00:00:00"/>
    <n v="29"/>
    <n v="5"/>
    <n v="11"/>
    <n v="436.13"/>
    <n v="4797.43"/>
    <n v="0.16"/>
    <n v="767.59"/>
    <n v="4029.84"/>
    <n v="3310.23"/>
    <n v="719.61"/>
  </r>
  <r>
    <n v="201045"/>
    <n v="1419"/>
    <x v="0"/>
    <x v="0"/>
    <x v="0"/>
    <s v="Cookware"/>
    <x v="621"/>
    <d v="2024-09-13T00:00:00"/>
    <d v="2024-10-06T00:00:00"/>
    <n v="25"/>
    <n v="2"/>
    <n v="5"/>
    <n v="160.22999999999999"/>
    <n v="801.15"/>
    <n v="0.05"/>
    <n v="40.06"/>
    <n v="761.09"/>
    <n v="488.7"/>
    <n v="272.39"/>
  </r>
  <r>
    <n v="201046"/>
    <n v="1964"/>
    <x v="3"/>
    <x v="0"/>
    <x v="2"/>
    <s v="Tablet"/>
    <x v="670"/>
    <d v="2024-04-03T00:00:00"/>
    <d v="2024-04-08T00:00:00"/>
    <n v="10"/>
    <n v="5"/>
    <n v="4"/>
    <n v="613.79999999999995"/>
    <n v="2455.1999999999998"/>
    <n v="7.0000000000000007E-2"/>
    <n v="171.86"/>
    <n v="2283.34"/>
    <n v="1792.3"/>
    <n v="491.04"/>
  </r>
  <r>
    <n v="201047"/>
    <n v="3194"/>
    <x v="2"/>
    <x v="2"/>
    <x v="0"/>
    <s v="Lamp"/>
    <x v="429"/>
    <d v="2024-07-14T00:00:00"/>
    <d v="2024-08-04T00:00:00"/>
    <n v="23"/>
    <n v="2"/>
    <n v="13"/>
    <n v="693.75"/>
    <n v="9018.75"/>
    <n v="0.06"/>
    <n v="541.12"/>
    <n v="8477.6200000000008"/>
    <n v="6132.75"/>
    <n v="2344.87"/>
  </r>
  <r>
    <n v="201048"/>
    <n v="4856"/>
    <x v="1"/>
    <x v="1"/>
    <x v="3"/>
    <s v="Jeans"/>
    <x v="521"/>
    <d v="2024-01-27T00:00:00"/>
    <d v="2024-02-04T00:00:00"/>
    <n v="13"/>
    <n v="5"/>
    <n v="1"/>
    <n v="219.9"/>
    <n v="219.9"/>
    <n v="0.13"/>
    <n v="28.59"/>
    <n v="191.31"/>
    <n v="140.74"/>
    <n v="50.57"/>
  </r>
  <r>
    <n v="201049"/>
    <n v="3971"/>
    <x v="3"/>
    <x v="1"/>
    <x v="1"/>
    <s v="Snacks"/>
    <x v="694"/>
    <d v="2024-01-24T00:00:00"/>
    <d v="2024-02-07T00:00:00"/>
    <n v="19"/>
    <n v="5"/>
    <n v="3"/>
    <n v="40.44"/>
    <n v="121.32"/>
    <n v="0.08"/>
    <n v="9.7100000000000009"/>
    <n v="111.61"/>
    <n v="77.64"/>
    <n v="33.97"/>
  </r>
  <r>
    <n v="201050"/>
    <n v="3195"/>
    <x v="3"/>
    <x v="2"/>
    <x v="2"/>
    <s v="Laptop"/>
    <x v="591"/>
    <d v="2024-12-08T00:00:00"/>
    <d v="2024-12-09T00:00:00"/>
    <n v="6"/>
    <n v="5"/>
    <n v="8"/>
    <n v="178.2"/>
    <n v="1425.6"/>
    <n v="7.0000000000000007E-2"/>
    <n v="99.79"/>
    <n v="1325.81"/>
    <n v="955.15"/>
    <n v="370.66"/>
  </r>
  <r>
    <n v="201051"/>
    <n v="4059"/>
    <x v="3"/>
    <x v="1"/>
    <x v="3"/>
    <s v="Jeans"/>
    <x v="489"/>
    <d v="2024-06-18T00:00:00"/>
    <d v="2024-07-01T00:00:00"/>
    <n v="14"/>
    <n v="1"/>
    <n v="14"/>
    <n v="83.77"/>
    <n v="1172.78"/>
    <n v="0.13"/>
    <n v="152.46"/>
    <n v="1020.32"/>
    <n v="832.67"/>
    <n v="187.65"/>
  </r>
  <r>
    <n v="201052"/>
    <n v="3124"/>
    <x v="2"/>
    <x v="0"/>
    <x v="1"/>
    <s v="Snacks"/>
    <x v="695"/>
    <d v="2024-07-21T00:00:00"/>
    <d v="2024-08-16T00:00:00"/>
    <n v="29"/>
    <n v="3"/>
    <n v="5"/>
    <n v="221.49"/>
    <n v="1107.45"/>
    <n v="0.09"/>
    <n v="99.67"/>
    <n v="1007.78"/>
    <n v="786.29"/>
    <n v="221.49"/>
  </r>
  <r>
    <n v="201053"/>
    <n v="4823"/>
    <x v="2"/>
    <x v="1"/>
    <x v="2"/>
    <s v="Headphones"/>
    <x v="658"/>
    <d v="2024-11-29T00:00:00"/>
    <d v="2024-12-23T00:00:00"/>
    <n v="29"/>
    <n v="5"/>
    <n v="12"/>
    <n v="455.32"/>
    <n v="5463.84"/>
    <n v="0.16"/>
    <n v="874.21"/>
    <n v="4589.63"/>
    <n v="3496.86"/>
    <n v="1092.77"/>
  </r>
  <r>
    <n v="201054"/>
    <n v="1488"/>
    <x v="2"/>
    <x v="2"/>
    <x v="3"/>
    <s v="Shirt"/>
    <x v="590"/>
    <d v="2024-07-29T00:00:00"/>
    <d v="2024-08-24T00:00:00"/>
    <n v="29"/>
    <n v="3"/>
    <n v="14"/>
    <n v="56.8"/>
    <n v="795.2"/>
    <n v="7.0000000000000007E-2"/>
    <n v="55.66"/>
    <n v="739.54"/>
    <n v="461.22"/>
    <n v="278.32"/>
  </r>
  <r>
    <n v="201055"/>
    <n v="3661"/>
    <x v="3"/>
    <x v="2"/>
    <x v="3"/>
    <s v="Shoes"/>
    <x v="496"/>
    <d v="2024-03-25T00:00:00"/>
    <d v="2024-04-17T00:00:00"/>
    <n v="24"/>
    <n v="1"/>
    <n v="4"/>
    <n v="92.98"/>
    <n v="371.92"/>
    <n v="0.1"/>
    <n v="37.19"/>
    <n v="334.73"/>
    <n v="215.71"/>
    <n v="119.02"/>
  </r>
  <r>
    <n v="201056"/>
    <n v="2053"/>
    <x v="2"/>
    <x v="1"/>
    <x v="1"/>
    <s v="Rice"/>
    <x v="499"/>
    <d v="2024-04-13T00:00:00"/>
    <d v="2024-05-06T00:00:00"/>
    <n v="27"/>
    <n v="4"/>
    <n v="1"/>
    <n v="752.4"/>
    <n v="752.4"/>
    <n v="0.14000000000000001"/>
    <n v="105.34"/>
    <n v="647.05999999999995"/>
    <n v="458.96"/>
    <n v="188.1"/>
  </r>
  <r>
    <n v="201057"/>
    <n v="1984"/>
    <x v="2"/>
    <x v="1"/>
    <x v="2"/>
    <s v="Laptop"/>
    <x v="648"/>
    <d v="2024-09-23T00:00:00"/>
    <d v="2024-10-12T00:00:00"/>
    <n v="20"/>
    <n v="1"/>
    <n v="13"/>
    <n v="135.85"/>
    <n v="1766.05"/>
    <n v="0.14000000000000001"/>
    <n v="247.25"/>
    <n v="1518.8"/>
    <n v="1165.5899999999999"/>
    <n v="353.21"/>
  </r>
  <r>
    <n v="201058"/>
    <n v="4905"/>
    <x v="3"/>
    <x v="2"/>
    <x v="1"/>
    <s v="Beverage"/>
    <x v="492"/>
    <d v="2024-07-01T00:00:00"/>
    <d v="2024-07-23T00:00:00"/>
    <n v="26"/>
    <n v="4"/>
    <n v="1"/>
    <n v="684.46"/>
    <n v="684.46"/>
    <n v="0.18"/>
    <n v="123.2"/>
    <n v="561.26"/>
    <n v="417.52"/>
    <n v="143.74"/>
  </r>
  <r>
    <n v="201059"/>
    <n v="4353"/>
    <x v="1"/>
    <x v="1"/>
    <x v="1"/>
    <s v="Pasta"/>
    <x v="524"/>
    <d v="2024-05-31T00:00:00"/>
    <d v="2024-06-23T00:00:00"/>
    <n v="27"/>
    <n v="4"/>
    <n v="2"/>
    <n v="644.80999999999995"/>
    <n v="1289.6199999999999"/>
    <n v="0.1"/>
    <n v="128.96"/>
    <n v="1160.6600000000001"/>
    <n v="864.05"/>
    <n v="296.61"/>
  </r>
  <r>
    <n v="201060"/>
    <n v="4486"/>
    <x v="3"/>
    <x v="0"/>
    <x v="1"/>
    <s v="Beverage"/>
    <x v="669"/>
    <d v="2024-07-28T00:00:00"/>
    <d v="2024-08-10T00:00:00"/>
    <n v="16"/>
    <n v="3"/>
    <n v="14"/>
    <n v="581.54"/>
    <n v="8141.56"/>
    <n v="0.13"/>
    <n v="1058.4000000000001"/>
    <n v="7083.16"/>
    <n v="4803.5200000000004"/>
    <n v="2279.64"/>
  </r>
  <r>
    <n v="201061"/>
    <n v="2240"/>
    <x v="0"/>
    <x v="1"/>
    <x v="2"/>
    <s v="Tablet"/>
    <x v="359"/>
    <d v="2024-09-10T00:00:00"/>
    <d v="2024-09-17T00:00:00"/>
    <n v="8"/>
    <n v="1"/>
    <n v="7"/>
    <n v="454.15"/>
    <n v="3179.05"/>
    <n v="0.15"/>
    <n v="476.86"/>
    <n v="2702.19"/>
    <n v="2098.17"/>
    <n v="604.02"/>
  </r>
  <r>
    <n v="201062"/>
    <n v="3253"/>
    <x v="2"/>
    <x v="2"/>
    <x v="0"/>
    <s v="Lamp"/>
    <x v="630"/>
    <d v="2024-08-09T00:00:00"/>
    <d v="2024-08-30T00:00:00"/>
    <n v="25"/>
    <n v="4"/>
    <n v="4"/>
    <n v="618.96"/>
    <n v="2475.84"/>
    <n v="0.16"/>
    <n v="396.13"/>
    <n v="2079.71"/>
    <n v="1535.02"/>
    <n v="544.69000000000005"/>
  </r>
  <r>
    <n v="201063"/>
    <n v="2001"/>
    <x v="3"/>
    <x v="1"/>
    <x v="0"/>
    <s v="Sofa"/>
    <x v="577"/>
    <d v="2024-05-24T00:00:00"/>
    <d v="2024-06-10T00:00:00"/>
    <n v="21"/>
    <n v="4"/>
    <n v="11"/>
    <n v="671.94"/>
    <n v="7391.34"/>
    <n v="0.08"/>
    <n v="591.30999999999995"/>
    <n v="6800.03"/>
    <n v="4582.63"/>
    <n v="2217.4"/>
  </r>
  <r>
    <n v="201064"/>
    <n v="3899"/>
    <x v="3"/>
    <x v="0"/>
    <x v="3"/>
    <s v="Jeans"/>
    <x v="358"/>
    <d v="2024-11-22T00:00:00"/>
    <d v="2024-12-18T00:00:00"/>
    <n v="29"/>
    <n v="3"/>
    <n v="13"/>
    <n v="630.71"/>
    <n v="8199.23"/>
    <n v="0.14000000000000001"/>
    <n v="1147.8900000000001"/>
    <n v="7051.34"/>
    <n v="4427.58"/>
    <n v="2623.76"/>
  </r>
  <r>
    <n v="201065"/>
    <n v="2191"/>
    <x v="3"/>
    <x v="1"/>
    <x v="2"/>
    <s v="Laptop"/>
    <x v="627"/>
    <d v="2024-07-01T00:00:00"/>
    <d v="2024-07-02T00:00:00"/>
    <n v="6"/>
    <n v="5"/>
    <n v="1"/>
    <n v="701.69"/>
    <n v="701.69"/>
    <n v="0.22"/>
    <n v="154.37"/>
    <n v="547.32000000000005"/>
    <n v="406.98"/>
    <n v="140.34"/>
  </r>
  <r>
    <n v="201066"/>
    <n v="3845"/>
    <x v="1"/>
    <x v="2"/>
    <x v="2"/>
    <s v="Laptop"/>
    <x v="385"/>
    <d v="2024-10-24T00:00:00"/>
    <d v="2024-11-02T00:00:00"/>
    <n v="10"/>
    <n v="1"/>
    <n v="6"/>
    <n v="296.77"/>
    <n v="1780.62"/>
    <n v="0.15"/>
    <n v="267.08999999999997"/>
    <n v="1513.53"/>
    <n v="1264.24"/>
    <n v="249.29"/>
  </r>
  <r>
    <n v="201067"/>
    <n v="2397"/>
    <x v="2"/>
    <x v="1"/>
    <x v="2"/>
    <s v="Headphones"/>
    <x v="504"/>
    <d v="2024-09-03T00:00:00"/>
    <d v="2024-09-07T00:00:00"/>
    <n v="5"/>
    <n v="1"/>
    <n v="8"/>
    <n v="457.83"/>
    <n v="3662.64"/>
    <n v="0.21"/>
    <n v="769.15"/>
    <n v="2893.49"/>
    <n v="2453.9699999999998"/>
    <n v="439.52"/>
  </r>
  <r>
    <n v="201068"/>
    <n v="2708"/>
    <x v="2"/>
    <x v="1"/>
    <x v="2"/>
    <s v="Phone"/>
    <x v="353"/>
    <d v="2024-10-15T00:00:00"/>
    <d v="2024-10-31T00:00:00"/>
    <n v="18"/>
    <n v="2"/>
    <n v="9"/>
    <n v="248.86"/>
    <n v="2239.7399999999998"/>
    <n v="0.1"/>
    <n v="223.97"/>
    <n v="2015.77"/>
    <n v="1254.25"/>
    <n v="761.52"/>
  </r>
  <r>
    <n v="201069"/>
    <n v="1316"/>
    <x v="1"/>
    <x v="2"/>
    <x v="3"/>
    <s v="Jacket"/>
    <x v="696"/>
    <d v="2024-08-03T00:00:00"/>
    <d v="2024-08-24T00:00:00"/>
    <n v="25"/>
    <n v="4"/>
    <n v="12"/>
    <n v="680.99"/>
    <n v="8171.88"/>
    <n v="0.03"/>
    <n v="245.16"/>
    <n v="7926.72"/>
    <n v="5556.88"/>
    <n v="2369.84"/>
  </r>
  <r>
    <n v="201070"/>
    <n v="1002"/>
    <x v="3"/>
    <x v="2"/>
    <x v="0"/>
    <s v="Lamp"/>
    <x v="464"/>
    <d v="2024-02-05T00:00:00"/>
    <d v="2024-02-28T00:00:00"/>
    <n v="24"/>
    <n v="1"/>
    <n v="14"/>
    <n v="10.76"/>
    <n v="150.63999999999999"/>
    <n v="0.11"/>
    <n v="16.57"/>
    <n v="134.07"/>
    <n v="111.47"/>
    <n v="22.6"/>
  </r>
  <r>
    <n v="201071"/>
    <n v="3377"/>
    <x v="2"/>
    <x v="0"/>
    <x v="1"/>
    <s v="Snacks"/>
    <x v="697"/>
    <d v="2024-04-02T00:00:00"/>
    <d v="2024-04-25T00:00:00"/>
    <n v="28"/>
    <n v="5"/>
    <n v="2"/>
    <n v="243.05"/>
    <n v="486.1"/>
    <n v="0.09"/>
    <n v="43.75"/>
    <n v="442.35"/>
    <n v="349.99"/>
    <n v="92.36"/>
  </r>
  <r>
    <n v="201072"/>
    <n v="4163"/>
    <x v="3"/>
    <x v="2"/>
    <x v="0"/>
    <s v="Table"/>
    <x v="354"/>
    <d v="2024-02-01T00:00:00"/>
    <d v="2024-01-31T00:00:00"/>
    <n v="3"/>
    <n v="4"/>
    <n v="11"/>
    <n v="32.65"/>
    <n v="359.15"/>
    <n v="0.08"/>
    <n v="28.73"/>
    <n v="330.42"/>
    <n v="237.04"/>
    <n v="93.38"/>
  </r>
  <r>
    <n v="201073"/>
    <n v="4544"/>
    <x v="0"/>
    <x v="1"/>
    <x v="1"/>
    <s v="Beverage"/>
    <x v="485"/>
    <d v="2024-10-14T00:00:00"/>
    <d v="2024-10-16T00:00:00"/>
    <n v="6"/>
    <n v="4"/>
    <n v="5"/>
    <n v="12.68"/>
    <n v="63.4"/>
    <n v="0.23"/>
    <n v="14.58"/>
    <n v="48.82"/>
    <n v="41.84"/>
    <n v="6.98"/>
  </r>
  <r>
    <n v="201074"/>
    <n v="2935"/>
    <x v="1"/>
    <x v="0"/>
    <x v="0"/>
    <s v="Lamp"/>
    <x v="450"/>
    <d v="2024-09-05T00:00:00"/>
    <d v="2024-09-09T00:00:00"/>
    <n v="9"/>
    <n v="5"/>
    <n v="10"/>
    <n v="679.23"/>
    <n v="6792.3"/>
    <n v="0.09"/>
    <n v="611.30999999999995"/>
    <n v="6180.99"/>
    <n v="4143.3"/>
    <n v="2037.69"/>
  </r>
  <r>
    <n v="201075"/>
    <n v="4854"/>
    <x v="1"/>
    <x v="0"/>
    <x v="0"/>
    <s v="Sofa"/>
    <x v="576"/>
    <d v="2024-12-18T00:00:00"/>
    <d v="2024-12-21T00:00:00"/>
    <n v="5"/>
    <n v="2"/>
    <n v="14"/>
    <n v="580.46"/>
    <n v="8126.44"/>
    <n v="0.11"/>
    <n v="893.91"/>
    <n v="7232.53"/>
    <n v="4713.34"/>
    <n v="2519.19"/>
  </r>
  <r>
    <n v="201076"/>
    <n v="1188"/>
    <x v="0"/>
    <x v="0"/>
    <x v="2"/>
    <s v="Tablet"/>
    <x v="381"/>
    <d v="2024-11-29T00:00:00"/>
    <d v="2024-12-19T00:00:00"/>
    <n v="23"/>
    <n v="3"/>
    <n v="7"/>
    <n v="81.27"/>
    <n v="568.89"/>
    <n v="7.0000000000000007E-2"/>
    <n v="39.82"/>
    <n v="529.07000000000005"/>
    <n v="409.6"/>
    <n v="119.47"/>
  </r>
  <r>
    <n v="201077"/>
    <n v="1397"/>
    <x v="0"/>
    <x v="2"/>
    <x v="2"/>
    <s v="Tablet"/>
    <x v="413"/>
    <d v="2024-07-11T00:00:00"/>
    <d v="2024-07-17T00:00:00"/>
    <n v="7"/>
    <n v="1"/>
    <n v="10"/>
    <n v="722.94"/>
    <n v="7229.4"/>
    <n v="0.15"/>
    <n v="1084.4100000000001"/>
    <n v="6144.99"/>
    <n v="4626.82"/>
    <n v="1518.17"/>
  </r>
  <r>
    <n v="201078"/>
    <n v="3709"/>
    <x v="2"/>
    <x v="1"/>
    <x v="0"/>
    <s v="Lamp"/>
    <x v="698"/>
    <d v="2024-01-26T00:00:00"/>
    <d v="2024-02-19T00:00:00"/>
    <n v="26"/>
    <n v="2"/>
    <n v="7"/>
    <n v="700.03"/>
    <n v="4900.21"/>
    <n v="0.11"/>
    <n v="539.02"/>
    <n v="4361.1899999999996"/>
    <n v="2940.13"/>
    <n v="1421.06"/>
  </r>
  <r>
    <n v="201079"/>
    <n v="1891"/>
    <x v="3"/>
    <x v="1"/>
    <x v="2"/>
    <s v="Tablet"/>
    <x v="576"/>
    <d v="2024-12-21T00:00:00"/>
    <d v="2024-12-27T00:00:00"/>
    <n v="11"/>
    <n v="5"/>
    <n v="8"/>
    <n v="511.33"/>
    <n v="4090.64"/>
    <n v="7.0000000000000007E-2"/>
    <n v="286.33999999999997"/>
    <n v="3804.3"/>
    <n v="2658.92"/>
    <n v="1145.3800000000001"/>
  </r>
  <r>
    <n v="201080"/>
    <n v="4562"/>
    <x v="2"/>
    <x v="1"/>
    <x v="2"/>
    <s v="Laptop"/>
    <x v="382"/>
    <d v="2025-01-05T00:00:00"/>
    <d v="2025-01-12T00:00:00"/>
    <n v="12"/>
    <n v="5"/>
    <n v="4"/>
    <n v="525.55999999999995"/>
    <n v="2102.2399999999998"/>
    <n v="0.14000000000000001"/>
    <n v="294.31"/>
    <n v="1807.93"/>
    <n v="1156.23"/>
    <n v="651.70000000000005"/>
  </r>
  <r>
    <n v="201081"/>
    <n v="4241"/>
    <x v="3"/>
    <x v="0"/>
    <x v="1"/>
    <s v="Pasta"/>
    <x v="630"/>
    <d v="2024-08-06T00:00:00"/>
    <d v="2024-08-27T00:00:00"/>
    <n v="22"/>
    <n v="1"/>
    <n v="2"/>
    <n v="382.76"/>
    <n v="765.52"/>
    <n v="0.17"/>
    <n v="130.13999999999999"/>
    <n v="635.38"/>
    <n v="489.93"/>
    <n v="145.44999999999999"/>
  </r>
  <r>
    <n v="201082"/>
    <n v="3127"/>
    <x v="2"/>
    <x v="0"/>
    <x v="0"/>
    <s v="Lamp"/>
    <x v="499"/>
    <d v="2024-04-12T00:00:00"/>
    <d v="2024-04-21T00:00:00"/>
    <n v="12"/>
    <n v="3"/>
    <n v="1"/>
    <n v="416.46"/>
    <n v="416.46"/>
    <n v="0.18"/>
    <n v="74.959999999999994"/>
    <n v="341.5"/>
    <n v="279.02999999999997"/>
    <n v="62.47"/>
  </r>
  <r>
    <n v="201083"/>
    <n v="2701"/>
    <x v="3"/>
    <x v="2"/>
    <x v="1"/>
    <s v="Rice"/>
    <x v="361"/>
    <d v="2024-02-24T00:00:00"/>
    <d v="2024-03-12T00:00:00"/>
    <n v="18"/>
    <n v="1"/>
    <n v="5"/>
    <n v="349.46"/>
    <n v="1747.3"/>
    <n v="0.08"/>
    <n v="139.78"/>
    <n v="1607.52"/>
    <n v="1188.1600000000001"/>
    <n v="419.36"/>
  </r>
  <r>
    <n v="201084"/>
    <n v="3930"/>
    <x v="1"/>
    <x v="1"/>
    <x v="3"/>
    <s v="Shirt"/>
    <x v="650"/>
    <d v="2024-03-29T00:00:00"/>
    <d v="2024-04-15T00:00:00"/>
    <n v="21"/>
    <n v="4"/>
    <n v="5"/>
    <n v="713"/>
    <n v="3565"/>
    <n v="0.13"/>
    <n v="463.45"/>
    <n v="3101.55"/>
    <n v="2103.35"/>
    <n v="998.2"/>
  </r>
  <r>
    <n v="201085"/>
    <n v="4165"/>
    <x v="2"/>
    <x v="2"/>
    <x v="3"/>
    <s v="Shoes"/>
    <x v="627"/>
    <d v="2024-07-01T00:00:00"/>
    <d v="2024-07-16T00:00:00"/>
    <n v="20"/>
    <n v="5"/>
    <n v="5"/>
    <n v="796.71"/>
    <n v="3983.55"/>
    <n v="0.12"/>
    <n v="478.03"/>
    <n v="3505.52"/>
    <n v="2668.98"/>
    <n v="836.54"/>
  </r>
  <r>
    <n v="201086"/>
    <n v="2231"/>
    <x v="1"/>
    <x v="2"/>
    <x v="3"/>
    <s v="Shirt"/>
    <x v="561"/>
    <d v="2024-08-10T00:00:00"/>
    <d v="2024-08-30T00:00:00"/>
    <n v="24"/>
    <n v="4"/>
    <n v="2"/>
    <n v="287.98"/>
    <n v="575.96"/>
    <n v="0.13"/>
    <n v="74.87"/>
    <n v="501.09"/>
    <n v="426.21"/>
    <n v="74.88"/>
  </r>
  <r>
    <n v="201087"/>
    <n v="3358"/>
    <x v="3"/>
    <x v="2"/>
    <x v="0"/>
    <s v="Sofa"/>
    <x v="516"/>
    <d v="2024-12-30T00:00:00"/>
    <d v="2025-01-22T00:00:00"/>
    <n v="26"/>
    <n v="3"/>
    <n v="12"/>
    <n v="307.49"/>
    <n v="3689.88"/>
    <n v="0.08"/>
    <n v="295.19"/>
    <n v="3394.69"/>
    <n v="2398.42"/>
    <n v="996.27"/>
  </r>
  <r>
    <n v="201088"/>
    <n v="2309"/>
    <x v="2"/>
    <x v="0"/>
    <x v="2"/>
    <s v="Tablet"/>
    <x v="623"/>
    <d v="2024-07-23T00:00:00"/>
    <d v="2024-08-14T00:00:00"/>
    <n v="23"/>
    <n v="1"/>
    <n v="2"/>
    <n v="615.63"/>
    <n v="1231.26"/>
    <n v="0.15"/>
    <n v="184.69"/>
    <n v="1046.57"/>
    <n v="812.63"/>
    <n v="233.94"/>
  </r>
  <r>
    <n v="201089"/>
    <n v="4296"/>
    <x v="1"/>
    <x v="1"/>
    <x v="3"/>
    <s v="Shoes"/>
    <x v="482"/>
    <d v="2024-11-01T00:00:00"/>
    <d v="2024-11-08T00:00:00"/>
    <n v="8"/>
    <n v="1"/>
    <n v="1"/>
    <n v="158.68"/>
    <n v="158.68"/>
    <n v="0.22"/>
    <n v="34.909999999999997"/>
    <n v="123.77"/>
    <n v="106.32"/>
    <n v="17.45"/>
  </r>
  <r>
    <n v="201090"/>
    <n v="3194"/>
    <x v="3"/>
    <x v="1"/>
    <x v="3"/>
    <s v="Jeans"/>
    <x v="389"/>
    <d v="2024-03-14T00:00:00"/>
    <d v="2024-03-19T00:00:00"/>
    <n v="7"/>
    <n v="2"/>
    <n v="3"/>
    <n v="627.34"/>
    <n v="1882.02"/>
    <n v="0.02"/>
    <n v="37.64"/>
    <n v="1844.38"/>
    <n v="1091.57"/>
    <n v="752.81"/>
  </r>
  <r>
    <n v="201091"/>
    <n v="3602"/>
    <x v="0"/>
    <x v="2"/>
    <x v="3"/>
    <s v="Jacket"/>
    <x v="464"/>
    <d v="2024-02-08T00:00:00"/>
    <d v="2024-02-26T00:00:00"/>
    <n v="22"/>
    <n v="4"/>
    <n v="13"/>
    <n v="166.64"/>
    <n v="2166.3200000000002"/>
    <n v="0.13"/>
    <n v="281.62"/>
    <n v="1884.7"/>
    <n v="1256.47"/>
    <n v="628.23"/>
  </r>
  <r>
    <n v="201092"/>
    <n v="1953"/>
    <x v="3"/>
    <x v="1"/>
    <x v="0"/>
    <s v="Sofa"/>
    <x v="699"/>
    <d v="2024-11-14T00:00:00"/>
    <d v="2024-12-11T00:00:00"/>
    <n v="29"/>
    <n v="2"/>
    <n v="3"/>
    <n v="342"/>
    <n v="1026"/>
    <n v="0.02"/>
    <n v="20.52"/>
    <n v="1005.48"/>
    <n v="625.86"/>
    <n v="379.62"/>
  </r>
  <r>
    <n v="201093"/>
    <n v="3103"/>
    <x v="0"/>
    <x v="2"/>
    <x v="0"/>
    <s v="Lamp"/>
    <x v="538"/>
    <d v="2024-07-05T00:00:00"/>
    <d v="2024-07-22T00:00:00"/>
    <n v="18"/>
    <n v="1"/>
    <n v="13"/>
    <n v="44.37"/>
    <n v="576.80999999999995"/>
    <n v="0.13"/>
    <n v="74.989999999999995"/>
    <n v="501.82"/>
    <n v="369.16"/>
    <n v="132.66"/>
  </r>
  <r>
    <n v="201094"/>
    <n v="2806"/>
    <x v="0"/>
    <x v="2"/>
    <x v="2"/>
    <s v="Laptop"/>
    <x v="644"/>
    <d v="2024-10-06T00:00:00"/>
    <d v="2024-10-14T00:00:00"/>
    <n v="11"/>
    <n v="3"/>
    <n v="9"/>
    <n v="499.87"/>
    <n v="4498.83"/>
    <n v="0.12"/>
    <n v="539.86"/>
    <n v="3958.97"/>
    <n v="2789.27"/>
    <n v="1169.7"/>
  </r>
  <r>
    <n v="201095"/>
    <n v="3708"/>
    <x v="2"/>
    <x v="0"/>
    <x v="2"/>
    <s v="Tablet"/>
    <x v="686"/>
    <d v="2024-03-03T00:00:00"/>
    <d v="2024-03-07T00:00:00"/>
    <n v="5"/>
    <n v="1"/>
    <n v="1"/>
    <n v="561.85"/>
    <n v="561.85"/>
    <n v="0.1"/>
    <n v="56.18"/>
    <n v="505.66"/>
    <n v="348.35"/>
    <n v="157.31"/>
  </r>
  <r>
    <n v="201096"/>
    <n v="2733"/>
    <x v="1"/>
    <x v="1"/>
    <x v="0"/>
    <s v="Table"/>
    <x v="631"/>
    <d v="2024-06-08T00:00:00"/>
    <d v="2024-06-23T00:00:00"/>
    <n v="18"/>
    <n v="3"/>
    <n v="8"/>
    <n v="364.16"/>
    <n v="2913.28"/>
    <n v="0.13"/>
    <n v="378.73"/>
    <n v="2534.5500000000002"/>
    <n v="1951.9"/>
    <n v="582.65"/>
  </r>
  <r>
    <n v="201097"/>
    <n v="4453"/>
    <x v="1"/>
    <x v="2"/>
    <x v="3"/>
    <s v="Jacket"/>
    <x v="542"/>
    <d v="2024-09-01T00:00:00"/>
    <d v="2024-09-06T00:00:00"/>
    <n v="7"/>
    <n v="2"/>
    <n v="9"/>
    <n v="211.16"/>
    <n v="1900.44"/>
    <n v="0.12"/>
    <n v="228.05"/>
    <n v="1672.39"/>
    <n v="1311.3"/>
    <n v="361.09"/>
  </r>
  <r>
    <n v="201098"/>
    <n v="4047"/>
    <x v="3"/>
    <x v="1"/>
    <x v="2"/>
    <s v="Laptop"/>
    <x v="600"/>
    <d v="2024-07-29T00:00:00"/>
    <d v="2024-08-08T00:00:00"/>
    <n v="12"/>
    <n v="2"/>
    <n v="12"/>
    <n v="756.23"/>
    <n v="9074.76"/>
    <n v="0.1"/>
    <n v="907.48"/>
    <n v="8167.28"/>
    <n v="5081.87"/>
    <n v="3085.41"/>
  </r>
  <r>
    <n v="201099"/>
    <n v="3055"/>
    <x v="2"/>
    <x v="1"/>
    <x v="2"/>
    <s v="Tablet"/>
    <x v="472"/>
    <d v="2024-07-03T00:00:00"/>
    <d v="2024-07-09T00:00:00"/>
    <n v="11"/>
    <n v="5"/>
    <n v="10"/>
    <n v="601.04"/>
    <n v="6010.4"/>
    <n v="0"/>
    <n v="0"/>
    <n v="6010.4"/>
    <n v="3425.93"/>
    <n v="2584.4699999999998"/>
  </r>
  <r>
    <n v="201100"/>
    <n v="4661"/>
    <x v="3"/>
    <x v="1"/>
    <x v="0"/>
    <s v="Lamp"/>
    <x v="547"/>
    <d v="2024-02-05T00:00:00"/>
    <d v="2024-02-28T00:00:00"/>
    <n v="27"/>
    <n v="4"/>
    <n v="2"/>
    <n v="267.52"/>
    <n v="535.04"/>
    <n v="0.13"/>
    <n v="69.56"/>
    <n v="465.48"/>
    <n v="342.43"/>
    <n v="123.05"/>
  </r>
  <r>
    <n v="201101"/>
    <n v="2293"/>
    <x v="2"/>
    <x v="2"/>
    <x v="1"/>
    <s v="Pasta"/>
    <x v="672"/>
    <d v="2024-08-06T00:00:00"/>
    <d v="2024-08-13T00:00:00"/>
    <n v="11"/>
    <n v="4"/>
    <n v="9"/>
    <n v="134.44999999999999"/>
    <n v="1210.05"/>
    <n v="0.18"/>
    <n v="217.81"/>
    <n v="992.24"/>
    <n v="762.33"/>
    <n v="229.91"/>
  </r>
  <r>
    <n v="201102"/>
    <n v="3810"/>
    <x v="2"/>
    <x v="0"/>
    <x v="0"/>
    <s v="Lamp"/>
    <x v="361"/>
    <d v="2024-02-28T00:00:00"/>
    <d v="2024-03-09T00:00:00"/>
    <n v="15"/>
    <n v="5"/>
    <n v="6"/>
    <n v="121.16"/>
    <n v="726.96"/>
    <n v="0.05"/>
    <n v="36.35"/>
    <n v="690.61"/>
    <n v="501.6"/>
    <n v="189.01"/>
  </r>
  <r>
    <n v="201103"/>
    <n v="3290"/>
    <x v="2"/>
    <x v="1"/>
    <x v="0"/>
    <s v="Lamp"/>
    <x v="608"/>
    <d v="2024-06-07T00:00:00"/>
    <d v="2024-06-07T00:00:00"/>
    <n v="5"/>
    <n v="5"/>
    <n v="13"/>
    <n v="85.48"/>
    <n v="1111.24"/>
    <n v="0.09"/>
    <n v="100.01"/>
    <n v="1011.23"/>
    <n v="777.87"/>
    <n v="233.36"/>
  </r>
  <r>
    <n v="201104"/>
    <n v="3715"/>
    <x v="3"/>
    <x v="0"/>
    <x v="2"/>
    <s v="Headphones"/>
    <x v="519"/>
    <d v="2024-12-15T00:00:00"/>
    <d v="2024-12-22T00:00:00"/>
    <n v="9"/>
    <n v="2"/>
    <n v="9"/>
    <n v="607.84"/>
    <n v="5470.56"/>
    <n v="0.1"/>
    <n v="547.05999999999995"/>
    <n v="4923.5"/>
    <n v="3282.34"/>
    <n v="1641.16"/>
  </r>
  <r>
    <n v="201105"/>
    <n v="2908"/>
    <x v="3"/>
    <x v="1"/>
    <x v="2"/>
    <s v="Tablet"/>
    <x v="690"/>
    <d v="2024-10-09T00:00:00"/>
    <d v="2024-10-26T00:00:00"/>
    <n v="21"/>
    <n v="4"/>
    <n v="4"/>
    <n v="386.22"/>
    <n v="1544.88"/>
    <n v="7.0000000000000007E-2"/>
    <n v="108.14"/>
    <n v="1436.74"/>
    <n v="1112.31"/>
    <n v="324.43"/>
  </r>
  <r>
    <n v="201106"/>
    <n v="4034"/>
    <x v="2"/>
    <x v="1"/>
    <x v="0"/>
    <s v="Lamp"/>
    <x v="524"/>
    <d v="2024-05-28T00:00:00"/>
    <d v="2024-06-19T00:00:00"/>
    <n v="23"/>
    <n v="1"/>
    <n v="4"/>
    <n v="453.61"/>
    <n v="1814.44"/>
    <n v="0.11"/>
    <n v="199.59"/>
    <n v="1614.85"/>
    <n v="1270.1099999999999"/>
    <n v="344.74"/>
  </r>
  <r>
    <n v="201107"/>
    <n v="4653"/>
    <x v="2"/>
    <x v="0"/>
    <x v="1"/>
    <s v="Rice"/>
    <x v="629"/>
    <d v="2024-07-15T00:00:00"/>
    <d v="2024-07-15T00:00:00"/>
    <n v="4"/>
    <n v="4"/>
    <n v="2"/>
    <n v="569.44000000000005"/>
    <n v="1138.8800000000001"/>
    <n v="0.15"/>
    <n v="170.83"/>
    <n v="968.05"/>
    <n v="706.11"/>
    <n v="261.94"/>
  </r>
  <r>
    <n v="201108"/>
    <n v="1370"/>
    <x v="1"/>
    <x v="1"/>
    <x v="2"/>
    <s v="Headphones"/>
    <x v="560"/>
    <d v="2024-08-28T00:00:00"/>
    <d v="2024-09-02T00:00:00"/>
    <n v="8"/>
    <n v="3"/>
    <n v="13"/>
    <n v="52.88"/>
    <n v="687.44"/>
    <n v="0.12"/>
    <n v="82.49"/>
    <n v="604.95000000000005"/>
    <n v="474.33"/>
    <n v="130.62"/>
  </r>
  <r>
    <n v="201109"/>
    <n v="1381"/>
    <x v="1"/>
    <x v="0"/>
    <x v="3"/>
    <s v="Shirt"/>
    <x v="390"/>
    <d v="2024-09-19T00:00:00"/>
    <d v="2024-09-22T00:00:00"/>
    <n v="6"/>
    <n v="3"/>
    <n v="8"/>
    <n v="535.74"/>
    <n v="4285.92"/>
    <n v="0.1"/>
    <n v="428.59"/>
    <n v="3857.33"/>
    <n v="2700.13"/>
    <n v="1157.2"/>
  </r>
  <r>
    <n v="201110"/>
    <n v="3681"/>
    <x v="3"/>
    <x v="1"/>
    <x v="0"/>
    <s v="Lamp"/>
    <x v="700"/>
    <d v="2024-11-11T00:00:00"/>
    <d v="2024-11-13T00:00:00"/>
    <n v="4"/>
    <n v="2"/>
    <n v="7"/>
    <n v="609.87"/>
    <n v="4269.09"/>
    <n v="0.14000000000000001"/>
    <n v="597.66999999999996"/>
    <n v="3671.42"/>
    <n v="2561.4499999999998"/>
    <n v="1109.97"/>
  </r>
  <r>
    <n v="201111"/>
    <n v="1832"/>
    <x v="3"/>
    <x v="0"/>
    <x v="3"/>
    <s v="Shoes"/>
    <x v="589"/>
    <d v="2024-05-13T00:00:00"/>
    <d v="2024-05-16T00:00:00"/>
    <n v="6"/>
    <n v="3"/>
    <n v="4"/>
    <n v="256.54000000000002"/>
    <n v="1026.1600000000001"/>
    <n v="0.09"/>
    <n v="92.35"/>
    <n v="933.81"/>
    <n v="687.53"/>
    <n v="246.28"/>
  </r>
  <r>
    <n v="201112"/>
    <n v="4579"/>
    <x v="0"/>
    <x v="1"/>
    <x v="1"/>
    <s v="Pasta"/>
    <x v="524"/>
    <d v="2024-05-29T00:00:00"/>
    <d v="2024-06-02T00:00:00"/>
    <n v="6"/>
    <n v="2"/>
    <n v="7"/>
    <n v="727.06"/>
    <n v="5089.42"/>
    <n v="0.09"/>
    <n v="458.05"/>
    <n v="4631.37"/>
    <n v="3206.33"/>
    <n v="1425.04"/>
  </r>
  <r>
    <n v="201113"/>
    <n v="3920"/>
    <x v="1"/>
    <x v="0"/>
    <x v="3"/>
    <s v="Jacket"/>
    <x v="480"/>
    <d v="2024-07-23T00:00:00"/>
    <d v="2024-08-20T00:00:00"/>
    <n v="30"/>
    <n v="2"/>
    <n v="12"/>
    <n v="656.7"/>
    <n v="7880.4"/>
    <n v="0.15"/>
    <n v="1182.06"/>
    <n v="6698.34"/>
    <n v="5437.48"/>
    <n v="1260.8599999999999"/>
  </r>
  <r>
    <n v="201114"/>
    <n v="2301"/>
    <x v="1"/>
    <x v="1"/>
    <x v="3"/>
    <s v="Shoes"/>
    <x v="538"/>
    <d v="2024-07-08T00:00:00"/>
    <d v="2024-07-20T00:00:00"/>
    <n v="16"/>
    <n v="4"/>
    <n v="14"/>
    <n v="442.76"/>
    <n v="6198.64"/>
    <n v="0.04"/>
    <n v="247.95"/>
    <n v="5950.69"/>
    <n v="3843.16"/>
    <n v="2107.5300000000002"/>
  </r>
  <r>
    <n v="201115"/>
    <n v="4646"/>
    <x v="3"/>
    <x v="2"/>
    <x v="2"/>
    <s v="Phone"/>
    <x v="480"/>
    <d v="2024-07-23T00:00:00"/>
    <d v="2024-08-13T00:00:00"/>
    <n v="23"/>
    <n v="2"/>
    <n v="5"/>
    <n v="307.60000000000002"/>
    <n v="1538"/>
    <n v="0.03"/>
    <n v="46.14"/>
    <n v="1491.86"/>
    <n v="1076.5999999999999"/>
    <n v="415.26"/>
  </r>
  <r>
    <n v="201116"/>
    <n v="1478"/>
    <x v="1"/>
    <x v="0"/>
    <x v="3"/>
    <s v="Shirt"/>
    <x v="587"/>
    <d v="2024-11-10T00:00:00"/>
    <d v="2024-11-23T00:00:00"/>
    <n v="15"/>
    <n v="2"/>
    <n v="7"/>
    <n v="567.92999999999995"/>
    <n v="3975.51"/>
    <n v="7.0000000000000007E-2"/>
    <n v="278.29000000000002"/>
    <n v="3697.22"/>
    <n v="2345.5500000000002"/>
    <n v="1351.67"/>
  </r>
  <r>
    <n v="201117"/>
    <n v="4917"/>
    <x v="1"/>
    <x v="1"/>
    <x v="1"/>
    <s v="Rice"/>
    <x v="427"/>
    <d v="2024-12-31T00:00:00"/>
    <d v="2025-01-28T00:00:00"/>
    <n v="30"/>
    <n v="2"/>
    <n v="3"/>
    <n v="441.08"/>
    <n v="1323.24"/>
    <n v="0.19"/>
    <n v="251.42"/>
    <n v="1071.82"/>
    <n v="780.71"/>
    <n v="291.11"/>
  </r>
  <r>
    <n v="201118"/>
    <n v="4037"/>
    <x v="2"/>
    <x v="0"/>
    <x v="3"/>
    <s v="Jeans"/>
    <x v="666"/>
    <d v="2024-01-25T00:00:00"/>
    <d v="2024-02-13T00:00:00"/>
    <n v="24"/>
    <n v="5"/>
    <n v="2"/>
    <n v="327.04000000000002"/>
    <n v="654.08000000000004"/>
    <n v="0.18"/>
    <n v="117.73"/>
    <n v="536.35"/>
    <n v="412.07"/>
    <n v="124.28"/>
  </r>
  <r>
    <n v="201119"/>
    <n v="2802"/>
    <x v="1"/>
    <x v="1"/>
    <x v="3"/>
    <s v="Shoes"/>
    <x v="390"/>
    <d v="2024-09-19T00:00:00"/>
    <d v="2024-10-12T00:00:00"/>
    <n v="26"/>
    <n v="3"/>
    <n v="14"/>
    <n v="725.18"/>
    <n v="10152.52"/>
    <n v="0.19"/>
    <n v="1928.98"/>
    <n v="8223.5400000000009"/>
    <n v="6396.09"/>
    <n v="1827.45"/>
  </r>
  <r>
    <n v="201120"/>
    <n v="2561"/>
    <x v="3"/>
    <x v="1"/>
    <x v="0"/>
    <s v="Lamp"/>
    <x v="569"/>
    <d v="2024-07-20T00:00:00"/>
    <d v="2024-08-11T00:00:00"/>
    <n v="25"/>
    <n v="3"/>
    <n v="13"/>
    <n v="584.64"/>
    <n v="7600.32"/>
    <n v="7.0000000000000007E-2"/>
    <n v="532.02"/>
    <n v="7068.3"/>
    <n v="4636.2"/>
    <n v="2432.1"/>
  </r>
  <r>
    <n v="201121"/>
    <n v="2328"/>
    <x v="1"/>
    <x v="1"/>
    <x v="1"/>
    <s v="Rice"/>
    <x v="701"/>
    <d v="2024-03-16T00:00:00"/>
    <d v="2024-04-10T00:00:00"/>
    <n v="27"/>
    <n v="2"/>
    <n v="12"/>
    <n v="535.36"/>
    <n v="6424.32"/>
    <n v="0.11"/>
    <n v="706.68"/>
    <n v="5717.64"/>
    <n v="3983.08"/>
    <n v="1734.56"/>
  </r>
  <r>
    <n v="201122"/>
    <n v="3041"/>
    <x v="1"/>
    <x v="2"/>
    <x v="2"/>
    <s v="Phone"/>
    <x v="421"/>
    <d v="2024-02-29T00:00:00"/>
    <d v="2024-03-02T00:00:00"/>
    <n v="4"/>
    <n v="2"/>
    <n v="8"/>
    <n v="132.80000000000001"/>
    <n v="1062.4000000000001"/>
    <n v="0.03"/>
    <n v="31.87"/>
    <n v="1030.53"/>
    <n v="690.56"/>
    <n v="339.97"/>
  </r>
  <r>
    <n v="201123"/>
    <n v="3549"/>
    <x v="2"/>
    <x v="2"/>
    <x v="3"/>
    <s v="Shoes"/>
    <x v="384"/>
    <d v="2024-09-09T00:00:00"/>
    <d v="2024-09-15T00:00:00"/>
    <n v="7"/>
    <n v="1"/>
    <n v="6"/>
    <n v="591.61"/>
    <n v="3549.66"/>
    <n v="0.11"/>
    <n v="390.46"/>
    <n v="3159.2"/>
    <n v="2200.79"/>
    <n v="958.41"/>
  </r>
  <r>
    <n v="201124"/>
    <n v="2818"/>
    <x v="2"/>
    <x v="1"/>
    <x v="1"/>
    <s v="Beverage"/>
    <x v="548"/>
    <d v="2024-01-17T00:00:00"/>
    <d v="2024-01-22T00:00:00"/>
    <n v="7"/>
    <n v="2"/>
    <n v="7"/>
    <n v="473.44"/>
    <n v="3314.08"/>
    <n v="0.12"/>
    <n v="397.69"/>
    <n v="2916.39"/>
    <n v="2319.86"/>
    <n v="596.53"/>
  </r>
  <r>
    <n v="201125"/>
    <n v="4258"/>
    <x v="0"/>
    <x v="1"/>
    <x v="2"/>
    <s v="Headphones"/>
    <x v="528"/>
    <d v="2024-08-27T00:00:00"/>
    <d v="2024-09-05T00:00:00"/>
    <n v="14"/>
    <n v="5"/>
    <n v="11"/>
    <n v="413.99"/>
    <n v="4553.8900000000003"/>
    <n v="0.15"/>
    <n v="683.08"/>
    <n v="3870.81"/>
    <n v="3233.26"/>
    <n v="637.54999999999995"/>
  </r>
  <r>
    <n v="201126"/>
    <n v="4112"/>
    <x v="0"/>
    <x v="0"/>
    <x v="3"/>
    <s v="Shirt"/>
    <x v="630"/>
    <d v="2024-08-07T00:00:00"/>
    <d v="2024-08-07T00:00:00"/>
    <n v="2"/>
    <n v="2"/>
    <n v="13"/>
    <n v="485.33"/>
    <n v="6309.29"/>
    <n v="0.03"/>
    <n v="189.28"/>
    <n v="6120.01"/>
    <n v="4479.6000000000004"/>
    <n v="1640.41"/>
  </r>
  <r>
    <n v="201127"/>
    <n v="4326"/>
    <x v="3"/>
    <x v="2"/>
    <x v="2"/>
    <s v="Tablet"/>
    <x v="571"/>
    <d v="2024-03-01T00:00:00"/>
    <d v="2024-03-02T00:00:00"/>
    <n v="6"/>
    <n v="5"/>
    <n v="1"/>
    <n v="555.54"/>
    <n v="555.54"/>
    <n v="0.02"/>
    <n v="11.11"/>
    <n v="544.42999999999995"/>
    <n v="388.88"/>
    <n v="155.55000000000001"/>
  </r>
  <r>
    <n v="201128"/>
    <n v="2267"/>
    <x v="2"/>
    <x v="0"/>
    <x v="3"/>
    <s v="Shirt"/>
    <x v="421"/>
    <d v="2024-03-03T00:00:00"/>
    <d v="2024-03-16T00:00:00"/>
    <n v="18"/>
    <n v="5"/>
    <n v="9"/>
    <n v="755.92"/>
    <n v="6803.28"/>
    <n v="0.09"/>
    <n v="612.29999999999995"/>
    <n v="6190.98"/>
    <n v="4081.97"/>
    <n v="2109.0100000000002"/>
  </r>
  <r>
    <n v="201129"/>
    <n v="3724"/>
    <x v="1"/>
    <x v="2"/>
    <x v="1"/>
    <s v="Snacks"/>
    <x v="623"/>
    <d v="2024-07-23T00:00:00"/>
    <d v="2024-08-17T00:00:00"/>
    <n v="26"/>
    <n v="1"/>
    <n v="13"/>
    <n v="290.87"/>
    <n v="3781.31"/>
    <n v="0.12"/>
    <n v="453.76"/>
    <n v="3327.55"/>
    <n v="2344.41"/>
    <n v="983.14"/>
  </r>
  <r>
    <n v="201130"/>
    <n v="1900"/>
    <x v="1"/>
    <x v="0"/>
    <x v="0"/>
    <s v="Table"/>
    <x v="498"/>
    <d v="2024-04-07T00:00:00"/>
    <d v="2024-04-26T00:00:00"/>
    <n v="20"/>
    <n v="1"/>
    <n v="11"/>
    <n v="418.36"/>
    <n v="4601.96"/>
    <n v="0.13"/>
    <n v="598.25"/>
    <n v="4003.71"/>
    <n v="2715.16"/>
    <n v="1288.55"/>
  </r>
  <r>
    <n v="201131"/>
    <n v="1790"/>
    <x v="3"/>
    <x v="1"/>
    <x v="3"/>
    <s v="Jeans"/>
    <x v="600"/>
    <d v="2024-07-30T00:00:00"/>
    <d v="2024-08-11T00:00:00"/>
    <n v="15"/>
    <n v="3"/>
    <n v="9"/>
    <n v="137.36000000000001"/>
    <n v="1236.24"/>
    <n v="0.11"/>
    <n v="135.99"/>
    <n v="1100.25"/>
    <n v="741.74"/>
    <n v="358.51"/>
  </r>
  <r>
    <n v="201132"/>
    <n v="2069"/>
    <x v="0"/>
    <x v="2"/>
    <x v="3"/>
    <s v="Shirt"/>
    <x v="366"/>
    <d v="2024-05-05T00:00:00"/>
    <d v="2024-05-28T00:00:00"/>
    <n v="27"/>
    <n v="4"/>
    <n v="3"/>
    <n v="136.97999999999999"/>
    <n v="410.94"/>
    <n v="0.06"/>
    <n v="24.66"/>
    <n v="386.28"/>
    <n v="258.89"/>
    <n v="127.39"/>
  </r>
  <r>
    <n v="201133"/>
    <n v="1419"/>
    <x v="2"/>
    <x v="2"/>
    <x v="3"/>
    <s v="Jeans"/>
    <x v="389"/>
    <d v="2024-03-14T00:00:00"/>
    <d v="2024-03-27T00:00:00"/>
    <n v="15"/>
    <n v="2"/>
    <n v="5"/>
    <n v="466.58"/>
    <n v="2332.9"/>
    <n v="7.0000000000000007E-2"/>
    <n v="163.30000000000001"/>
    <n v="2169.6"/>
    <n v="1609.7"/>
    <n v="559.9"/>
  </r>
  <r>
    <n v="201134"/>
    <n v="4639"/>
    <x v="2"/>
    <x v="1"/>
    <x v="2"/>
    <s v="Headphones"/>
    <x v="579"/>
    <d v="2024-02-10T00:00:00"/>
    <d v="2024-02-13T00:00:00"/>
    <n v="5"/>
    <n v="2"/>
    <n v="5"/>
    <n v="527.11"/>
    <n v="2635.55"/>
    <n v="0.15"/>
    <n v="395.33"/>
    <n v="2240.2199999999998"/>
    <n v="1449.55"/>
    <n v="790.67"/>
  </r>
  <r>
    <n v="201135"/>
    <n v="1231"/>
    <x v="1"/>
    <x v="1"/>
    <x v="3"/>
    <s v="Shoes"/>
    <x v="563"/>
    <d v="2024-08-18T00:00:00"/>
    <d v="2024-08-19T00:00:00"/>
    <n v="2"/>
    <n v="1"/>
    <n v="6"/>
    <n v="189.66"/>
    <n v="1137.96"/>
    <n v="0.03"/>
    <n v="34.14"/>
    <n v="1103.82"/>
    <n v="716.91"/>
    <n v="386.91"/>
  </r>
  <r>
    <n v="201136"/>
    <n v="4487"/>
    <x v="3"/>
    <x v="2"/>
    <x v="1"/>
    <s v="Pasta"/>
    <x v="686"/>
    <d v="2024-03-06T00:00:00"/>
    <d v="2024-04-01T00:00:00"/>
    <n v="30"/>
    <n v="4"/>
    <n v="8"/>
    <n v="131.06"/>
    <n v="1048.48"/>
    <n v="7.0000000000000007E-2"/>
    <n v="73.39"/>
    <n v="975.09"/>
    <n v="660.54"/>
    <n v="314.55"/>
  </r>
  <r>
    <n v="201137"/>
    <n v="1831"/>
    <x v="0"/>
    <x v="2"/>
    <x v="3"/>
    <s v="Jeans"/>
    <x v="407"/>
    <d v="2024-08-12T00:00:00"/>
    <d v="2024-08-27T00:00:00"/>
    <n v="17"/>
    <n v="2"/>
    <n v="1"/>
    <n v="187.67"/>
    <n v="187.67"/>
    <n v="0.1"/>
    <n v="18.77"/>
    <n v="168.9"/>
    <n v="112.6"/>
    <n v="56.3"/>
  </r>
  <r>
    <n v="201138"/>
    <n v="4995"/>
    <x v="0"/>
    <x v="2"/>
    <x v="1"/>
    <s v="Rice"/>
    <x v="699"/>
    <d v="2024-11-16T00:00:00"/>
    <d v="2024-11-15T00:00:00"/>
    <n v="3"/>
    <n v="4"/>
    <n v="8"/>
    <n v="288.95"/>
    <n v="2311.6"/>
    <n v="0.09"/>
    <n v="208.04"/>
    <n v="2103.56"/>
    <n v="1664.35"/>
    <n v="439.21"/>
  </r>
  <r>
    <n v="201139"/>
    <n v="2081"/>
    <x v="0"/>
    <x v="2"/>
    <x v="0"/>
    <s v="Cookware"/>
    <x v="413"/>
    <d v="2024-07-11T00:00:00"/>
    <d v="2024-08-02T00:00:00"/>
    <n v="23"/>
    <n v="1"/>
    <n v="9"/>
    <n v="677.36"/>
    <n v="6096.24"/>
    <n v="0.13"/>
    <n v="792.51"/>
    <n v="5303.73"/>
    <n v="3840.63"/>
    <n v="1463.1"/>
  </r>
  <r>
    <n v="201140"/>
    <n v="2889"/>
    <x v="2"/>
    <x v="1"/>
    <x v="3"/>
    <s v="Shirt"/>
    <x v="525"/>
    <d v="2024-01-15T00:00:00"/>
    <d v="2024-01-20T00:00:00"/>
    <n v="10"/>
    <n v="5"/>
    <n v="8"/>
    <n v="792.77"/>
    <n v="6342.16"/>
    <n v="0.17"/>
    <n v="1078.17"/>
    <n v="5263.99"/>
    <n v="3488.19"/>
    <n v="1775.8"/>
  </r>
  <r>
    <n v="201141"/>
    <n v="1166"/>
    <x v="0"/>
    <x v="0"/>
    <x v="2"/>
    <s v="Phone"/>
    <x v="541"/>
    <d v="2024-07-15T00:00:00"/>
    <d v="2024-08-10T00:00:00"/>
    <n v="27"/>
    <n v="1"/>
    <n v="7"/>
    <n v="639.66999999999996"/>
    <n v="4477.6899999999996"/>
    <n v="0.09"/>
    <n v="402.99"/>
    <n v="4074.7"/>
    <n v="2776.17"/>
    <n v="1298.53"/>
  </r>
  <r>
    <n v="201142"/>
    <n v="2015"/>
    <x v="2"/>
    <x v="0"/>
    <x v="2"/>
    <s v="Headphones"/>
    <x v="474"/>
    <d v="2024-08-08T00:00:00"/>
    <d v="2024-09-03T00:00:00"/>
    <n v="30"/>
    <n v="4"/>
    <n v="2"/>
    <n v="557.52"/>
    <n v="1115.04"/>
    <n v="0.19"/>
    <n v="211.86"/>
    <n v="903.18"/>
    <n v="691.32"/>
    <n v="211.86"/>
  </r>
  <r>
    <n v="201143"/>
    <n v="1420"/>
    <x v="2"/>
    <x v="1"/>
    <x v="1"/>
    <s v="Beverage"/>
    <x v="498"/>
    <d v="2024-04-10T00:00:00"/>
    <d v="2024-04-17T00:00:00"/>
    <n v="11"/>
    <n v="4"/>
    <n v="12"/>
    <n v="254.9"/>
    <n v="3058.8"/>
    <n v="0.02"/>
    <n v="61.18"/>
    <n v="2997.62"/>
    <n v="1804.69"/>
    <n v="1192.93"/>
  </r>
  <r>
    <n v="201144"/>
    <n v="2818"/>
    <x v="3"/>
    <x v="0"/>
    <x v="1"/>
    <s v="Pasta"/>
    <x v="492"/>
    <d v="2024-07-02T00:00:00"/>
    <d v="2024-07-23T00:00:00"/>
    <n v="26"/>
    <n v="5"/>
    <n v="12"/>
    <n v="378.47"/>
    <n v="4541.6400000000003"/>
    <n v="0.19"/>
    <n v="862.91"/>
    <n v="3678.73"/>
    <n v="2861.23"/>
    <n v="817.5"/>
  </r>
  <r>
    <n v="201145"/>
    <n v="4459"/>
    <x v="1"/>
    <x v="0"/>
    <x v="1"/>
    <s v="Snacks"/>
    <x v="609"/>
    <d v="2024-09-08T00:00:00"/>
    <d v="2024-09-12T00:00:00"/>
    <n v="6"/>
    <n v="2"/>
    <n v="7"/>
    <n v="724.91"/>
    <n v="5074.37"/>
    <n v="0.01"/>
    <n v="50.74"/>
    <n v="5023.63"/>
    <n v="3298.34"/>
    <n v="1725.29"/>
  </r>
  <r>
    <n v="201146"/>
    <n v="1435"/>
    <x v="0"/>
    <x v="1"/>
    <x v="0"/>
    <s v="Sofa"/>
    <x v="698"/>
    <d v="2024-01-29T00:00:00"/>
    <d v="2024-02-22T00:00:00"/>
    <n v="29"/>
    <n v="5"/>
    <n v="1"/>
    <n v="418.35"/>
    <n v="418.35"/>
    <n v="0.11"/>
    <n v="46.02"/>
    <n v="372.33"/>
    <n v="242.64"/>
    <n v="129.69"/>
  </r>
  <r>
    <n v="201147"/>
    <n v="2825"/>
    <x v="3"/>
    <x v="0"/>
    <x v="1"/>
    <s v="Rice"/>
    <x v="423"/>
    <d v="2024-12-29T00:00:00"/>
    <d v="2025-01-20T00:00:00"/>
    <n v="23"/>
    <n v="1"/>
    <n v="6"/>
    <n v="133.15"/>
    <n v="798.9"/>
    <n v="0.11"/>
    <n v="87.88"/>
    <n v="711.02"/>
    <n v="527.27"/>
    <n v="183.75"/>
  </r>
  <r>
    <n v="201148"/>
    <n v="3761"/>
    <x v="1"/>
    <x v="2"/>
    <x v="3"/>
    <s v="Shirt"/>
    <x v="395"/>
    <d v="2024-12-22T00:00:00"/>
    <d v="2024-12-23T00:00:00"/>
    <n v="5"/>
    <n v="4"/>
    <n v="9"/>
    <n v="346.55"/>
    <n v="3118.95"/>
    <n v="0"/>
    <n v="0"/>
    <n v="3118.95"/>
    <n v="1684.23"/>
    <n v="1434.72"/>
  </r>
  <r>
    <n v="201149"/>
    <n v="4414"/>
    <x v="0"/>
    <x v="0"/>
    <x v="3"/>
    <s v="Shirt"/>
    <x v="531"/>
    <d v="2024-04-26T00:00:00"/>
    <d v="2024-04-29T00:00:00"/>
    <n v="6"/>
    <n v="3"/>
    <n v="14"/>
    <n v="505.41"/>
    <n v="7075.74"/>
    <n v="0.16"/>
    <n v="1132.1199999999999"/>
    <n v="5943.62"/>
    <n v="4103.93"/>
    <n v="1839.69"/>
  </r>
  <r>
    <n v="201150"/>
    <n v="2081"/>
    <x v="3"/>
    <x v="1"/>
    <x v="1"/>
    <s v="Snacks"/>
    <x v="681"/>
    <d v="2024-10-31T00:00:00"/>
    <d v="2024-11-07T00:00:00"/>
    <n v="8"/>
    <n v="1"/>
    <n v="12"/>
    <n v="394.1"/>
    <n v="4729.2"/>
    <n v="0.11"/>
    <n v="520.21"/>
    <n v="4208.99"/>
    <n v="2553.77"/>
    <n v="1655.22"/>
  </r>
  <r>
    <n v="201151"/>
    <n v="3107"/>
    <x v="0"/>
    <x v="2"/>
    <x v="1"/>
    <s v="Beverage"/>
    <x v="558"/>
    <d v="2024-04-28T00:00:00"/>
    <d v="2024-05-23T00:00:00"/>
    <n v="29"/>
    <n v="4"/>
    <n v="1"/>
    <n v="707.6"/>
    <n v="707.6"/>
    <n v="0.09"/>
    <n v="63.68"/>
    <n v="643.91999999999996"/>
    <n v="467.02"/>
    <n v="176.9"/>
  </r>
  <r>
    <n v="201152"/>
    <n v="3277"/>
    <x v="1"/>
    <x v="0"/>
    <x v="2"/>
    <s v="Headphones"/>
    <x v="640"/>
    <d v="2024-12-09T00:00:00"/>
    <d v="2024-12-27T00:00:00"/>
    <n v="23"/>
    <n v="5"/>
    <n v="5"/>
    <n v="555.58000000000004"/>
    <n v="2777.9"/>
    <n v="0.06"/>
    <n v="166.67"/>
    <n v="2611.23"/>
    <n v="1750.08"/>
    <n v="861.15"/>
  </r>
  <r>
    <n v="201153"/>
    <n v="2238"/>
    <x v="1"/>
    <x v="1"/>
    <x v="0"/>
    <s v="Sofa"/>
    <x v="479"/>
    <d v="2024-04-14T00:00:00"/>
    <d v="2024-04-18T00:00:00"/>
    <n v="5"/>
    <n v="1"/>
    <n v="3"/>
    <n v="513.29999999999995"/>
    <n v="1539.9"/>
    <n v="7.0000000000000007E-2"/>
    <n v="107.79"/>
    <n v="1432.11"/>
    <n v="1077.93"/>
    <n v="354.18"/>
  </r>
  <r>
    <n v="201154"/>
    <n v="3349"/>
    <x v="2"/>
    <x v="1"/>
    <x v="1"/>
    <s v="Snacks"/>
    <x v="617"/>
    <d v="2024-05-02T00:00:00"/>
    <d v="2024-05-12T00:00:00"/>
    <n v="15"/>
    <n v="5"/>
    <n v="7"/>
    <n v="76.95"/>
    <n v="538.65"/>
    <n v="0.12"/>
    <n v="64.64"/>
    <n v="474.01"/>
    <n v="339.35"/>
    <n v="134.66"/>
  </r>
  <r>
    <n v="201155"/>
    <n v="1791"/>
    <x v="2"/>
    <x v="1"/>
    <x v="2"/>
    <s v="Phone"/>
    <x v="501"/>
    <d v="2024-10-05T00:00:00"/>
    <d v="2024-10-07T00:00:00"/>
    <n v="5"/>
    <n v="3"/>
    <n v="4"/>
    <n v="543.6"/>
    <n v="2174.4"/>
    <n v="0.08"/>
    <n v="173.95"/>
    <n v="2000.45"/>
    <n v="1348.13"/>
    <n v="652.32000000000005"/>
  </r>
  <r>
    <n v="201156"/>
    <n v="2001"/>
    <x v="3"/>
    <x v="1"/>
    <x v="0"/>
    <s v="Table"/>
    <x v="427"/>
    <d v="2025-01-03T00:00:00"/>
    <d v="2025-01-13T00:00:00"/>
    <n v="15"/>
    <n v="5"/>
    <n v="7"/>
    <n v="147.84"/>
    <n v="1034.8800000000001"/>
    <n v="0.08"/>
    <n v="82.79"/>
    <n v="952.09"/>
    <n v="631.28"/>
    <n v="320.81"/>
  </r>
  <r>
    <n v="201157"/>
    <n v="4030"/>
    <x v="3"/>
    <x v="2"/>
    <x v="3"/>
    <s v="Shoes"/>
    <x v="580"/>
    <d v="2024-10-27T00:00:00"/>
    <d v="2024-11-04T00:00:00"/>
    <n v="9"/>
    <n v="1"/>
    <n v="8"/>
    <n v="331.19"/>
    <n v="2649.52"/>
    <n v="7.0000000000000007E-2"/>
    <n v="185.47"/>
    <n v="2464.0500000000002"/>
    <n v="1377.75"/>
    <n v="1086.3"/>
  </r>
  <r>
    <n v="201158"/>
    <n v="2080"/>
    <x v="1"/>
    <x v="2"/>
    <x v="3"/>
    <s v="Jeans"/>
    <x v="474"/>
    <d v="2024-08-09T00:00:00"/>
    <d v="2024-08-17T00:00:00"/>
    <n v="13"/>
    <n v="5"/>
    <n v="8"/>
    <n v="326.27999999999997"/>
    <n v="2610.2399999999998"/>
    <n v="0.12"/>
    <n v="313.23"/>
    <n v="2297.0100000000002"/>
    <n v="1540.04"/>
    <n v="756.97"/>
  </r>
  <r>
    <n v="201159"/>
    <n v="3736"/>
    <x v="3"/>
    <x v="1"/>
    <x v="1"/>
    <s v="Pasta"/>
    <x v="664"/>
    <d v="2024-03-11T00:00:00"/>
    <d v="2024-03-21T00:00:00"/>
    <n v="15"/>
    <n v="5"/>
    <n v="11"/>
    <n v="377.5"/>
    <n v="4152.5"/>
    <n v="0.18"/>
    <n v="747.45"/>
    <n v="3405.05"/>
    <n v="2325.4"/>
    <n v="1079.6500000000001"/>
  </r>
  <r>
    <n v="201160"/>
    <n v="2815"/>
    <x v="3"/>
    <x v="2"/>
    <x v="3"/>
    <s v="Shirt"/>
    <x v="596"/>
    <d v="2024-10-27T00:00:00"/>
    <d v="2024-11-22T00:00:00"/>
    <n v="29"/>
    <n v="3"/>
    <n v="1"/>
    <n v="541.99"/>
    <n v="541.99"/>
    <n v="0.04"/>
    <n v="21.68"/>
    <n v="520.30999999999995"/>
    <n v="314.35000000000002"/>
    <n v="205.96"/>
  </r>
  <r>
    <n v="201161"/>
    <n v="1347"/>
    <x v="1"/>
    <x v="2"/>
    <x v="1"/>
    <s v="Pasta"/>
    <x v="677"/>
    <d v="2024-12-02T00:00:00"/>
    <d v="2024-12-31T00:00:00"/>
    <n v="30"/>
    <n v="1"/>
    <n v="3"/>
    <n v="258.08999999999997"/>
    <n v="774.27"/>
    <n v="0.12"/>
    <n v="92.91"/>
    <n v="681.36"/>
    <n v="487.79"/>
    <n v="193.57"/>
  </r>
  <r>
    <n v="201162"/>
    <n v="3428"/>
    <x v="2"/>
    <x v="1"/>
    <x v="0"/>
    <s v="Table"/>
    <x v="695"/>
    <d v="2024-07-20T00:00:00"/>
    <d v="2024-08-11T00:00:00"/>
    <n v="24"/>
    <n v="2"/>
    <n v="11"/>
    <n v="665.56"/>
    <n v="7321.16"/>
    <n v="0.09"/>
    <n v="658.9"/>
    <n v="6662.26"/>
    <n v="4905.18"/>
    <n v="1757.08"/>
  </r>
  <r>
    <n v="201163"/>
    <n v="3148"/>
    <x v="3"/>
    <x v="0"/>
    <x v="1"/>
    <s v="Snacks"/>
    <x v="440"/>
    <d v="2024-05-17T00:00:00"/>
    <d v="2024-05-26T00:00:00"/>
    <n v="11"/>
    <n v="2"/>
    <n v="6"/>
    <n v="225.72"/>
    <n v="1354.32"/>
    <n v="0.01"/>
    <n v="13.54"/>
    <n v="1340.78"/>
    <n v="961.57"/>
    <n v="379.21"/>
  </r>
  <r>
    <n v="201164"/>
    <n v="2456"/>
    <x v="0"/>
    <x v="0"/>
    <x v="3"/>
    <s v="Shirt"/>
    <x v="506"/>
    <d v="2024-11-02T00:00:00"/>
    <d v="2024-11-12T00:00:00"/>
    <n v="14"/>
    <n v="4"/>
    <n v="6"/>
    <n v="562.28"/>
    <n v="3373.68"/>
    <n v="0.1"/>
    <n v="337.37"/>
    <n v="3036.31"/>
    <n v="2327.84"/>
    <n v="708.47"/>
  </r>
  <r>
    <n v="201165"/>
    <n v="2797"/>
    <x v="3"/>
    <x v="1"/>
    <x v="2"/>
    <s v="Headphones"/>
    <x v="541"/>
    <d v="2024-07-19T00:00:00"/>
    <d v="2024-08-06T00:00:00"/>
    <n v="23"/>
    <n v="5"/>
    <n v="10"/>
    <n v="548.9"/>
    <n v="5489"/>
    <n v="0.08"/>
    <n v="439.12"/>
    <n v="5049.88"/>
    <n v="3677.63"/>
    <n v="1372.25"/>
  </r>
  <r>
    <n v="201166"/>
    <n v="4688"/>
    <x v="3"/>
    <x v="2"/>
    <x v="0"/>
    <s v="Lamp"/>
    <x v="408"/>
    <d v="2024-09-26T00:00:00"/>
    <d v="2024-09-29T00:00:00"/>
    <n v="8"/>
    <n v="5"/>
    <n v="13"/>
    <n v="268.27999999999997"/>
    <n v="3487.64"/>
    <n v="0.11"/>
    <n v="383.64"/>
    <n v="3104"/>
    <n v="2127.46"/>
    <n v="976.54"/>
  </r>
  <r>
    <n v="201167"/>
    <n v="3108"/>
    <x v="2"/>
    <x v="1"/>
    <x v="3"/>
    <s v="Jacket"/>
    <x v="554"/>
    <d v="2024-04-04T00:00:00"/>
    <d v="2024-04-14T00:00:00"/>
    <n v="11"/>
    <n v="1"/>
    <n v="4"/>
    <n v="737.79"/>
    <n v="2951.16"/>
    <n v="0.14000000000000001"/>
    <n v="413.16"/>
    <n v="2538"/>
    <n v="1770.7"/>
    <n v="767.3"/>
  </r>
  <r>
    <n v="201168"/>
    <n v="2618"/>
    <x v="3"/>
    <x v="2"/>
    <x v="1"/>
    <s v="Snacks"/>
    <x v="642"/>
    <d v="2024-12-09T00:00:00"/>
    <d v="2024-12-30T00:00:00"/>
    <n v="24"/>
    <n v="3"/>
    <n v="4"/>
    <n v="655.57"/>
    <n v="2622.28"/>
    <n v="0.1"/>
    <n v="262.23"/>
    <n v="2360.0500000000002"/>
    <n v="1678.26"/>
    <n v="681.79"/>
  </r>
  <r>
    <n v="201169"/>
    <n v="1152"/>
    <x v="1"/>
    <x v="0"/>
    <x v="0"/>
    <s v="Cookware"/>
    <x v="457"/>
    <d v="2024-11-11T00:00:00"/>
    <d v="2024-11-12T00:00:00"/>
    <n v="5"/>
    <n v="4"/>
    <n v="13"/>
    <n v="297.79000000000002"/>
    <n v="3871.27"/>
    <n v="0.09"/>
    <n v="348.41"/>
    <n v="3522.86"/>
    <n v="2400.19"/>
    <n v="1122.67"/>
  </r>
  <r>
    <n v="201170"/>
    <n v="1093"/>
    <x v="2"/>
    <x v="0"/>
    <x v="1"/>
    <s v="Beverage"/>
    <x v="666"/>
    <d v="2024-01-23T00:00:00"/>
    <d v="2024-02-09T00:00:00"/>
    <n v="20"/>
    <n v="3"/>
    <n v="3"/>
    <n v="433.78"/>
    <n v="1301.3399999999999"/>
    <n v="0.13"/>
    <n v="169.17"/>
    <n v="1132.17"/>
    <n v="858.88"/>
    <n v="273.29000000000002"/>
  </r>
  <r>
    <n v="201171"/>
    <n v="4771"/>
    <x v="1"/>
    <x v="1"/>
    <x v="3"/>
    <s v="Jeans"/>
    <x v="678"/>
    <d v="2024-07-08T00:00:00"/>
    <d v="2024-07-14T00:00:00"/>
    <n v="7"/>
    <n v="1"/>
    <n v="5"/>
    <n v="436.29"/>
    <n v="2181.4499999999998"/>
    <n v="0.17"/>
    <n v="370.85"/>
    <n v="1810.6"/>
    <n v="1657.9"/>
    <n v="152.69999999999999"/>
  </r>
  <r>
    <n v="201172"/>
    <n v="4110"/>
    <x v="2"/>
    <x v="0"/>
    <x v="3"/>
    <s v="Jeans"/>
    <x v="439"/>
    <d v="2024-09-13T00:00:00"/>
    <d v="2024-09-28T00:00:00"/>
    <n v="18"/>
    <n v="3"/>
    <n v="13"/>
    <n v="73.540000000000006"/>
    <n v="956.02"/>
    <n v="0.11"/>
    <n v="105.16"/>
    <n v="850.86"/>
    <n v="697.89"/>
    <n v="152.97"/>
  </r>
  <r>
    <n v="201173"/>
    <n v="1677"/>
    <x v="2"/>
    <x v="0"/>
    <x v="3"/>
    <s v="Shoes"/>
    <x v="632"/>
    <d v="2024-12-22T00:00:00"/>
    <d v="2025-01-01T00:00:00"/>
    <n v="12"/>
    <n v="2"/>
    <n v="9"/>
    <n v="426.56"/>
    <n v="3839.04"/>
    <n v="0.21"/>
    <n v="806.2"/>
    <n v="3032.84"/>
    <n v="2533.77"/>
    <n v="499.07"/>
  </r>
  <r>
    <n v="201174"/>
    <n v="4728"/>
    <x v="0"/>
    <x v="0"/>
    <x v="3"/>
    <s v="Shirt"/>
    <x v="672"/>
    <d v="2024-08-05T00:00:00"/>
    <d v="2024-08-16T00:00:00"/>
    <n v="14"/>
    <n v="3"/>
    <n v="8"/>
    <n v="596.19000000000005"/>
    <n v="4769.5200000000004"/>
    <n v="0.08"/>
    <n v="381.56"/>
    <n v="4387.96"/>
    <n v="3004.8"/>
    <n v="1383.16"/>
  </r>
  <r>
    <n v="201175"/>
    <n v="4905"/>
    <x v="3"/>
    <x v="1"/>
    <x v="3"/>
    <s v="Shirt"/>
    <x v="548"/>
    <d v="2024-01-17T00:00:00"/>
    <d v="2024-02-13T00:00:00"/>
    <n v="29"/>
    <n v="2"/>
    <n v="5"/>
    <n v="139.74"/>
    <n v="698.7"/>
    <n v="0.08"/>
    <n v="55.9"/>
    <n v="642.79999999999995"/>
    <n v="461.14"/>
    <n v="181.66"/>
  </r>
  <r>
    <n v="201176"/>
    <n v="4969"/>
    <x v="2"/>
    <x v="1"/>
    <x v="1"/>
    <s v="Rice"/>
    <x v="599"/>
    <d v="2024-10-20T00:00:00"/>
    <d v="2024-11-05T00:00:00"/>
    <n v="20"/>
    <n v="4"/>
    <n v="10"/>
    <n v="420.64"/>
    <n v="4206.3999999999996"/>
    <n v="0.08"/>
    <n v="336.51"/>
    <n v="3869.89"/>
    <n v="2692.1"/>
    <n v="1177.79"/>
  </r>
  <r>
    <n v="201177"/>
    <n v="1668"/>
    <x v="1"/>
    <x v="2"/>
    <x v="2"/>
    <s v="Laptop"/>
    <x v="522"/>
    <d v="2024-04-02T00:00:00"/>
    <d v="2024-04-10T00:00:00"/>
    <n v="9"/>
    <n v="1"/>
    <n v="5"/>
    <n v="517.09"/>
    <n v="2585.4499999999998"/>
    <n v="0.08"/>
    <n v="206.84"/>
    <n v="2378.61"/>
    <n v="1706.4"/>
    <n v="672.21"/>
  </r>
  <r>
    <n v="201178"/>
    <n v="3915"/>
    <x v="3"/>
    <x v="0"/>
    <x v="2"/>
    <s v="Tablet"/>
    <x v="599"/>
    <d v="2024-10-20T00:00:00"/>
    <d v="2024-10-23T00:00:00"/>
    <n v="7"/>
    <n v="4"/>
    <n v="9"/>
    <n v="562.37"/>
    <n v="5061.33"/>
    <n v="0.13"/>
    <n v="657.97"/>
    <n v="4403.3599999999997"/>
    <n v="3340.48"/>
    <n v="1062.8800000000001"/>
  </r>
  <r>
    <n v="201179"/>
    <n v="2221"/>
    <x v="3"/>
    <x v="1"/>
    <x v="1"/>
    <s v="Pasta"/>
    <x v="637"/>
    <d v="2024-06-01T00:00:00"/>
    <d v="2024-06-09T00:00:00"/>
    <n v="10"/>
    <n v="2"/>
    <n v="1"/>
    <n v="430.47"/>
    <n v="430.47"/>
    <n v="0.1"/>
    <n v="43.05"/>
    <n v="387.42"/>
    <n v="284.11"/>
    <n v="103.31"/>
  </r>
  <r>
    <n v="201180"/>
    <n v="3143"/>
    <x v="2"/>
    <x v="2"/>
    <x v="3"/>
    <s v="Jacket"/>
    <x v="418"/>
    <d v="2024-06-26T00:00:00"/>
    <d v="2024-07-18T00:00:00"/>
    <n v="26"/>
    <n v="4"/>
    <n v="11"/>
    <n v="246.3"/>
    <n v="2709.3"/>
    <n v="0.11"/>
    <n v="298.02"/>
    <n v="2411.2800000000002"/>
    <n v="1517.21"/>
    <n v="894.07"/>
  </r>
  <r>
    <n v="201181"/>
    <n v="3383"/>
    <x v="3"/>
    <x v="0"/>
    <x v="0"/>
    <s v="Cookware"/>
    <x v="642"/>
    <d v="2024-12-09T00:00:00"/>
    <d v="2024-12-31T00:00:00"/>
    <n v="25"/>
    <n v="3"/>
    <n v="8"/>
    <n v="401.66"/>
    <n v="3213.28"/>
    <n v="7.0000000000000007E-2"/>
    <n v="224.93"/>
    <n v="2988.35"/>
    <n v="2024.37"/>
    <n v="963.98"/>
  </r>
  <r>
    <n v="201182"/>
    <n v="3227"/>
    <x v="0"/>
    <x v="0"/>
    <x v="2"/>
    <s v="Tablet"/>
    <x v="659"/>
    <d v="2024-02-17T00:00:00"/>
    <d v="2024-02-29T00:00:00"/>
    <n v="15"/>
    <n v="3"/>
    <n v="2"/>
    <n v="348.71"/>
    <n v="697.42"/>
    <n v="0.17"/>
    <n v="118.56"/>
    <n v="578.86"/>
    <n v="502.14"/>
    <n v="76.72"/>
  </r>
  <r>
    <n v="201183"/>
    <n v="3917"/>
    <x v="1"/>
    <x v="2"/>
    <x v="1"/>
    <s v="Rice"/>
    <x v="513"/>
    <d v="2024-12-04T00:00:00"/>
    <d v="2024-12-05T00:00:00"/>
    <n v="5"/>
    <n v="4"/>
    <n v="1"/>
    <n v="492.88"/>
    <n v="492.88"/>
    <n v="0.22"/>
    <n v="108.43"/>
    <n v="384.45"/>
    <n v="295.73"/>
    <n v="88.72"/>
  </r>
  <r>
    <n v="201184"/>
    <n v="1858"/>
    <x v="3"/>
    <x v="0"/>
    <x v="3"/>
    <s v="Jacket"/>
    <x v="595"/>
    <d v="2024-05-02T00:00:00"/>
    <d v="2024-05-19T00:00:00"/>
    <n v="21"/>
    <n v="4"/>
    <n v="2"/>
    <n v="90.76"/>
    <n v="181.52"/>
    <n v="0.05"/>
    <n v="9.08"/>
    <n v="172.44"/>
    <n v="107.1"/>
    <n v="65.34"/>
  </r>
  <r>
    <n v="201185"/>
    <n v="4469"/>
    <x v="3"/>
    <x v="1"/>
    <x v="3"/>
    <s v="Shoes"/>
    <x v="663"/>
    <d v="2024-08-19T00:00:00"/>
    <d v="2024-09-03T00:00:00"/>
    <n v="16"/>
    <n v="1"/>
    <n v="3"/>
    <n v="676"/>
    <n v="2028"/>
    <n v="0.13"/>
    <n v="263.64"/>
    <n v="1764.36"/>
    <n v="1399.32"/>
    <n v="365.04"/>
  </r>
  <r>
    <n v="201186"/>
    <n v="1429"/>
    <x v="1"/>
    <x v="2"/>
    <x v="3"/>
    <s v="Jacket"/>
    <x v="595"/>
    <d v="2024-05-03T00:00:00"/>
    <d v="2024-05-15T00:00:00"/>
    <n v="17"/>
    <n v="5"/>
    <n v="13"/>
    <n v="713.99"/>
    <n v="9281.8700000000008"/>
    <n v="7.0000000000000007E-2"/>
    <n v="649.73"/>
    <n v="8632.14"/>
    <n v="5661.94"/>
    <n v="2970.2"/>
  </r>
  <r>
    <n v="201187"/>
    <n v="1670"/>
    <x v="3"/>
    <x v="2"/>
    <x v="2"/>
    <s v="Laptop"/>
    <x v="657"/>
    <d v="2024-12-23T00:00:00"/>
    <d v="2025-01-18T00:00:00"/>
    <n v="27"/>
    <n v="1"/>
    <n v="7"/>
    <n v="464.89"/>
    <n v="3254.23"/>
    <n v="0.13"/>
    <n v="423.05"/>
    <n v="2831.18"/>
    <n v="2180.33"/>
    <n v="650.85"/>
  </r>
  <r>
    <n v="201188"/>
    <n v="3731"/>
    <x v="3"/>
    <x v="1"/>
    <x v="2"/>
    <s v="Headphones"/>
    <x v="687"/>
    <d v="2024-01-17T00:00:00"/>
    <d v="2024-01-27T00:00:00"/>
    <n v="15"/>
    <n v="5"/>
    <n v="5"/>
    <n v="202.91"/>
    <n v="1014.55"/>
    <n v="7.0000000000000007E-2"/>
    <n v="71.02"/>
    <n v="943.53"/>
    <n v="669.6"/>
    <n v="273.93"/>
  </r>
  <r>
    <n v="201189"/>
    <n v="2968"/>
    <x v="1"/>
    <x v="2"/>
    <x v="1"/>
    <s v="Rice"/>
    <x v="469"/>
    <d v="2024-08-15T00:00:00"/>
    <d v="2024-09-01T00:00:00"/>
    <n v="19"/>
    <n v="2"/>
    <n v="14"/>
    <n v="337.29"/>
    <n v="4722.0600000000004"/>
    <n v="0.01"/>
    <n v="47.22"/>
    <n v="4674.84"/>
    <n v="3022.12"/>
    <n v="1652.72"/>
  </r>
  <r>
    <n v="201190"/>
    <n v="3179"/>
    <x v="1"/>
    <x v="0"/>
    <x v="2"/>
    <s v="Tablet"/>
    <x v="569"/>
    <d v="2024-07-21T00:00:00"/>
    <d v="2024-08-02T00:00:00"/>
    <n v="16"/>
    <n v="4"/>
    <n v="11"/>
    <n v="155.32"/>
    <n v="1708.52"/>
    <n v="0.08"/>
    <n v="136.68"/>
    <n v="1571.84"/>
    <n v="1178.8800000000001"/>
    <n v="392.96"/>
  </r>
  <r>
    <n v="201191"/>
    <n v="4265"/>
    <x v="0"/>
    <x v="0"/>
    <x v="2"/>
    <s v="Headphones"/>
    <x v="590"/>
    <d v="2024-07-29T00:00:00"/>
    <d v="2024-08-12T00:00:00"/>
    <n v="17"/>
    <n v="3"/>
    <n v="5"/>
    <n v="211.8"/>
    <n v="1059"/>
    <n v="0.19"/>
    <n v="201.21"/>
    <n v="857.79"/>
    <n v="656.58"/>
    <n v="201.21"/>
  </r>
  <r>
    <n v="201192"/>
    <n v="2169"/>
    <x v="1"/>
    <x v="2"/>
    <x v="3"/>
    <s v="Jeans"/>
    <x v="629"/>
    <d v="2024-07-14T00:00:00"/>
    <d v="2024-07-15T00:00:00"/>
    <n v="4"/>
    <n v="3"/>
    <n v="6"/>
    <n v="240.32"/>
    <n v="1441.92"/>
    <n v="0.12"/>
    <n v="173.03"/>
    <n v="1268.8900000000001"/>
    <n v="922.83"/>
    <n v="346.06"/>
  </r>
  <r>
    <n v="201193"/>
    <n v="4988"/>
    <x v="1"/>
    <x v="1"/>
    <x v="2"/>
    <s v="Laptop"/>
    <x v="398"/>
    <d v="2024-12-13T00:00:00"/>
    <d v="2025-01-07T00:00:00"/>
    <n v="29"/>
    <n v="4"/>
    <n v="4"/>
    <n v="415.47"/>
    <n v="1661.88"/>
    <n v="0.15"/>
    <n v="249.28"/>
    <n v="1412.6"/>
    <n v="1046.98"/>
    <n v="365.62"/>
  </r>
  <r>
    <n v="201194"/>
    <n v="2612"/>
    <x v="2"/>
    <x v="2"/>
    <x v="0"/>
    <s v="Sofa"/>
    <x v="534"/>
    <d v="2024-12-16T00:00:00"/>
    <d v="2025-01-05T00:00:00"/>
    <n v="21"/>
    <n v="1"/>
    <n v="9"/>
    <n v="685.64"/>
    <n v="6170.76"/>
    <n v="0.11"/>
    <n v="678.78"/>
    <n v="5491.98"/>
    <n v="3949.29"/>
    <n v="1542.69"/>
  </r>
  <r>
    <n v="201195"/>
    <n v="4582"/>
    <x v="2"/>
    <x v="2"/>
    <x v="2"/>
    <s v="Tablet"/>
    <x v="418"/>
    <d v="2024-06-25T00:00:00"/>
    <d v="2024-07-20T00:00:00"/>
    <n v="28"/>
    <n v="3"/>
    <n v="14"/>
    <n v="766.42"/>
    <n v="10729.88"/>
    <n v="0.11"/>
    <n v="1180.29"/>
    <n v="9549.59"/>
    <n v="6652.53"/>
    <n v="2897.06"/>
  </r>
  <r>
    <n v="201196"/>
    <n v="4416"/>
    <x v="0"/>
    <x v="0"/>
    <x v="2"/>
    <s v="Laptop"/>
    <x v="410"/>
    <d v="2024-06-14T00:00:00"/>
    <d v="2024-06-20T00:00:00"/>
    <n v="7"/>
    <n v="1"/>
    <n v="7"/>
    <n v="608.91"/>
    <n v="4262.37"/>
    <n v="0.05"/>
    <n v="213.12"/>
    <n v="4049.25"/>
    <n v="2770.54"/>
    <n v="1278.71"/>
  </r>
  <r>
    <n v="201197"/>
    <n v="2843"/>
    <x v="3"/>
    <x v="1"/>
    <x v="0"/>
    <s v="Sofa"/>
    <x v="571"/>
    <d v="2024-02-28T00:00:00"/>
    <d v="2024-03-17T00:00:00"/>
    <n v="21"/>
    <n v="3"/>
    <n v="3"/>
    <n v="372.62"/>
    <n v="1117.8599999999999"/>
    <n v="0.09"/>
    <n v="100.61"/>
    <n v="1017.25"/>
    <n v="737.79"/>
    <n v="279.45999999999998"/>
  </r>
  <r>
    <n v="201198"/>
    <n v="2459"/>
    <x v="0"/>
    <x v="1"/>
    <x v="3"/>
    <s v="Jeans"/>
    <x v="410"/>
    <d v="2024-06-15T00:00:00"/>
    <d v="2024-07-01T00:00:00"/>
    <n v="18"/>
    <n v="2"/>
    <n v="9"/>
    <n v="663.46"/>
    <n v="5971.14"/>
    <n v="0.1"/>
    <n v="597.11"/>
    <n v="5374.03"/>
    <n v="3284.13"/>
    <n v="2089.9"/>
  </r>
  <r>
    <n v="201199"/>
    <n v="1674"/>
    <x v="2"/>
    <x v="2"/>
    <x v="3"/>
    <s v="Shirt"/>
    <x v="384"/>
    <d v="2024-09-09T00:00:00"/>
    <d v="2024-09-28T00:00:00"/>
    <n v="20"/>
    <n v="1"/>
    <n v="13"/>
    <n v="632.11"/>
    <n v="8217.43"/>
    <n v="0.1"/>
    <n v="821.74"/>
    <n v="7395.69"/>
    <n v="5998.72"/>
    <n v="1396.97"/>
  </r>
  <r>
    <n v="201200"/>
    <n v="1836"/>
    <x v="1"/>
    <x v="1"/>
    <x v="3"/>
    <s v="Jacket"/>
    <x v="702"/>
    <d v="2024-08-31T00:00:00"/>
    <d v="2024-09-05T00:00:00"/>
    <n v="10"/>
    <n v="5"/>
    <n v="9"/>
    <n v="459.41"/>
    <n v="4134.6899999999996"/>
    <n v="0.06"/>
    <n v="248.08"/>
    <n v="3886.61"/>
    <n v="2398.12"/>
    <n v="1488.49"/>
  </r>
  <r>
    <n v="201201"/>
    <n v="2247"/>
    <x v="0"/>
    <x v="1"/>
    <x v="0"/>
    <s v="Cookware"/>
    <x v="433"/>
    <d v="2024-01-12T00:00:00"/>
    <d v="2024-01-12T00:00:00"/>
    <n v="5"/>
    <n v="5"/>
    <n v="7"/>
    <n v="93.88"/>
    <n v="657.16"/>
    <n v="0.05"/>
    <n v="32.86"/>
    <n v="624.29999999999995"/>
    <n v="433.73"/>
    <n v="190.57"/>
  </r>
  <r>
    <n v="201202"/>
    <n v="3208"/>
    <x v="1"/>
    <x v="0"/>
    <x v="1"/>
    <s v="Snacks"/>
    <x v="650"/>
    <d v="2024-03-26T00:00:00"/>
    <d v="2024-04-12T00:00:00"/>
    <n v="18"/>
    <n v="1"/>
    <n v="2"/>
    <n v="82.19"/>
    <n v="164.38"/>
    <n v="0.08"/>
    <n v="13.15"/>
    <n v="151.22999999999999"/>
    <n v="95.34"/>
    <n v="55.89"/>
  </r>
  <r>
    <n v="201203"/>
    <n v="2280"/>
    <x v="1"/>
    <x v="0"/>
    <x v="3"/>
    <s v="Shirt"/>
    <x v="593"/>
    <d v="2024-01-05T00:00:00"/>
    <d v="2024-01-16T00:00:00"/>
    <n v="12"/>
    <n v="1"/>
    <n v="4"/>
    <n v="52.44"/>
    <n v="209.76"/>
    <n v="0.12"/>
    <n v="25.17"/>
    <n v="184.59"/>
    <n v="130.05000000000001"/>
    <n v="54.54"/>
  </r>
  <r>
    <n v="201204"/>
    <n v="4426"/>
    <x v="3"/>
    <x v="2"/>
    <x v="0"/>
    <s v="Lamp"/>
    <x v="400"/>
    <d v="2024-08-24T00:00:00"/>
    <d v="2024-08-23T00:00:00"/>
    <n v="3"/>
    <n v="4"/>
    <n v="7"/>
    <n v="275.75"/>
    <n v="1930.25"/>
    <n v="0"/>
    <n v="0"/>
    <n v="1930.25"/>
    <n v="1216.06"/>
    <n v="714.19"/>
  </r>
  <r>
    <n v="201205"/>
    <n v="4545"/>
    <x v="1"/>
    <x v="1"/>
    <x v="2"/>
    <s v="Tablet"/>
    <x v="568"/>
    <d v="2024-04-26T00:00:00"/>
    <d v="2024-05-18T00:00:00"/>
    <n v="23"/>
    <n v="1"/>
    <n v="9"/>
    <n v="607.04"/>
    <n v="5463.36"/>
    <n v="0.16"/>
    <n v="874.14"/>
    <n v="4589.22"/>
    <n v="3605.82"/>
    <n v="983.4"/>
  </r>
  <r>
    <n v="201206"/>
    <n v="2603"/>
    <x v="0"/>
    <x v="1"/>
    <x v="1"/>
    <s v="Pasta"/>
    <x v="368"/>
    <d v="2024-07-05T00:00:00"/>
    <d v="2024-07-28T00:00:00"/>
    <n v="26"/>
    <n v="3"/>
    <n v="12"/>
    <n v="755.36"/>
    <n v="9064.32"/>
    <n v="0.05"/>
    <n v="453.22"/>
    <n v="8611.1"/>
    <n v="5347.95"/>
    <n v="3263.15"/>
  </r>
  <r>
    <n v="201207"/>
    <n v="4180"/>
    <x v="1"/>
    <x v="1"/>
    <x v="0"/>
    <s v="Cookware"/>
    <x v="360"/>
    <d v="2024-05-05T00:00:00"/>
    <d v="2024-05-30T00:00:00"/>
    <n v="30"/>
    <n v="5"/>
    <n v="12"/>
    <n v="768.68"/>
    <n v="9224.16"/>
    <n v="0.1"/>
    <n v="922.42"/>
    <n v="8301.74"/>
    <n v="5995.7"/>
    <n v="2306.04"/>
  </r>
  <r>
    <n v="201208"/>
    <n v="1770"/>
    <x v="3"/>
    <x v="0"/>
    <x v="1"/>
    <s v="Rice"/>
    <x v="646"/>
    <d v="2024-02-16T00:00:00"/>
    <d v="2024-03-12T00:00:00"/>
    <n v="26"/>
    <n v="1"/>
    <n v="12"/>
    <n v="128"/>
    <n v="1536"/>
    <n v="0.09"/>
    <n v="138.24"/>
    <n v="1397.76"/>
    <n v="936.96"/>
    <n v="460.8"/>
  </r>
  <r>
    <n v="201209"/>
    <n v="3209"/>
    <x v="1"/>
    <x v="2"/>
    <x v="1"/>
    <s v="Snacks"/>
    <x v="423"/>
    <d v="2024-12-29T00:00:00"/>
    <d v="2025-01-06T00:00:00"/>
    <n v="9"/>
    <n v="1"/>
    <n v="1"/>
    <n v="714.77"/>
    <n v="714.77"/>
    <n v="0.14000000000000001"/>
    <n v="100.07"/>
    <n v="614.70000000000005"/>
    <n v="543.23"/>
    <n v="71.47"/>
  </r>
  <r>
    <n v="201210"/>
    <n v="4143"/>
    <x v="3"/>
    <x v="1"/>
    <x v="0"/>
    <s v="Table"/>
    <x v="492"/>
    <d v="2024-07-02T00:00:00"/>
    <d v="2024-07-08T00:00:00"/>
    <n v="11"/>
    <n v="5"/>
    <n v="6"/>
    <n v="677.75"/>
    <n v="4066.5"/>
    <n v="0.08"/>
    <n v="325.32"/>
    <n v="3741.18"/>
    <n v="2521.23"/>
    <n v="1219.95"/>
  </r>
  <r>
    <n v="201211"/>
    <n v="3301"/>
    <x v="0"/>
    <x v="1"/>
    <x v="0"/>
    <s v="Sofa"/>
    <x v="465"/>
    <d v="2024-06-08T00:00:00"/>
    <d v="2024-06-20T00:00:00"/>
    <n v="16"/>
    <n v="4"/>
    <n v="3"/>
    <n v="45.56"/>
    <n v="136.68"/>
    <n v="0.08"/>
    <n v="10.93"/>
    <n v="125.75"/>
    <n v="83.37"/>
    <n v="42.38"/>
  </r>
  <r>
    <n v="201212"/>
    <n v="4794"/>
    <x v="1"/>
    <x v="1"/>
    <x v="0"/>
    <s v="Table"/>
    <x v="586"/>
    <d v="2024-01-26T00:00:00"/>
    <d v="2024-01-23T00:00:00"/>
    <n v="2"/>
    <n v="5"/>
    <n v="9"/>
    <n v="43.23"/>
    <n v="389.07"/>
    <n v="0.13"/>
    <n v="50.58"/>
    <n v="338.49"/>
    <n v="264.57"/>
    <n v="73.92"/>
  </r>
  <r>
    <n v="201213"/>
    <n v="3627"/>
    <x v="2"/>
    <x v="2"/>
    <x v="1"/>
    <s v="Beverage"/>
    <x v="458"/>
    <d v="2024-09-28T00:00:00"/>
    <d v="2024-10-02T00:00:00"/>
    <n v="8"/>
    <n v="4"/>
    <n v="6"/>
    <n v="593.79"/>
    <n v="3562.74"/>
    <n v="0.12"/>
    <n v="427.53"/>
    <n v="3135.21"/>
    <n v="2137.64"/>
    <n v="997.57"/>
  </r>
  <r>
    <n v="201214"/>
    <n v="4483"/>
    <x v="0"/>
    <x v="2"/>
    <x v="1"/>
    <s v="Rice"/>
    <x v="622"/>
    <d v="2024-12-27T00:00:00"/>
    <d v="2025-01-08T00:00:00"/>
    <n v="14"/>
    <n v="2"/>
    <n v="5"/>
    <n v="23.4"/>
    <n v="117"/>
    <n v="0.1"/>
    <n v="11.7"/>
    <n v="105.3"/>
    <n v="69.03"/>
    <n v="36.270000000000003"/>
  </r>
  <r>
    <n v="201215"/>
    <n v="2448"/>
    <x v="3"/>
    <x v="2"/>
    <x v="3"/>
    <s v="Shoes"/>
    <x v="372"/>
    <d v="2024-09-21T00:00:00"/>
    <d v="2024-10-13T00:00:00"/>
    <n v="23"/>
    <n v="1"/>
    <n v="11"/>
    <n v="32.799999999999997"/>
    <n v="360.8"/>
    <n v="0.08"/>
    <n v="28.86"/>
    <n v="331.94"/>
    <n v="220.09"/>
    <n v="111.85"/>
  </r>
  <r>
    <n v="201216"/>
    <n v="3487"/>
    <x v="3"/>
    <x v="2"/>
    <x v="1"/>
    <s v="Snacks"/>
    <x v="543"/>
    <d v="2024-12-07T00:00:00"/>
    <d v="2024-12-27T00:00:00"/>
    <n v="22"/>
    <n v="2"/>
    <n v="1"/>
    <n v="231.55"/>
    <n v="231.55"/>
    <n v="0.08"/>
    <n v="18.52"/>
    <n v="213.03"/>
    <n v="141.25"/>
    <n v="71.78"/>
  </r>
  <r>
    <n v="201217"/>
    <n v="4615"/>
    <x v="0"/>
    <x v="2"/>
    <x v="1"/>
    <s v="Snacks"/>
    <x v="422"/>
    <d v="2024-02-12T00:00:00"/>
    <d v="2024-03-10T00:00:00"/>
    <n v="28"/>
    <n v="1"/>
    <n v="1"/>
    <n v="250.61"/>
    <n v="250.61"/>
    <n v="0.14000000000000001"/>
    <n v="35.090000000000003"/>
    <n v="215.52"/>
    <n v="137.84"/>
    <n v="77.680000000000007"/>
  </r>
  <r>
    <n v="201218"/>
    <n v="2213"/>
    <x v="1"/>
    <x v="0"/>
    <x v="2"/>
    <s v="Tablet"/>
    <x v="695"/>
    <d v="2024-07-23T00:00:00"/>
    <d v="2024-07-24T00:00:00"/>
    <n v="6"/>
    <n v="5"/>
    <n v="1"/>
    <n v="152.55000000000001"/>
    <n v="152.55000000000001"/>
    <n v="0"/>
    <n v="0"/>
    <n v="152.55000000000001"/>
    <n v="97.63"/>
    <n v="54.92"/>
  </r>
  <r>
    <n v="201219"/>
    <n v="4562"/>
    <x v="0"/>
    <x v="2"/>
    <x v="0"/>
    <s v="Sofa"/>
    <x v="641"/>
    <d v="2024-10-23T00:00:00"/>
    <d v="2024-11-18T00:00:00"/>
    <n v="30"/>
    <n v="4"/>
    <n v="12"/>
    <n v="525.15"/>
    <n v="6301.8"/>
    <n v="0.08"/>
    <n v="504.14"/>
    <n v="5797.66"/>
    <n v="3592.03"/>
    <n v="2205.63"/>
  </r>
  <r>
    <n v="201220"/>
    <n v="2794"/>
    <x v="1"/>
    <x v="2"/>
    <x v="1"/>
    <s v="Beverage"/>
    <x v="504"/>
    <d v="2024-09-03T00:00:00"/>
    <d v="2024-10-01T00:00:00"/>
    <n v="29"/>
    <n v="1"/>
    <n v="14"/>
    <n v="696.5"/>
    <n v="9751"/>
    <n v="0.1"/>
    <n v="975.1"/>
    <n v="8775.9"/>
    <n v="5753.09"/>
    <n v="3022.81"/>
  </r>
  <r>
    <n v="201221"/>
    <n v="2258"/>
    <x v="3"/>
    <x v="1"/>
    <x v="0"/>
    <s v="Lamp"/>
    <x v="433"/>
    <d v="2024-01-11T00:00:00"/>
    <d v="2024-01-18T00:00:00"/>
    <n v="11"/>
    <n v="4"/>
    <n v="8"/>
    <n v="770.56"/>
    <n v="6164.48"/>
    <n v="0.02"/>
    <n v="123.29"/>
    <n v="6041.19"/>
    <n v="4253.49"/>
    <n v="1787.7"/>
  </r>
  <r>
    <n v="201222"/>
    <n v="4502"/>
    <x v="2"/>
    <x v="2"/>
    <x v="2"/>
    <s v="Headphones"/>
    <x v="703"/>
    <d v="2024-01-09T00:00:00"/>
    <d v="2024-01-25T00:00:00"/>
    <n v="20"/>
    <n v="4"/>
    <n v="6"/>
    <n v="279.27"/>
    <n v="1675.62"/>
    <n v="0.1"/>
    <n v="167.56"/>
    <n v="1508.06"/>
    <n v="988.62"/>
    <n v="519.44000000000005"/>
  </r>
  <r>
    <n v="201223"/>
    <n v="1754"/>
    <x v="3"/>
    <x v="0"/>
    <x v="0"/>
    <s v="Cookware"/>
    <x v="580"/>
    <d v="2024-10-31T00:00:00"/>
    <d v="2024-11-13T00:00:00"/>
    <n v="18"/>
    <n v="5"/>
    <n v="9"/>
    <n v="608.22"/>
    <n v="5473.98"/>
    <n v="0.16"/>
    <n v="875.84"/>
    <n v="4598.1400000000003"/>
    <n v="3339.13"/>
    <n v="1259.01"/>
  </r>
  <r>
    <n v="201224"/>
    <n v="4421"/>
    <x v="3"/>
    <x v="2"/>
    <x v="3"/>
    <s v="Jacket"/>
    <x v="496"/>
    <d v="2024-03-26T00:00:00"/>
    <d v="2024-04-04T00:00:00"/>
    <n v="11"/>
    <n v="2"/>
    <n v="9"/>
    <n v="609.95000000000005"/>
    <n v="5489.55"/>
    <n v="0.11"/>
    <n v="603.85"/>
    <n v="4885.7"/>
    <n v="3293.73"/>
    <n v="1591.97"/>
  </r>
  <r>
    <n v="201225"/>
    <n v="1740"/>
    <x v="1"/>
    <x v="0"/>
    <x v="1"/>
    <s v="Pasta"/>
    <x v="550"/>
    <d v="2024-09-18T00:00:00"/>
    <d v="2024-09-26T00:00:00"/>
    <n v="13"/>
    <n v="5"/>
    <n v="6"/>
    <n v="228.03"/>
    <n v="1368.18"/>
    <n v="0.03"/>
    <n v="41.05"/>
    <n v="1327.13"/>
    <n v="656.73"/>
    <n v="670.4"/>
  </r>
  <r>
    <n v="201226"/>
    <n v="3267"/>
    <x v="2"/>
    <x v="0"/>
    <x v="3"/>
    <s v="Jacket"/>
    <x v="383"/>
    <d v="2024-11-16T00:00:00"/>
    <d v="2024-11-27T00:00:00"/>
    <n v="16"/>
    <n v="5"/>
    <n v="7"/>
    <n v="219.43"/>
    <n v="1536.01"/>
    <n v="7.0000000000000007E-2"/>
    <n v="107.52"/>
    <n v="1428.49"/>
    <n v="1105.93"/>
    <n v="322.56"/>
  </r>
  <r>
    <n v="201227"/>
    <n v="4785"/>
    <x v="2"/>
    <x v="0"/>
    <x v="3"/>
    <s v="Jacket"/>
    <x v="427"/>
    <d v="2024-12-30T00:00:00"/>
    <d v="2025-01-05T00:00:00"/>
    <n v="7"/>
    <n v="1"/>
    <n v="6"/>
    <n v="400.98"/>
    <n v="2405.88"/>
    <n v="0.11"/>
    <n v="264.64999999999998"/>
    <n v="2141.23"/>
    <n v="1636"/>
    <n v="505.23"/>
  </r>
  <r>
    <n v="201228"/>
    <n v="2533"/>
    <x v="2"/>
    <x v="1"/>
    <x v="0"/>
    <s v="Table"/>
    <x v="426"/>
    <d v="2024-01-03T00:00:00"/>
    <d v="2024-01-19T00:00:00"/>
    <n v="18"/>
    <n v="2"/>
    <n v="6"/>
    <n v="591.70000000000005"/>
    <n v="3550.2"/>
    <n v="0.06"/>
    <n v="213.01"/>
    <n v="3337.19"/>
    <n v="2201.12"/>
    <n v="1136.07"/>
  </r>
  <r>
    <n v="201229"/>
    <n v="2589"/>
    <x v="2"/>
    <x v="0"/>
    <x v="1"/>
    <s v="Beverage"/>
    <x v="395"/>
    <d v="2024-12-20T00:00:00"/>
    <d v="2025-01-07T00:00:00"/>
    <n v="20"/>
    <n v="2"/>
    <n v="10"/>
    <n v="201.79"/>
    <n v="2017.9"/>
    <n v="0.02"/>
    <n v="40.36"/>
    <n v="1977.54"/>
    <n v="1210.74"/>
    <n v="766.8"/>
  </r>
  <r>
    <n v="201230"/>
    <n v="2192"/>
    <x v="2"/>
    <x v="2"/>
    <x v="2"/>
    <s v="Tablet"/>
    <x v="627"/>
    <d v="2024-06-27T00:00:00"/>
    <d v="2024-06-29T00:00:00"/>
    <n v="3"/>
    <n v="1"/>
    <n v="1"/>
    <n v="658.64"/>
    <n v="658.64"/>
    <n v="0.11"/>
    <n v="72.45"/>
    <n v="586.19000000000005"/>
    <n v="395.18"/>
    <n v="191.01"/>
  </r>
  <r>
    <n v="201231"/>
    <n v="2309"/>
    <x v="3"/>
    <x v="1"/>
    <x v="2"/>
    <s v="Headphones"/>
    <x v="598"/>
    <d v="2024-06-02T00:00:00"/>
    <d v="2024-06-23T00:00:00"/>
    <n v="23"/>
    <n v="2"/>
    <n v="5"/>
    <n v="736.63"/>
    <n v="3683.15"/>
    <n v="0.12"/>
    <n v="441.98"/>
    <n v="3241.17"/>
    <n v="2246.7199999999998"/>
    <n v="994.45"/>
  </r>
  <r>
    <n v="201232"/>
    <n v="3906"/>
    <x v="1"/>
    <x v="1"/>
    <x v="0"/>
    <s v="Sofa"/>
    <x v="358"/>
    <d v="2024-11-20T00:00:00"/>
    <d v="2024-12-11T00:00:00"/>
    <n v="22"/>
    <n v="1"/>
    <n v="13"/>
    <n v="722.94"/>
    <n v="9398.2199999999993"/>
    <n v="0.12"/>
    <n v="1127.79"/>
    <n v="8270.43"/>
    <n v="6296.81"/>
    <n v="1973.62"/>
  </r>
  <r>
    <n v="201233"/>
    <n v="3087"/>
    <x v="2"/>
    <x v="1"/>
    <x v="3"/>
    <s v="Jacket"/>
    <x v="354"/>
    <d v="2024-02-01T00:00:00"/>
    <d v="2024-02-07T00:00:00"/>
    <n v="10"/>
    <n v="4"/>
    <n v="11"/>
    <n v="278.57"/>
    <n v="3064.27"/>
    <n v="0.15"/>
    <n v="459.64"/>
    <n v="2604.63"/>
    <n v="1961.13"/>
    <n v="643.5"/>
  </r>
  <r>
    <n v="201234"/>
    <n v="1740"/>
    <x v="2"/>
    <x v="0"/>
    <x v="0"/>
    <s v="Sofa"/>
    <x v="565"/>
    <d v="2024-03-20T00:00:00"/>
    <d v="2024-04-11T00:00:00"/>
    <n v="27"/>
    <n v="5"/>
    <n v="1"/>
    <n v="214.26"/>
    <n v="214.26"/>
    <n v="0.15"/>
    <n v="32.14"/>
    <n v="182.12"/>
    <n v="145.69999999999999"/>
    <n v="36.42"/>
  </r>
  <r>
    <n v="201235"/>
    <n v="1589"/>
    <x v="0"/>
    <x v="2"/>
    <x v="3"/>
    <s v="Jeans"/>
    <x v="490"/>
    <d v="2024-08-27T00:00:00"/>
    <d v="2024-09-23T00:00:00"/>
    <n v="30"/>
    <n v="3"/>
    <n v="4"/>
    <n v="278.58999999999997"/>
    <n v="1114.3599999999999"/>
    <n v="0.03"/>
    <n v="33.43"/>
    <n v="1080.93"/>
    <n v="679.76"/>
    <n v="401.17"/>
  </r>
  <r>
    <n v="201236"/>
    <n v="4549"/>
    <x v="1"/>
    <x v="2"/>
    <x v="2"/>
    <s v="Laptop"/>
    <x v="510"/>
    <d v="2024-09-28T00:00:00"/>
    <d v="2024-10-15T00:00:00"/>
    <n v="18"/>
    <n v="1"/>
    <n v="5"/>
    <n v="664.89"/>
    <n v="3324.45"/>
    <n v="0.06"/>
    <n v="199.47"/>
    <n v="3124.98"/>
    <n v="1928.18"/>
    <n v="1196.8"/>
  </r>
  <r>
    <n v="201237"/>
    <n v="3252"/>
    <x v="0"/>
    <x v="2"/>
    <x v="1"/>
    <s v="Beverage"/>
    <x v="532"/>
    <d v="2024-06-01T00:00:00"/>
    <d v="2024-06-19T00:00:00"/>
    <n v="21"/>
    <n v="3"/>
    <n v="2"/>
    <n v="526"/>
    <n v="1052"/>
    <n v="0.05"/>
    <n v="52.6"/>
    <n v="999.4"/>
    <n v="652.24"/>
    <n v="347.16"/>
  </r>
  <r>
    <n v="201238"/>
    <n v="2925"/>
    <x v="0"/>
    <x v="1"/>
    <x v="3"/>
    <s v="Shoes"/>
    <x v="378"/>
    <d v="2024-02-04T00:00:00"/>
    <d v="2024-02-03T00:00:00"/>
    <n v="4"/>
    <n v="5"/>
    <n v="10"/>
    <n v="661.34"/>
    <n v="6613.4"/>
    <n v="0.17"/>
    <n v="1124.28"/>
    <n v="5489.12"/>
    <n v="4232.58"/>
    <n v="1256.54"/>
  </r>
  <r>
    <n v="201239"/>
    <n v="2978"/>
    <x v="1"/>
    <x v="0"/>
    <x v="0"/>
    <s v="Lamp"/>
    <x v="483"/>
    <d v="2024-12-14T00:00:00"/>
    <d v="2024-12-25T00:00:00"/>
    <n v="14"/>
    <n v="3"/>
    <n v="11"/>
    <n v="281.19"/>
    <n v="3093.09"/>
    <n v="0.13"/>
    <n v="402.1"/>
    <n v="2690.99"/>
    <n v="2041.44"/>
    <n v="649.54999999999995"/>
  </r>
  <r>
    <n v="201240"/>
    <n v="1830"/>
    <x v="0"/>
    <x v="0"/>
    <x v="0"/>
    <s v="Lamp"/>
    <x v="704"/>
    <d v="2024-05-26T00:00:00"/>
    <d v="2024-06-11T00:00:00"/>
    <n v="20"/>
    <n v="4"/>
    <n v="9"/>
    <n v="221.82"/>
    <n v="1996.38"/>
    <n v="0.09"/>
    <n v="179.67"/>
    <n v="1816.71"/>
    <n v="1437.39"/>
    <n v="379.32"/>
  </r>
  <r>
    <n v="201241"/>
    <n v="2108"/>
    <x v="1"/>
    <x v="1"/>
    <x v="0"/>
    <s v="Lamp"/>
    <x v="705"/>
    <d v="2024-08-02T00:00:00"/>
    <d v="2024-08-12T00:00:00"/>
    <n v="11"/>
    <n v="1"/>
    <n v="6"/>
    <n v="617.45000000000005"/>
    <n v="3704.7"/>
    <n v="0.17"/>
    <n v="629.79999999999995"/>
    <n v="3074.9"/>
    <n v="2222.8200000000002"/>
    <n v="852.08"/>
  </r>
  <r>
    <n v="201242"/>
    <n v="2336"/>
    <x v="0"/>
    <x v="2"/>
    <x v="2"/>
    <s v="Phone"/>
    <x v="587"/>
    <d v="2024-11-10T00:00:00"/>
    <d v="2024-11-24T00:00:00"/>
    <n v="16"/>
    <n v="2"/>
    <n v="2"/>
    <n v="429.61"/>
    <n v="859.22"/>
    <n v="7.0000000000000007E-2"/>
    <n v="60.15"/>
    <n v="799.07"/>
    <n v="506.94"/>
    <n v="292.13"/>
  </r>
  <r>
    <n v="201243"/>
    <n v="1346"/>
    <x v="0"/>
    <x v="0"/>
    <x v="3"/>
    <s v="Shoes"/>
    <x v="500"/>
    <d v="2024-07-18T00:00:00"/>
    <d v="2024-07-19T00:00:00"/>
    <n v="6"/>
    <n v="5"/>
    <n v="3"/>
    <n v="310.27"/>
    <n v="930.81"/>
    <n v="0.11"/>
    <n v="102.39"/>
    <n v="828.42"/>
    <n v="558.49"/>
    <n v="269.93"/>
  </r>
  <r>
    <n v="201244"/>
    <n v="3540"/>
    <x v="1"/>
    <x v="1"/>
    <x v="1"/>
    <s v="Snacks"/>
    <x v="560"/>
    <d v="2024-08-29T00:00:00"/>
    <d v="2024-08-29T00:00:00"/>
    <n v="4"/>
    <n v="4"/>
    <n v="1"/>
    <n v="432.85"/>
    <n v="432.85"/>
    <n v="0.05"/>
    <n v="21.64"/>
    <n v="411.21"/>
    <n v="225.08"/>
    <n v="186.13"/>
  </r>
  <r>
    <n v="201245"/>
    <n v="4005"/>
    <x v="0"/>
    <x v="2"/>
    <x v="3"/>
    <s v="Jeans"/>
    <x v="561"/>
    <d v="2024-08-10T00:00:00"/>
    <d v="2024-08-27T00:00:00"/>
    <n v="21"/>
    <n v="4"/>
    <n v="10"/>
    <n v="235.28"/>
    <n v="2352.8000000000002"/>
    <n v="0.09"/>
    <n v="211.75"/>
    <n v="2141.0500000000002"/>
    <n v="1623.43"/>
    <n v="517.62"/>
  </r>
  <r>
    <n v="201246"/>
    <n v="2851"/>
    <x v="3"/>
    <x v="0"/>
    <x v="3"/>
    <s v="Jeans"/>
    <x v="417"/>
    <d v="2024-12-14T00:00:00"/>
    <d v="2025-01-10T00:00:00"/>
    <n v="29"/>
    <n v="2"/>
    <n v="2"/>
    <n v="726.73"/>
    <n v="1453.46"/>
    <n v="0.16"/>
    <n v="232.55"/>
    <n v="1220.9100000000001"/>
    <n v="901.15"/>
    <n v="319.76"/>
  </r>
  <r>
    <n v="201247"/>
    <n v="3747"/>
    <x v="3"/>
    <x v="2"/>
    <x v="1"/>
    <s v="Beverage"/>
    <x v="373"/>
    <d v="2024-08-22T00:00:00"/>
    <d v="2024-09-11T00:00:00"/>
    <n v="21"/>
    <n v="1"/>
    <n v="4"/>
    <n v="723.38"/>
    <n v="2893.52"/>
    <n v="0.06"/>
    <n v="173.61"/>
    <n v="2719.91"/>
    <n v="1678.24"/>
    <n v="1041.67"/>
  </r>
  <r>
    <n v="201248"/>
    <n v="1682"/>
    <x v="2"/>
    <x v="0"/>
    <x v="3"/>
    <s v="Shirt"/>
    <x v="399"/>
    <d v="2024-07-18T00:00:00"/>
    <d v="2024-07-31T00:00:00"/>
    <n v="16"/>
    <n v="3"/>
    <n v="7"/>
    <n v="474.32"/>
    <n v="3320.24"/>
    <n v="0.1"/>
    <n v="332.02"/>
    <n v="2988.22"/>
    <n v="2025.35"/>
    <n v="962.87"/>
  </r>
  <r>
    <n v="201249"/>
    <n v="3118"/>
    <x v="1"/>
    <x v="0"/>
    <x v="3"/>
    <s v="Shirt"/>
    <x v="647"/>
    <d v="2024-04-13T00:00:00"/>
    <d v="2024-04-18T00:00:00"/>
    <n v="10"/>
    <n v="5"/>
    <n v="11"/>
    <n v="565.72"/>
    <n v="6222.92"/>
    <n v="0.13"/>
    <n v="808.98"/>
    <n v="5413.94"/>
    <n v="3484.84"/>
    <n v="1929.1"/>
  </r>
  <r>
    <n v="201250"/>
    <n v="2501"/>
    <x v="2"/>
    <x v="1"/>
    <x v="3"/>
    <s v="Jacket"/>
    <x v="553"/>
    <d v="2024-11-23T00:00:00"/>
    <d v="2024-12-10T00:00:00"/>
    <n v="22"/>
    <n v="5"/>
    <n v="6"/>
    <n v="238.84"/>
    <n v="1433.04"/>
    <n v="0.03"/>
    <n v="42.99"/>
    <n v="1390.05"/>
    <n v="888.48"/>
    <n v="501.57"/>
  </r>
  <r>
    <n v="201251"/>
    <n v="1620"/>
    <x v="3"/>
    <x v="1"/>
    <x v="2"/>
    <s v="Phone"/>
    <x v="526"/>
    <d v="2025-01-02T00:00:00"/>
    <d v="2025-01-05T00:00:00"/>
    <n v="6"/>
    <n v="3"/>
    <n v="6"/>
    <n v="107.22"/>
    <n v="643.32000000000005"/>
    <n v="0.11"/>
    <n v="70.77"/>
    <n v="572.54999999999995"/>
    <n v="418.16"/>
    <n v="154.38999999999999"/>
  </r>
  <r>
    <n v="201252"/>
    <n v="4889"/>
    <x v="1"/>
    <x v="1"/>
    <x v="0"/>
    <s v="Lamp"/>
    <x v="655"/>
    <d v="2024-12-03T00:00:00"/>
    <d v="2024-12-16T00:00:00"/>
    <n v="17"/>
    <n v="4"/>
    <n v="14"/>
    <n v="340.71"/>
    <n v="4769.9399999999996"/>
    <n v="0"/>
    <n v="0"/>
    <n v="4769.9399999999996"/>
    <n v="3338.96"/>
    <n v="1430.98"/>
  </r>
  <r>
    <n v="201253"/>
    <n v="3577"/>
    <x v="0"/>
    <x v="1"/>
    <x v="2"/>
    <s v="Laptop"/>
    <x v="465"/>
    <d v="2024-06-05T00:00:00"/>
    <d v="2024-06-10T00:00:00"/>
    <n v="6"/>
    <n v="1"/>
    <n v="3"/>
    <n v="146.15"/>
    <n v="438.45"/>
    <n v="0"/>
    <n v="0"/>
    <n v="438.45"/>
    <n v="306.92"/>
    <n v="131.53"/>
  </r>
  <r>
    <n v="201254"/>
    <n v="2047"/>
    <x v="0"/>
    <x v="0"/>
    <x v="1"/>
    <s v="Snacks"/>
    <x v="660"/>
    <d v="2024-05-14T00:00:00"/>
    <d v="2024-06-08T00:00:00"/>
    <n v="30"/>
    <n v="5"/>
    <n v="4"/>
    <n v="546.62"/>
    <n v="2186.48"/>
    <n v="0.03"/>
    <n v="65.59"/>
    <n v="2120.89"/>
    <n v="1224.43"/>
    <n v="896.46"/>
  </r>
  <r>
    <n v="201255"/>
    <n v="2767"/>
    <x v="2"/>
    <x v="0"/>
    <x v="2"/>
    <s v="Tablet"/>
    <x v="509"/>
    <d v="2024-01-31T00:00:00"/>
    <d v="2024-02-18T00:00:00"/>
    <n v="22"/>
    <n v="4"/>
    <n v="9"/>
    <n v="225.05"/>
    <n v="2025.45"/>
    <n v="0.16"/>
    <n v="324.07"/>
    <n v="1701.38"/>
    <n v="1438.07"/>
    <n v="263.31"/>
  </r>
  <r>
    <n v="201256"/>
    <n v="4630"/>
    <x v="3"/>
    <x v="0"/>
    <x v="1"/>
    <s v="Pasta"/>
    <x v="536"/>
    <d v="2024-02-28T00:00:00"/>
    <d v="2024-03-16T00:00:00"/>
    <n v="21"/>
    <n v="4"/>
    <n v="6"/>
    <n v="192.41"/>
    <n v="1154.46"/>
    <n v="0.17"/>
    <n v="196.26"/>
    <n v="958.2"/>
    <n v="842.76"/>
    <n v="115.44"/>
  </r>
  <r>
    <n v="201257"/>
    <n v="3417"/>
    <x v="1"/>
    <x v="1"/>
    <x v="2"/>
    <s v="Phone"/>
    <x v="602"/>
    <d v="2024-12-15T00:00:00"/>
    <d v="2024-12-30T00:00:00"/>
    <n v="20"/>
    <n v="5"/>
    <n v="8"/>
    <n v="659.09"/>
    <n v="5272.72"/>
    <n v="0.12"/>
    <n v="632.73"/>
    <n v="4639.99"/>
    <n v="3480"/>
    <n v="1159.99"/>
  </r>
  <r>
    <n v="201258"/>
    <n v="2843"/>
    <x v="1"/>
    <x v="0"/>
    <x v="3"/>
    <s v="Shoes"/>
    <x v="472"/>
    <d v="2024-07-01T00:00:00"/>
    <d v="2024-07-16T00:00:00"/>
    <n v="18"/>
    <n v="3"/>
    <n v="9"/>
    <n v="531.9"/>
    <n v="4787.1000000000004"/>
    <n v="0.12"/>
    <n v="574.45000000000005"/>
    <n v="4212.6499999999996"/>
    <n v="3350.97"/>
    <n v="861.68"/>
  </r>
  <r>
    <n v="201259"/>
    <n v="1665"/>
    <x v="0"/>
    <x v="1"/>
    <x v="1"/>
    <s v="Pasta"/>
    <x v="463"/>
    <d v="2024-06-20T00:00:00"/>
    <d v="2024-06-30T00:00:00"/>
    <n v="12"/>
    <n v="2"/>
    <n v="13"/>
    <n v="541.12"/>
    <n v="7034.56"/>
    <n v="0.06"/>
    <n v="422.07"/>
    <n v="6612.49"/>
    <n v="4291.08"/>
    <n v="2321.41"/>
  </r>
  <r>
    <n v="201260"/>
    <n v="4333"/>
    <x v="3"/>
    <x v="1"/>
    <x v="0"/>
    <s v="Lamp"/>
    <x v="382"/>
    <d v="2025-01-04T00:00:00"/>
    <d v="2025-01-05T00:00:00"/>
    <n v="5"/>
    <n v="4"/>
    <n v="5"/>
    <n v="366.05"/>
    <n v="1830.25"/>
    <n v="0.08"/>
    <n v="146.41999999999999"/>
    <n v="1683.83"/>
    <n v="1134.75"/>
    <n v="549.08000000000004"/>
  </r>
  <r>
    <n v="201261"/>
    <n v="2733"/>
    <x v="2"/>
    <x v="1"/>
    <x v="3"/>
    <s v="Shoes"/>
    <x v="596"/>
    <d v="2024-10-29T00:00:00"/>
    <d v="2024-11-20T00:00:00"/>
    <n v="27"/>
    <n v="5"/>
    <n v="7"/>
    <n v="753.87"/>
    <n v="5277.09"/>
    <n v="0.11"/>
    <n v="580.48"/>
    <n v="4696.6099999999997"/>
    <n v="3588.42"/>
    <n v="1108.19"/>
  </r>
  <r>
    <n v="201262"/>
    <n v="1557"/>
    <x v="2"/>
    <x v="1"/>
    <x v="0"/>
    <s v="Lamp"/>
    <x v="672"/>
    <d v="2024-08-07T00:00:00"/>
    <d v="2024-08-17T00:00:00"/>
    <n v="15"/>
    <n v="5"/>
    <n v="10"/>
    <n v="289.82"/>
    <n v="2898.2"/>
    <n v="0.13"/>
    <n v="376.77"/>
    <n v="2521.4299999999998"/>
    <n v="1767.9"/>
    <n v="753.53"/>
  </r>
  <r>
    <n v="201263"/>
    <n v="1257"/>
    <x v="3"/>
    <x v="2"/>
    <x v="1"/>
    <s v="Pasta"/>
    <x v="652"/>
    <d v="2024-03-09T00:00:00"/>
    <d v="2024-03-25T00:00:00"/>
    <n v="21"/>
    <n v="5"/>
    <n v="7"/>
    <n v="341.48"/>
    <n v="2390.36"/>
    <n v="0.16"/>
    <n v="382.46"/>
    <n v="2007.9"/>
    <n v="1625.44"/>
    <n v="382.46"/>
  </r>
  <r>
    <n v="201264"/>
    <n v="4467"/>
    <x v="0"/>
    <x v="1"/>
    <x v="0"/>
    <s v="Cookware"/>
    <x v="512"/>
    <d v="2024-05-08T00:00:00"/>
    <d v="2024-06-01T00:00:00"/>
    <n v="28"/>
    <n v="4"/>
    <n v="8"/>
    <n v="786.18"/>
    <n v="6289.44"/>
    <n v="0.05"/>
    <n v="314.47000000000003"/>
    <n v="5974.97"/>
    <n v="4654.1899999999996"/>
    <n v="1320.78"/>
  </r>
  <r>
    <n v="201265"/>
    <n v="3853"/>
    <x v="3"/>
    <x v="2"/>
    <x v="2"/>
    <s v="Phone"/>
    <x v="398"/>
    <d v="2024-12-13T00:00:00"/>
    <d v="2024-12-18T00:00:00"/>
    <n v="9"/>
    <n v="4"/>
    <n v="1"/>
    <n v="425.76"/>
    <n v="425.76"/>
    <n v="0.11"/>
    <n v="46.83"/>
    <n v="378.93"/>
    <n v="285.26"/>
    <n v="93.67"/>
  </r>
  <r>
    <n v="201266"/>
    <n v="3963"/>
    <x v="2"/>
    <x v="1"/>
    <x v="2"/>
    <s v="Phone"/>
    <x v="414"/>
    <d v="2024-02-11T00:00:00"/>
    <d v="2024-02-18T00:00:00"/>
    <n v="11"/>
    <n v="4"/>
    <n v="2"/>
    <n v="125.39"/>
    <n v="250.78"/>
    <n v="0.12"/>
    <n v="30.09"/>
    <n v="220.69"/>
    <n v="163.01"/>
    <n v="57.68"/>
  </r>
  <r>
    <n v="201267"/>
    <n v="2480"/>
    <x v="3"/>
    <x v="1"/>
    <x v="2"/>
    <s v="Tablet"/>
    <x v="574"/>
    <d v="2024-09-07T00:00:00"/>
    <d v="2024-09-29T00:00:00"/>
    <n v="24"/>
    <n v="2"/>
    <n v="8"/>
    <n v="161.31"/>
    <n v="1290.48"/>
    <n v="7.0000000000000007E-2"/>
    <n v="90.33"/>
    <n v="1200.1500000000001"/>
    <n v="838.81"/>
    <n v="361.34"/>
  </r>
  <r>
    <n v="201268"/>
    <n v="2861"/>
    <x v="1"/>
    <x v="2"/>
    <x v="1"/>
    <s v="Rice"/>
    <x v="597"/>
    <d v="2024-02-24T00:00:00"/>
    <d v="2024-03-13T00:00:00"/>
    <n v="21"/>
    <n v="3"/>
    <n v="11"/>
    <n v="219.26"/>
    <n v="2411.86"/>
    <n v="0.14000000000000001"/>
    <n v="337.66"/>
    <n v="2074.1999999999998"/>
    <n v="1712.42"/>
    <n v="361.78"/>
  </r>
  <r>
    <n v="201269"/>
    <n v="1325"/>
    <x v="2"/>
    <x v="1"/>
    <x v="2"/>
    <s v="Phone"/>
    <x v="472"/>
    <d v="2024-07-02T00:00:00"/>
    <d v="2024-07-23T00:00:00"/>
    <n v="25"/>
    <n v="4"/>
    <n v="12"/>
    <n v="461.22"/>
    <n v="5534.64"/>
    <n v="0.15"/>
    <n v="830.2"/>
    <n v="4704.4399999999996"/>
    <n v="3320.78"/>
    <n v="1383.66"/>
  </r>
  <r>
    <n v="201270"/>
    <n v="1363"/>
    <x v="2"/>
    <x v="0"/>
    <x v="1"/>
    <s v="Rice"/>
    <x v="696"/>
    <d v="2024-08-02T00:00:00"/>
    <d v="2024-08-20T00:00:00"/>
    <n v="21"/>
    <n v="3"/>
    <n v="6"/>
    <n v="119.37"/>
    <n v="716.22"/>
    <n v="0.04"/>
    <n v="28.65"/>
    <n v="687.57"/>
    <n v="451.22"/>
    <n v="236.35"/>
  </r>
  <r>
    <n v="201271"/>
    <n v="1877"/>
    <x v="0"/>
    <x v="2"/>
    <x v="3"/>
    <s v="Shirt"/>
    <x v="524"/>
    <d v="2024-05-31T00:00:00"/>
    <d v="2024-06-22T00:00:00"/>
    <n v="26"/>
    <n v="4"/>
    <n v="7"/>
    <n v="431.9"/>
    <n v="3023.3"/>
    <n v="0.13"/>
    <n v="393.03"/>
    <n v="2630.27"/>
    <n v="1783.75"/>
    <n v="846.52"/>
  </r>
  <r>
    <n v="201272"/>
    <n v="2326"/>
    <x v="1"/>
    <x v="2"/>
    <x v="1"/>
    <s v="Rice"/>
    <x v="418"/>
    <d v="2024-06-23T00:00:00"/>
    <d v="2024-06-24T00:00:00"/>
    <n v="2"/>
    <n v="1"/>
    <n v="6"/>
    <n v="29.89"/>
    <n v="179.34"/>
    <n v="0.15"/>
    <n v="26.9"/>
    <n v="152.44"/>
    <n v="112.98"/>
    <n v="39.46"/>
  </r>
  <r>
    <n v="201273"/>
    <n v="2237"/>
    <x v="1"/>
    <x v="1"/>
    <x v="3"/>
    <s v="Jeans"/>
    <x v="511"/>
    <d v="2024-08-21T00:00:00"/>
    <d v="2024-08-27T00:00:00"/>
    <n v="11"/>
    <n v="5"/>
    <n v="2"/>
    <n v="197.47"/>
    <n v="394.94"/>
    <n v="0.09"/>
    <n v="35.54"/>
    <n v="359.4"/>
    <n v="240.91"/>
    <n v="118.49"/>
  </r>
  <r>
    <n v="201274"/>
    <n v="4596"/>
    <x v="1"/>
    <x v="0"/>
    <x v="2"/>
    <s v="Phone"/>
    <x v="691"/>
    <d v="2024-06-28T00:00:00"/>
    <d v="2024-07-08T00:00:00"/>
    <n v="13"/>
    <n v="3"/>
    <n v="3"/>
    <n v="306.58"/>
    <n v="919.74"/>
    <n v="0.06"/>
    <n v="55.18"/>
    <n v="864.56"/>
    <n v="616.23"/>
    <n v="248.33"/>
  </r>
  <r>
    <n v="201275"/>
    <n v="3261"/>
    <x v="1"/>
    <x v="1"/>
    <x v="1"/>
    <s v="Rice"/>
    <x v="616"/>
    <d v="2024-11-05T00:00:00"/>
    <d v="2024-11-21T00:00:00"/>
    <n v="20"/>
    <n v="4"/>
    <n v="8"/>
    <n v="658.09"/>
    <n v="5264.72"/>
    <n v="0.16"/>
    <n v="842.36"/>
    <n v="4422.3599999999997"/>
    <n v="3422.07"/>
    <n v="1000.29"/>
  </r>
  <r>
    <n v="201276"/>
    <n v="4438"/>
    <x v="0"/>
    <x v="2"/>
    <x v="3"/>
    <s v="Shirt"/>
    <x v="370"/>
    <d v="2024-09-19T00:00:00"/>
    <d v="2024-10-05T00:00:00"/>
    <n v="21"/>
    <n v="5"/>
    <n v="1"/>
    <n v="30.65"/>
    <n v="30.65"/>
    <n v="0.14000000000000001"/>
    <n v="4.29"/>
    <n v="26.36"/>
    <n v="19.920000000000002"/>
    <n v="6.44"/>
  </r>
  <r>
    <n v="201277"/>
    <n v="4140"/>
    <x v="2"/>
    <x v="0"/>
    <x v="2"/>
    <s v="Headphones"/>
    <x v="682"/>
    <d v="2024-08-17T00:00:00"/>
    <d v="2024-09-13T00:00:00"/>
    <n v="29"/>
    <n v="2"/>
    <n v="3"/>
    <n v="551.76"/>
    <n v="1655.28"/>
    <n v="0.12"/>
    <n v="198.63"/>
    <n v="1456.65"/>
    <n v="1026.27"/>
    <n v="430.38"/>
  </r>
  <r>
    <n v="201278"/>
    <n v="3017"/>
    <x v="1"/>
    <x v="2"/>
    <x v="0"/>
    <s v="Cookware"/>
    <x v="507"/>
    <d v="2024-06-07T00:00:00"/>
    <d v="2024-06-30T00:00:00"/>
    <n v="24"/>
    <n v="1"/>
    <n v="8"/>
    <n v="266.64999999999998"/>
    <n v="2133.1999999999998"/>
    <n v="0.12"/>
    <n v="255.98"/>
    <n v="1877.22"/>
    <n v="1407.91"/>
    <n v="469.31"/>
  </r>
  <r>
    <n v="201279"/>
    <n v="4788"/>
    <x v="3"/>
    <x v="2"/>
    <x v="0"/>
    <s v="Table"/>
    <x v="696"/>
    <d v="2024-08-02T00:00:00"/>
    <d v="2024-08-12T00:00:00"/>
    <n v="13"/>
    <n v="3"/>
    <n v="3"/>
    <n v="555.54999999999995"/>
    <n v="1666.65"/>
    <n v="0.04"/>
    <n v="66.67"/>
    <n v="1599.98"/>
    <n v="1049.99"/>
    <n v="549.99"/>
  </r>
  <r>
    <n v="201280"/>
    <n v="4654"/>
    <x v="1"/>
    <x v="0"/>
    <x v="2"/>
    <s v="Headphones"/>
    <x v="575"/>
    <d v="2024-08-02T00:00:00"/>
    <d v="2024-08-09T00:00:00"/>
    <n v="12"/>
    <n v="5"/>
    <n v="10"/>
    <n v="729.8"/>
    <n v="7298"/>
    <n v="0.12"/>
    <n v="875.76"/>
    <n v="6422.24"/>
    <n v="4816.68"/>
    <n v="1605.56"/>
  </r>
  <r>
    <n v="201281"/>
    <n v="2313"/>
    <x v="2"/>
    <x v="0"/>
    <x v="1"/>
    <s v="Beverage"/>
    <x v="420"/>
    <d v="2024-11-15T00:00:00"/>
    <d v="2024-12-12T00:00:00"/>
    <n v="29"/>
    <n v="2"/>
    <n v="6"/>
    <n v="173.17"/>
    <n v="1039.02"/>
    <n v="0.11"/>
    <n v="114.29"/>
    <n v="924.73"/>
    <n v="623.41"/>
    <n v="301.32"/>
  </r>
  <r>
    <n v="201282"/>
    <n v="1974"/>
    <x v="0"/>
    <x v="0"/>
    <x v="3"/>
    <s v="Jeans"/>
    <x v="418"/>
    <d v="2024-06-26T00:00:00"/>
    <d v="2024-07-12T00:00:00"/>
    <n v="20"/>
    <n v="4"/>
    <n v="12"/>
    <n v="510.69"/>
    <n v="6128.28"/>
    <n v="0.21"/>
    <n v="1286.94"/>
    <n v="4841.34"/>
    <n v="4105.95"/>
    <n v="735.39"/>
  </r>
  <r>
    <n v="201283"/>
    <n v="3583"/>
    <x v="0"/>
    <x v="0"/>
    <x v="0"/>
    <s v="Table"/>
    <x v="703"/>
    <d v="2024-01-10T00:00:00"/>
    <d v="2024-01-25T00:00:00"/>
    <n v="20"/>
    <n v="5"/>
    <n v="2"/>
    <n v="250.72"/>
    <n v="501.44"/>
    <n v="0.17"/>
    <n v="85.24"/>
    <n v="416.2"/>
    <n v="340.98"/>
    <n v="75.22"/>
  </r>
  <r>
    <n v="201284"/>
    <n v="4016"/>
    <x v="1"/>
    <x v="0"/>
    <x v="2"/>
    <s v="Headphones"/>
    <x v="404"/>
    <d v="2024-03-01T00:00:00"/>
    <d v="2024-03-02T00:00:00"/>
    <n v="3"/>
    <n v="2"/>
    <n v="10"/>
    <n v="477.85"/>
    <n v="4778.5"/>
    <n v="0.16"/>
    <n v="764.56"/>
    <n v="4013.94"/>
    <n v="2819.32"/>
    <n v="1194.6199999999999"/>
  </r>
  <r>
    <n v="201285"/>
    <n v="3691"/>
    <x v="2"/>
    <x v="1"/>
    <x v="2"/>
    <s v="Phone"/>
    <x v="624"/>
    <d v="2024-10-30T00:00:00"/>
    <d v="2024-11-27T00:00:00"/>
    <n v="30"/>
    <n v="2"/>
    <n v="10"/>
    <n v="169.22"/>
    <n v="1692.2"/>
    <n v="0.08"/>
    <n v="135.38"/>
    <n v="1556.82"/>
    <n v="1150.7"/>
    <n v="406.12"/>
  </r>
  <r>
    <n v="201286"/>
    <n v="1683"/>
    <x v="3"/>
    <x v="1"/>
    <x v="0"/>
    <s v="Cookware"/>
    <x v="501"/>
    <d v="2024-10-06T00:00:00"/>
    <d v="2024-10-04T00:00:00"/>
    <n v="2"/>
    <n v="4"/>
    <n v="14"/>
    <n v="187.85"/>
    <n v="2629.9"/>
    <n v="0.1"/>
    <n v="262.99"/>
    <n v="2366.91"/>
    <n v="1919.83"/>
    <n v="447.08"/>
  </r>
  <r>
    <n v="201287"/>
    <n v="4329"/>
    <x v="0"/>
    <x v="1"/>
    <x v="2"/>
    <s v="Phone"/>
    <x v="429"/>
    <d v="2024-07-14T00:00:00"/>
    <d v="2024-08-10T00:00:00"/>
    <n v="29"/>
    <n v="2"/>
    <n v="6"/>
    <n v="258.04000000000002"/>
    <n v="1548.24"/>
    <n v="0.14000000000000001"/>
    <n v="216.75"/>
    <n v="1331.49"/>
    <n v="975.39"/>
    <n v="356.1"/>
  </r>
  <r>
    <n v="201288"/>
    <n v="2377"/>
    <x v="1"/>
    <x v="0"/>
    <x v="2"/>
    <s v="Tablet"/>
    <x v="705"/>
    <d v="2024-08-03T00:00:00"/>
    <d v="2024-08-04T00:00:00"/>
    <n v="3"/>
    <n v="2"/>
    <n v="14"/>
    <n v="355.69"/>
    <n v="4979.66"/>
    <n v="0.1"/>
    <n v="497.97"/>
    <n v="4481.6899999999996"/>
    <n v="3435.97"/>
    <n v="1045.72"/>
  </r>
  <r>
    <n v="201289"/>
    <n v="3497"/>
    <x v="3"/>
    <x v="1"/>
    <x v="0"/>
    <s v="Cookware"/>
    <x v="578"/>
    <d v="2024-08-30T00:00:00"/>
    <d v="2024-09-20T00:00:00"/>
    <n v="24"/>
    <n v="3"/>
    <n v="11"/>
    <n v="57.69"/>
    <n v="634.59"/>
    <n v="0.1"/>
    <n v="63.46"/>
    <n v="571.13"/>
    <n v="387.1"/>
    <n v="184.03"/>
  </r>
  <r>
    <n v="201290"/>
    <n v="2496"/>
    <x v="1"/>
    <x v="0"/>
    <x v="2"/>
    <s v="Headphones"/>
    <x v="602"/>
    <d v="2024-12-11T00:00:00"/>
    <d v="2024-12-14T00:00:00"/>
    <n v="4"/>
    <n v="1"/>
    <n v="3"/>
    <n v="639.11"/>
    <n v="1917.33"/>
    <n v="0.08"/>
    <n v="153.38999999999999"/>
    <n v="1763.94"/>
    <n v="1035.3599999999999"/>
    <n v="728.58"/>
  </r>
  <r>
    <n v="201291"/>
    <n v="3598"/>
    <x v="0"/>
    <x v="0"/>
    <x v="0"/>
    <s v="Sofa"/>
    <x v="371"/>
    <d v="2024-08-16T00:00:00"/>
    <d v="2024-08-19T00:00:00"/>
    <n v="8"/>
    <n v="5"/>
    <n v="4"/>
    <n v="279.77"/>
    <n v="1119.08"/>
    <n v="0.2"/>
    <n v="223.82"/>
    <n v="895.26"/>
    <n v="671.45"/>
    <n v="223.81"/>
  </r>
  <r>
    <n v="201292"/>
    <n v="1254"/>
    <x v="3"/>
    <x v="1"/>
    <x v="2"/>
    <s v="Headphones"/>
    <x v="632"/>
    <d v="2024-12-25T00:00:00"/>
    <d v="2025-01-10T00:00:00"/>
    <n v="21"/>
    <n v="5"/>
    <n v="9"/>
    <n v="469.37"/>
    <n v="4224.33"/>
    <n v="0.05"/>
    <n v="211.22"/>
    <n v="4013.11"/>
    <n v="2661.33"/>
    <n v="1351.78"/>
  </r>
  <r>
    <n v="201293"/>
    <n v="2083"/>
    <x v="2"/>
    <x v="1"/>
    <x v="0"/>
    <s v="Table"/>
    <x v="359"/>
    <d v="2024-09-14T00:00:00"/>
    <d v="2024-09-20T00:00:00"/>
    <n v="11"/>
    <n v="5"/>
    <n v="9"/>
    <n v="527.16999999999996"/>
    <n v="4744.53"/>
    <n v="0.09"/>
    <n v="427.01"/>
    <n v="4317.5200000000004"/>
    <n v="3321.17"/>
    <n v="996.35"/>
  </r>
  <r>
    <n v="201294"/>
    <n v="3892"/>
    <x v="3"/>
    <x v="2"/>
    <x v="3"/>
    <s v="Shirt"/>
    <x v="677"/>
    <d v="2024-12-04T00:00:00"/>
    <d v="2024-12-17T00:00:00"/>
    <n v="16"/>
    <n v="3"/>
    <n v="11"/>
    <n v="712.84"/>
    <n v="7841.24"/>
    <n v="0.13"/>
    <n v="1019.36"/>
    <n v="6821.88"/>
    <n v="5802.52"/>
    <n v="1019.36"/>
  </r>
  <r>
    <n v="201295"/>
    <n v="1957"/>
    <x v="2"/>
    <x v="1"/>
    <x v="1"/>
    <s v="Snacks"/>
    <x v="679"/>
    <d v="2024-04-14T00:00:00"/>
    <d v="2024-04-13T00:00:00"/>
    <n v="2"/>
    <n v="3"/>
    <n v="12"/>
    <n v="63.18"/>
    <n v="758.16"/>
    <n v="0.11"/>
    <n v="83.4"/>
    <n v="674.76"/>
    <n v="500.39"/>
    <n v="174.37"/>
  </r>
  <r>
    <n v="201296"/>
    <n v="4734"/>
    <x v="1"/>
    <x v="1"/>
    <x v="3"/>
    <s v="Jacket"/>
    <x v="614"/>
    <d v="2024-06-24T00:00:00"/>
    <d v="2024-06-26T00:00:00"/>
    <n v="5"/>
    <n v="3"/>
    <n v="8"/>
    <n v="583.92999999999995"/>
    <n v="4671.4399999999996"/>
    <n v="0.06"/>
    <n v="280.29000000000002"/>
    <n v="4391.1499999999996"/>
    <n v="2662.72"/>
    <n v="1728.43"/>
  </r>
  <r>
    <n v="201297"/>
    <n v="4453"/>
    <x v="2"/>
    <x v="1"/>
    <x v="1"/>
    <s v="Rice"/>
    <x v="656"/>
    <d v="2024-11-07T00:00:00"/>
    <d v="2024-11-28T00:00:00"/>
    <n v="24"/>
    <n v="3"/>
    <n v="6"/>
    <n v="153"/>
    <n v="918"/>
    <n v="0.05"/>
    <n v="45.9"/>
    <n v="872.1"/>
    <n v="559.98"/>
    <n v="312.12"/>
  </r>
  <r>
    <n v="201298"/>
    <n v="2230"/>
    <x v="0"/>
    <x v="1"/>
    <x v="0"/>
    <s v="Cookware"/>
    <x v="404"/>
    <d v="2024-03-01T00:00:00"/>
    <d v="2024-03-01T00:00:00"/>
    <n v="2"/>
    <n v="2"/>
    <n v="5"/>
    <n v="234.17"/>
    <n v="1170.8499999999999"/>
    <n v="0.14000000000000001"/>
    <n v="163.92"/>
    <n v="1006.93"/>
    <n v="714.22"/>
    <n v="292.70999999999998"/>
  </r>
  <r>
    <n v="201299"/>
    <n v="1643"/>
    <x v="2"/>
    <x v="0"/>
    <x v="0"/>
    <s v="Cookware"/>
    <x v="527"/>
    <d v="2024-10-05T00:00:00"/>
    <d v="2024-10-22T00:00:00"/>
    <n v="22"/>
    <n v="5"/>
    <n v="11"/>
    <n v="313.95"/>
    <n v="3453.45"/>
    <n v="0.09"/>
    <n v="310.81"/>
    <n v="3142.64"/>
    <n v="2141.14"/>
    <n v="1001.5"/>
  </r>
  <r>
    <n v="201300"/>
    <n v="2382"/>
    <x v="3"/>
    <x v="0"/>
    <x v="1"/>
    <s v="Pasta"/>
    <x v="356"/>
    <d v="2024-05-22T00:00:00"/>
    <d v="2024-05-30T00:00:00"/>
    <n v="9"/>
    <n v="1"/>
    <n v="3"/>
    <n v="775.88"/>
    <n v="2327.64"/>
    <n v="0.15"/>
    <n v="349.15"/>
    <n v="1978.49"/>
    <n v="1373.31"/>
    <n v="605.17999999999995"/>
  </r>
  <r>
    <n v="201301"/>
    <n v="2841"/>
    <x v="1"/>
    <x v="2"/>
    <x v="1"/>
    <s v="Snacks"/>
    <x v="494"/>
    <d v="2024-02-02T00:00:00"/>
    <d v="2024-02-24T00:00:00"/>
    <n v="26"/>
    <n v="4"/>
    <n v="13"/>
    <n v="734.99"/>
    <n v="9554.8700000000008"/>
    <n v="0.1"/>
    <n v="955.49"/>
    <n v="8599.3799999999992"/>
    <n v="6115.12"/>
    <n v="2484.2600000000002"/>
  </r>
  <r>
    <n v="201302"/>
    <n v="3198"/>
    <x v="2"/>
    <x v="2"/>
    <x v="2"/>
    <s v="Tablet"/>
    <x v="556"/>
    <d v="2024-07-08T00:00:00"/>
    <d v="2024-07-31T00:00:00"/>
    <n v="26"/>
    <n v="3"/>
    <n v="4"/>
    <n v="327.33999999999997"/>
    <n v="1309.3599999999999"/>
    <n v="0.15"/>
    <n v="196.4"/>
    <n v="1112.96"/>
    <n v="877.27"/>
    <n v="235.69"/>
  </r>
  <r>
    <n v="201303"/>
    <n v="3179"/>
    <x v="2"/>
    <x v="2"/>
    <x v="1"/>
    <s v="Pasta"/>
    <x v="361"/>
    <d v="2024-02-24T00:00:00"/>
    <d v="2024-03-07T00:00:00"/>
    <n v="13"/>
    <n v="1"/>
    <n v="8"/>
    <n v="483.16"/>
    <n v="3865.28"/>
    <n v="7.0000000000000007E-2"/>
    <n v="270.57"/>
    <n v="3594.71"/>
    <n v="2473.7800000000002"/>
    <n v="1120.93"/>
  </r>
  <r>
    <n v="201304"/>
    <n v="2659"/>
    <x v="0"/>
    <x v="2"/>
    <x v="0"/>
    <s v="Table"/>
    <x v="627"/>
    <d v="2024-06-30T00:00:00"/>
    <d v="2024-07-12T00:00:00"/>
    <n v="16"/>
    <n v="4"/>
    <n v="11"/>
    <n v="268.56"/>
    <n v="2954.16"/>
    <n v="0.03"/>
    <n v="88.62"/>
    <n v="2865.54"/>
    <n v="1979.29"/>
    <n v="886.25"/>
  </r>
  <r>
    <n v="201305"/>
    <n v="3246"/>
    <x v="3"/>
    <x v="1"/>
    <x v="1"/>
    <s v="Rice"/>
    <x v="353"/>
    <d v="2024-10-14T00:00:00"/>
    <d v="2024-11-12T00:00:00"/>
    <n v="30"/>
    <n v="1"/>
    <n v="7"/>
    <n v="497.52"/>
    <n v="3482.64"/>
    <n v="0.14000000000000001"/>
    <n v="487.57"/>
    <n v="2995.07"/>
    <n v="2194.06"/>
    <n v="801.01"/>
  </r>
  <r>
    <n v="201306"/>
    <n v="3494"/>
    <x v="3"/>
    <x v="1"/>
    <x v="2"/>
    <s v="Tablet"/>
    <x v="683"/>
    <d v="2024-02-06T00:00:00"/>
    <d v="2024-02-22T00:00:00"/>
    <n v="19"/>
    <n v="3"/>
    <n v="12"/>
    <n v="532.95000000000005"/>
    <n v="6395.4"/>
    <n v="0.08"/>
    <n v="511.63"/>
    <n v="5883.77"/>
    <n v="3773.29"/>
    <n v="2110.48"/>
  </r>
  <r>
    <n v="201307"/>
    <n v="1476"/>
    <x v="3"/>
    <x v="0"/>
    <x v="1"/>
    <s v="Snacks"/>
    <x v="391"/>
    <d v="2024-06-22T00:00:00"/>
    <d v="2024-07-03T00:00:00"/>
    <n v="13"/>
    <n v="2"/>
    <n v="7"/>
    <n v="506.89"/>
    <n v="3548.23"/>
    <n v="0.09"/>
    <n v="319.33999999999997"/>
    <n v="3228.89"/>
    <n v="2164.42"/>
    <n v="1064.47"/>
  </r>
  <r>
    <n v="201308"/>
    <n v="3159"/>
    <x v="1"/>
    <x v="1"/>
    <x v="0"/>
    <s v="Sofa"/>
    <x v="483"/>
    <d v="2024-12-15T00:00:00"/>
    <d v="2024-12-29T00:00:00"/>
    <n v="18"/>
    <n v="4"/>
    <n v="4"/>
    <n v="450.51"/>
    <n v="1802.04"/>
    <n v="0.11"/>
    <n v="198.22"/>
    <n v="1603.82"/>
    <n v="1243.4100000000001"/>
    <n v="360.41"/>
  </r>
  <r>
    <n v="201309"/>
    <n v="3204"/>
    <x v="1"/>
    <x v="0"/>
    <x v="3"/>
    <s v="Jeans"/>
    <x v="466"/>
    <d v="2024-09-03T00:00:00"/>
    <d v="2024-09-04T00:00:00"/>
    <n v="3"/>
    <n v="2"/>
    <n v="8"/>
    <n v="550.99"/>
    <n v="4407.92"/>
    <n v="0.13"/>
    <n v="573.03"/>
    <n v="3834.89"/>
    <n v="2909.23"/>
    <n v="925.66"/>
  </r>
  <r>
    <n v="201310"/>
    <n v="4678"/>
    <x v="1"/>
    <x v="0"/>
    <x v="1"/>
    <s v="Beverage"/>
    <x v="511"/>
    <d v="2024-08-18T00:00:00"/>
    <d v="2024-08-24T00:00:00"/>
    <n v="8"/>
    <n v="2"/>
    <n v="11"/>
    <n v="602.9"/>
    <n v="6631.9"/>
    <n v="0.17"/>
    <n v="1127.42"/>
    <n v="5504.48"/>
    <n v="4111.78"/>
    <n v="1392.7"/>
  </r>
  <r>
    <n v="201311"/>
    <n v="1331"/>
    <x v="0"/>
    <x v="1"/>
    <x v="3"/>
    <s v="Shoes"/>
    <x v="427"/>
    <d v="2025-01-01T00:00:00"/>
    <d v="2025-01-13T00:00:00"/>
    <n v="15"/>
    <n v="3"/>
    <n v="13"/>
    <n v="306.67"/>
    <n v="3986.71"/>
    <n v="0.09"/>
    <n v="358.8"/>
    <n v="3627.91"/>
    <n v="2392.0300000000002"/>
    <n v="1235.8800000000001"/>
  </r>
  <r>
    <n v="201312"/>
    <n v="3828"/>
    <x v="0"/>
    <x v="1"/>
    <x v="3"/>
    <s v="Shirt"/>
    <x v="463"/>
    <d v="2024-06-23T00:00:00"/>
    <d v="2024-06-23T00:00:00"/>
    <n v="5"/>
    <n v="5"/>
    <n v="4"/>
    <n v="564.99"/>
    <n v="2259.96"/>
    <n v="0.08"/>
    <n v="180.8"/>
    <n v="2079.16"/>
    <n v="1559.37"/>
    <n v="519.79"/>
  </r>
  <r>
    <n v="201313"/>
    <n v="1721"/>
    <x v="1"/>
    <x v="2"/>
    <x v="0"/>
    <s v="Sofa"/>
    <x v="417"/>
    <d v="2024-12-15T00:00:00"/>
    <d v="2025-01-06T00:00:00"/>
    <n v="25"/>
    <n v="3"/>
    <n v="14"/>
    <n v="606.97"/>
    <n v="8497.58"/>
    <n v="0.04"/>
    <n v="339.9"/>
    <n v="8157.68"/>
    <n v="5608.4"/>
    <n v="2549.2800000000002"/>
  </r>
  <r>
    <n v="201314"/>
    <n v="2388"/>
    <x v="3"/>
    <x v="0"/>
    <x v="3"/>
    <s v="Jeans"/>
    <x v="387"/>
    <d v="2024-12-19T00:00:00"/>
    <d v="2025-01-15T00:00:00"/>
    <n v="29"/>
    <n v="2"/>
    <n v="11"/>
    <n v="80.48"/>
    <n v="885.28"/>
    <n v="0.08"/>
    <n v="70.819999999999993"/>
    <n v="814.46"/>
    <n v="478.05"/>
    <n v="336.41"/>
  </r>
  <r>
    <n v="201315"/>
    <n v="1098"/>
    <x v="3"/>
    <x v="1"/>
    <x v="1"/>
    <s v="Snacks"/>
    <x v="676"/>
    <d v="2024-09-02T00:00:00"/>
    <d v="2024-09-10T00:00:00"/>
    <n v="12"/>
    <n v="4"/>
    <n v="8"/>
    <n v="485.31"/>
    <n v="3882.48"/>
    <n v="0.12"/>
    <n v="465.9"/>
    <n v="3416.58"/>
    <n v="2717.74"/>
    <n v="698.84"/>
  </r>
  <r>
    <n v="201316"/>
    <n v="3850"/>
    <x v="0"/>
    <x v="0"/>
    <x v="1"/>
    <s v="Pasta"/>
    <x v="638"/>
    <d v="2024-09-27T00:00:00"/>
    <d v="2024-10-12T00:00:00"/>
    <n v="17"/>
    <n v="2"/>
    <n v="8"/>
    <n v="478.81"/>
    <n v="3830.48"/>
    <n v="0.05"/>
    <n v="191.52"/>
    <n v="3638.96"/>
    <n v="2413.1999999999998"/>
    <n v="1225.76"/>
  </r>
  <r>
    <n v="201317"/>
    <n v="3768"/>
    <x v="3"/>
    <x v="1"/>
    <x v="3"/>
    <s v="Jacket"/>
    <x v="417"/>
    <d v="2024-12-14T00:00:00"/>
    <d v="2025-01-06T00:00:00"/>
    <n v="25"/>
    <n v="2"/>
    <n v="9"/>
    <n v="358.97"/>
    <n v="3230.73"/>
    <n v="0.13"/>
    <n v="419.99"/>
    <n v="2810.74"/>
    <n v="2196.9"/>
    <n v="613.84"/>
  </r>
  <r>
    <n v="201318"/>
    <n v="4842"/>
    <x v="3"/>
    <x v="0"/>
    <x v="2"/>
    <s v="Headphones"/>
    <x v="429"/>
    <d v="2024-07-14T00:00:00"/>
    <d v="2024-08-03T00:00:00"/>
    <n v="22"/>
    <n v="2"/>
    <n v="4"/>
    <n v="784.7"/>
    <n v="3138.8"/>
    <n v="7.0000000000000007E-2"/>
    <n v="219.72"/>
    <n v="2919.08"/>
    <n v="2008.83"/>
    <n v="910.25"/>
  </r>
  <r>
    <n v="201319"/>
    <n v="3681"/>
    <x v="3"/>
    <x v="1"/>
    <x v="0"/>
    <s v="Lamp"/>
    <x v="700"/>
    <d v="2024-11-11T00:00:00"/>
    <d v="2024-11-13T00:00:00"/>
    <n v="4"/>
    <n v="2"/>
    <n v="7"/>
    <n v="609.87"/>
    <n v="4269.09"/>
    <n v="0.14000000000000001"/>
    <n v="597.66999999999996"/>
    <n v="3671.42"/>
    <n v="2561.4499999999998"/>
    <n v="1109.97"/>
  </r>
  <r>
    <n v="201320"/>
    <n v="3835"/>
    <x v="1"/>
    <x v="0"/>
    <x v="1"/>
    <s v="Snacks"/>
    <x v="436"/>
    <d v="2024-04-20T00:00:00"/>
    <d v="2024-05-04T00:00:00"/>
    <n v="16"/>
    <n v="2"/>
    <n v="9"/>
    <n v="791.16"/>
    <n v="7120.44"/>
    <n v="0.15"/>
    <n v="1068.07"/>
    <n v="6052.37"/>
    <n v="4485.88"/>
    <n v="1566.49"/>
  </r>
  <r>
    <n v="201321"/>
    <n v="4781"/>
    <x v="2"/>
    <x v="0"/>
    <x v="3"/>
    <s v="Jeans"/>
    <x v="375"/>
    <d v="2024-10-30T00:00:00"/>
    <d v="2024-11-09T00:00:00"/>
    <n v="15"/>
    <n v="5"/>
    <n v="6"/>
    <n v="678.56"/>
    <n v="4071.36"/>
    <n v="0.06"/>
    <n v="244.28"/>
    <n v="3827.08"/>
    <n v="2646.38"/>
    <n v="1180.7"/>
  </r>
  <r>
    <n v="201322"/>
    <n v="4165"/>
    <x v="2"/>
    <x v="2"/>
    <x v="3"/>
    <s v="Shoes"/>
    <x v="627"/>
    <d v="2024-07-01T00:00:00"/>
    <d v="2024-07-16T00:00:00"/>
    <n v="20"/>
    <n v="5"/>
    <n v="5"/>
    <n v="796.71"/>
    <n v="3983.55"/>
    <n v="0.12"/>
    <n v="478.03"/>
    <n v="3505.52"/>
    <n v="2668.98"/>
    <n v="836.54"/>
  </r>
  <r>
    <n v="201323"/>
    <n v="1685"/>
    <x v="0"/>
    <x v="1"/>
    <x v="1"/>
    <s v="Rice"/>
    <x v="371"/>
    <d v="2024-08-16T00:00:00"/>
    <d v="2024-09-03T00:00:00"/>
    <n v="23"/>
    <n v="5"/>
    <n v="4"/>
    <n v="389.46"/>
    <n v="1557.84"/>
    <n v="0.08"/>
    <n v="124.63"/>
    <n v="1433.21"/>
    <n v="1090.49"/>
    <n v="342.72"/>
  </r>
  <r>
    <n v="201324"/>
    <n v="3316"/>
    <x v="2"/>
    <x v="1"/>
    <x v="0"/>
    <s v="Table"/>
    <x v="677"/>
    <d v="2024-12-03T00:00:00"/>
    <d v="2024-12-30T00:00:00"/>
    <n v="29"/>
    <n v="2"/>
    <n v="5"/>
    <n v="28.9"/>
    <n v="144.5"/>
    <n v="0.1"/>
    <n v="14.45"/>
    <n v="130.05000000000001"/>
    <n v="86.7"/>
    <n v="43.35"/>
  </r>
  <r>
    <n v="201325"/>
    <n v="2075"/>
    <x v="2"/>
    <x v="1"/>
    <x v="3"/>
    <s v="Shoes"/>
    <x v="370"/>
    <d v="2024-09-16T00:00:00"/>
    <d v="2024-10-08T00:00:00"/>
    <n v="24"/>
    <n v="2"/>
    <n v="13"/>
    <n v="746.54"/>
    <n v="9705.02"/>
    <n v="0.1"/>
    <n v="970.5"/>
    <n v="8734.52"/>
    <n v="5823.01"/>
    <n v="2911.51"/>
  </r>
  <r>
    <n v="201326"/>
    <n v="2861"/>
    <x v="1"/>
    <x v="2"/>
    <x v="1"/>
    <s v="Rice"/>
    <x v="597"/>
    <d v="2024-02-24T00:00:00"/>
    <d v="2024-03-13T00:00:00"/>
    <n v="21"/>
    <n v="3"/>
    <n v="11"/>
    <n v="219.26"/>
    <n v="2411.86"/>
    <n v="0.14000000000000001"/>
    <n v="337.66"/>
    <n v="2074.1999999999998"/>
    <n v="1712.42"/>
    <n v="361.78"/>
  </r>
  <r>
    <n v="201327"/>
    <n v="2970"/>
    <x v="2"/>
    <x v="2"/>
    <x v="2"/>
    <s v="Laptop"/>
    <x v="370"/>
    <d v="2024-09-15T00:00:00"/>
    <d v="2024-09-19T00:00:00"/>
    <n v="5"/>
    <n v="1"/>
    <n v="4"/>
    <n v="675.09"/>
    <n v="2700.36"/>
    <n v="0.13"/>
    <n v="351.05"/>
    <n v="2349.31"/>
    <n v="1836.24"/>
    <n v="513.07000000000005"/>
  </r>
  <r>
    <n v="201328"/>
    <n v="2357"/>
    <x v="3"/>
    <x v="0"/>
    <x v="2"/>
    <s v="Tablet"/>
    <x v="465"/>
    <d v="2024-06-09T00:00:00"/>
    <d v="2024-06-18T00:00:00"/>
    <n v="14"/>
    <n v="5"/>
    <n v="1"/>
    <n v="376.78"/>
    <n v="376.78"/>
    <n v="0.18"/>
    <n v="67.819999999999993"/>
    <n v="308.95999999999998"/>
    <n v="259.98"/>
    <n v="48.98"/>
  </r>
  <r>
    <n v="201329"/>
    <n v="2470"/>
    <x v="0"/>
    <x v="0"/>
    <x v="2"/>
    <s v="Phone"/>
    <x v="432"/>
    <d v="2024-03-11T00:00:00"/>
    <d v="2024-04-02T00:00:00"/>
    <n v="23"/>
    <n v="1"/>
    <n v="7"/>
    <n v="173.39"/>
    <n v="1213.73"/>
    <n v="7.0000000000000007E-2"/>
    <n v="84.96"/>
    <n v="1128.77"/>
    <n v="776.79"/>
    <n v="351.98"/>
  </r>
  <r>
    <n v="201330"/>
    <n v="3208"/>
    <x v="1"/>
    <x v="0"/>
    <x v="1"/>
    <s v="Snacks"/>
    <x v="650"/>
    <d v="2024-03-26T00:00:00"/>
    <d v="2024-04-12T00:00:00"/>
    <n v="18"/>
    <n v="1"/>
    <n v="2"/>
    <n v="82.19"/>
    <n v="164.38"/>
    <n v="0.08"/>
    <n v="13.15"/>
    <n v="151.22999999999999"/>
    <n v="95.34"/>
    <n v="55.89"/>
  </r>
  <r>
    <n v="201331"/>
    <n v="4832"/>
    <x v="0"/>
    <x v="0"/>
    <x v="0"/>
    <s v="Sofa"/>
    <x v="385"/>
    <d v="2024-10-28T00:00:00"/>
    <d v="2024-11-18T00:00:00"/>
    <n v="26"/>
    <n v="5"/>
    <n v="14"/>
    <n v="214.38"/>
    <n v="3001.32"/>
    <n v="0.17"/>
    <n v="510.22"/>
    <n v="2491.1"/>
    <n v="2190.96"/>
    <n v="300.14"/>
  </r>
  <r>
    <n v="201332"/>
    <n v="1979"/>
    <x v="0"/>
    <x v="1"/>
    <x v="0"/>
    <s v="Cookware"/>
    <x v="573"/>
    <d v="2024-06-08T00:00:00"/>
    <d v="2024-07-03T00:00:00"/>
    <n v="30"/>
    <n v="5"/>
    <n v="9"/>
    <n v="474.97"/>
    <n v="4274.7299999999996"/>
    <n v="0.11"/>
    <n v="470.22"/>
    <n v="3804.51"/>
    <n v="2821.32"/>
    <n v="983.19"/>
  </r>
  <r>
    <n v="201333"/>
    <n v="4020"/>
    <x v="2"/>
    <x v="2"/>
    <x v="0"/>
    <s v="Sofa"/>
    <x v="377"/>
    <d v="2024-04-17T00:00:00"/>
    <d v="2024-05-06T00:00:00"/>
    <n v="20"/>
    <n v="1"/>
    <n v="6"/>
    <n v="757.35"/>
    <n v="4544.1000000000004"/>
    <n v="0.1"/>
    <n v="454.41"/>
    <n v="4089.69"/>
    <n v="2908.22"/>
    <n v="1181.47"/>
  </r>
  <r>
    <n v="201334"/>
    <n v="3633"/>
    <x v="3"/>
    <x v="0"/>
    <x v="0"/>
    <s v="Cookware"/>
    <x v="482"/>
    <d v="2024-11-01T00:00:00"/>
    <d v="2024-11-23T00:00:00"/>
    <n v="23"/>
    <n v="1"/>
    <n v="6"/>
    <n v="657.07"/>
    <n v="3942.42"/>
    <n v="0.01"/>
    <n v="39.42"/>
    <n v="3903"/>
    <n v="2404.88"/>
    <n v="1498.12"/>
  </r>
  <r>
    <n v="201335"/>
    <n v="2058"/>
    <x v="0"/>
    <x v="2"/>
    <x v="3"/>
    <s v="Shoes"/>
    <x v="657"/>
    <d v="2024-12-23T00:00:00"/>
    <d v="2025-01-08T00:00:00"/>
    <n v="17"/>
    <n v="1"/>
    <n v="10"/>
    <n v="360.67"/>
    <n v="3606.7"/>
    <n v="0.15"/>
    <n v="541"/>
    <n v="3065.7"/>
    <n v="2200.09"/>
    <n v="865.61"/>
  </r>
  <r>
    <n v="201336"/>
    <n v="4772"/>
    <x v="0"/>
    <x v="2"/>
    <x v="3"/>
    <s v="Shirt"/>
    <x v="594"/>
    <d v="2024-11-08T00:00:00"/>
    <d v="2024-12-02T00:00:00"/>
    <n v="29"/>
    <n v="5"/>
    <n v="14"/>
    <n v="484.11"/>
    <n v="6777.54"/>
    <n v="0.05"/>
    <n v="338.88"/>
    <n v="6438.66"/>
    <n v="4676.5"/>
    <n v="1762.16"/>
  </r>
  <r>
    <n v="201337"/>
    <n v="3730"/>
    <x v="3"/>
    <x v="0"/>
    <x v="1"/>
    <s v="Snacks"/>
    <x v="562"/>
    <d v="2024-10-25T00:00:00"/>
    <d v="2024-11-18T00:00:00"/>
    <n v="27"/>
    <n v="3"/>
    <n v="4"/>
    <n v="598.76"/>
    <n v="2395.04"/>
    <n v="0.09"/>
    <n v="215.55"/>
    <n v="2179.4899999999998"/>
    <n v="1413.07"/>
    <n v="766.42"/>
  </r>
  <r>
    <n v="201338"/>
    <n v="1389"/>
    <x v="3"/>
    <x v="2"/>
    <x v="3"/>
    <s v="Jeans"/>
    <x v="645"/>
    <d v="2024-04-11T00:00:00"/>
    <d v="2024-04-10T00:00:00"/>
    <n v="3"/>
    <n v="4"/>
    <n v="9"/>
    <n v="426.77"/>
    <n v="3840.93"/>
    <n v="0.11"/>
    <n v="422.5"/>
    <n v="3418.43"/>
    <n v="2458.1999999999998"/>
    <n v="960.23"/>
  </r>
  <r>
    <n v="201339"/>
    <n v="1347"/>
    <x v="1"/>
    <x v="2"/>
    <x v="1"/>
    <s v="Pasta"/>
    <x v="677"/>
    <d v="2024-12-02T00:00:00"/>
    <d v="2024-12-31T00:00:00"/>
    <n v="30"/>
    <n v="1"/>
    <n v="3"/>
    <n v="258.08999999999997"/>
    <n v="774.27"/>
    <n v="0.12"/>
    <n v="92.91"/>
    <n v="681.36"/>
    <n v="487.79"/>
    <n v="193.57"/>
  </r>
  <r>
    <n v="201340"/>
    <n v="3277"/>
    <x v="1"/>
    <x v="0"/>
    <x v="2"/>
    <s v="Headphones"/>
    <x v="640"/>
    <d v="2024-12-09T00:00:00"/>
    <d v="2024-12-27T00:00:00"/>
    <n v="23"/>
    <n v="5"/>
    <n v="5"/>
    <n v="555.58000000000004"/>
    <n v="2777.9"/>
    <n v="0.06"/>
    <n v="166.67"/>
    <n v="2611.23"/>
    <n v="1750.08"/>
    <n v="861.15"/>
  </r>
  <r>
    <n v="201341"/>
    <n v="4066"/>
    <x v="3"/>
    <x v="0"/>
    <x v="1"/>
    <s v="Beverage"/>
    <x v="486"/>
    <d v="2024-01-28T00:00:00"/>
    <d v="2024-02-17T00:00:00"/>
    <n v="25"/>
    <n v="5"/>
    <n v="14"/>
    <n v="778.52"/>
    <n v="10899.28"/>
    <n v="0.15"/>
    <n v="1634.89"/>
    <n v="9264.39"/>
    <n v="6866.55"/>
    <n v="2397.84"/>
  </r>
  <r>
    <n v="201342"/>
    <n v="4306"/>
    <x v="2"/>
    <x v="2"/>
    <x v="3"/>
    <s v="Jacket"/>
    <x v="580"/>
    <d v="2024-10-30T00:00:00"/>
    <d v="2024-11-01T00:00:00"/>
    <n v="6"/>
    <n v="4"/>
    <n v="12"/>
    <n v="355.45"/>
    <n v="4265.3999999999996"/>
    <n v="0.24"/>
    <n v="1023.7"/>
    <n v="3241.7"/>
    <n v="2345.9699999999998"/>
    <n v="895.73"/>
  </r>
  <r>
    <n v="201343"/>
    <n v="3171"/>
    <x v="2"/>
    <x v="0"/>
    <x v="2"/>
    <s v="Headphones"/>
    <x v="408"/>
    <d v="2024-09-26T00:00:00"/>
    <d v="2024-09-25T00:00:00"/>
    <n v="4"/>
    <n v="5"/>
    <n v="7"/>
    <n v="435.74"/>
    <n v="3050.18"/>
    <n v="0.2"/>
    <n v="610.04"/>
    <n v="2440.14"/>
    <n v="1952.12"/>
    <n v="488.02"/>
  </r>
  <r>
    <n v="201344"/>
    <n v="3920"/>
    <x v="1"/>
    <x v="2"/>
    <x v="2"/>
    <s v="Laptop"/>
    <x v="465"/>
    <d v="2024-06-08T00:00:00"/>
    <d v="2024-06-23T00:00:00"/>
    <n v="19"/>
    <n v="4"/>
    <n v="10"/>
    <n v="560.38"/>
    <n v="5603.8"/>
    <n v="0.11"/>
    <n v="616.41999999999996"/>
    <n v="4987.38"/>
    <n v="3418.32"/>
    <n v="1569.06"/>
  </r>
  <r>
    <n v="201345"/>
    <n v="2796"/>
    <x v="2"/>
    <x v="1"/>
    <x v="0"/>
    <s v="Sofa"/>
    <x v="616"/>
    <d v="2024-11-02T00:00:00"/>
    <d v="2024-11-05T00:00:00"/>
    <n v="4"/>
    <n v="1"/>
    <n v="2"/>
    <n v="469.53"/>
    <n v="939.06"/>
    <n v="0.16"/>
    <n v="150.25"/>
    <n v="788.81"/>
    <n v="601"/>
    <n v="187.81"/>
  </r>
  <r>
    <n v="201346"/>
    <n v="2085"/>
    <x v="1"/>
    <x v="2"/>
    <x v="3"/>
    <s v="Shirt"/>
    <x v="450"/>
    <d v="2024-09-04T00:00:00"/>
    <d v="2024-09-26T00:00:00"/>
    <n v="26"/>
    <n v="4"/>
    <n v="7"/>
    <n v="690.4"/>
    <n v="4832.8"/>
    <n v="0.03"/>
    <n v="144.97999999999999"/>
    <n v="4687.82"/>
    <n v="2948.01"/>
    <n v="1739.81"/>
  </r>
  <r>
    <n v="201347"/>
    <n v="4037"/>
    <x v="2"/>
    <x v="0"/>
    <x v="3"/>
    <s v="Jeans"/>
    <x v="666"/>
    <d v="2024-01-25T00:00:00"/>
    <d v="2024-02-13T00:00:00"/>
    <n v="24"/>
    <n v="5"/>
    <n v="2"/>
    <n v="327.04000000000002"/>
    <n v="654.08000000000004"/>
    <n v="0.18"/>
    <n v="117.73"/>
    <n v="536.35"/>
    <n v="412.07"/>
    <n v="124.28"/>
  </r>
  <r>
    <n v="201348"/>
    <n v="2066"/>
    <x v="2"/>
    <x v="2"/>
    <x v="0"/>
    <s v="Sofa"/>
    <x v="589"/>
    <d v="2024-05-11T00:00:00"/>
    <d v="2024-05-23T00:00:00"/>
    <n v="13"/>
    <n v="1"/>
    <n v="6"/>
    <n v="232.13"/>
    <n v="1392.78"/>
    <n v="0.13"/>
    <n v="181.06"/>
    <n v="1211.72"/>
    <n v="1044.58"/>
    <n v="167.14"/>
  </r>
  <r>
    <n v="201349"/>
    <n v="1363"/>
    <x v="1"/>
    <x v="1"/>
    <x v="2"/>
    <s v="Phone"/>
    <x v="547"/>
    <d v="2024-02-03T00:00:00"/>
    <d v="2024-02-15T00:00:00"/>
    <n v="14"/>
    <n v="2"/>
    <n v="7"/>
    <n v="441.26"/>
    <n v="3088.82"/>
    <n v="0.12"/>
    <n v="370.66"/>
    <n v="2718.16"/>
    <n v="2069.5100000000002"/>
    <n v="648.65"/>
  </r>
  <r>
    <n v="201350"/>
    <n v="4589"/>
    <x v="1"/>
    <x v="1"/>
    <x v="1"/>
    <s v="Rice"/>
    <x v="544"/>
    <d v="2024-07-26T00:00:00"/>
    <d v="2024-08-07T00:00:00"/>
    <n v="14"/>
    <n v="2"/>
    <n v="7"/>
    <n v="700.96"/>
    <n v="4906.72"/>
    <n v="0.03"/>
    <n v="147.19999999999999"/>
    <n v="4759.5200000000004"/>
    <n v="3287.5"/>
    <n v="1472.02"/>
  </r>
  <r>
    <n v="201351"/>
    <n v="2021"/>
    <x v="0"/>
    <x v="2"/>
    <x v="2"/>
    <s v="Headphones"/>
    <x v="395"/>
    <d v="2024-12-19T00:00:00"/>
    <d v="2024-12-30T00:00:00"/>
    <n v="12"/>
    <n v="1"/>
    <n v="14"/>
    <n v="272.33999999999997"/>
    <n v="3812.76"/>
    <n v="0.1"/>
    <n v="381.28"/>
    <n v="3431.48"/>
    <n v="2668.93"/>
    <n v="762.55"/>
  </r>
  <r>
    <n v="201352"/>
    <n v="1231"/>
    <x v="1"/>
    <x v="1"/>
    <x v="3"/>
    <s v="Shoes"/>
    <x v="563"/>
    <d v="2024-08-18T00:00:00"/>
    <d v="2024-08-19T00:00:00"/>
    <n v="2"/>
    <n v="1"/>
    <n v="6"/>
    <n v="189.66"/>
    <n v="1137.96"/>
    <n v="0.03"/>
    <n v="34.14"/>
    <n v="1103.82"/>
    <n v="716.91"/>
    <n v="386.91"/>
  </r>
  <r>
    <n v="201353"/>
    <n v="2220"/>
    <x v="3"/>
    <x v="2"/>
    <x v="3"/>
    <s v="Jeans"/>
    <x v="486"/>
    <d v="2024-01-24T00:00:00"/>
    <d v="2024-01-28T00:00:00"/>
    <n v="5"/>
    <n v="1"/>
    <n v="14"/>
    <n v="294.43"/>
    <n v="4122.0200000000004"/>
    <n v="0.12"/>
    <n v="494.64"/>
    <n v="3627.38"/>
    <n v="2720.53"/>
    <n v="906.85"/>
  </r>
  <r>
    <n v="201354"/>
    <n v="4688"/>
    <x v="3"/>
    <x v="1"/>
    <x v="0"/>
    <s v="Cookware"/>
    <x v="601"/>
    <d v="2024-10-17T00:00:00"/>
    <d v="2024-10-23T00:00:00"/>
    <n v="8"/>
    <n v="2"/>
    <n v="6"/>
    <n v="726.86"/>
    <n v="4361.16"/>
    <n v="0.11"/>
    <n v="479.73"/>
    <n v="3881.43"/>
    <n v="2660.31"/>
    <n v="1221.1199999999999"/>
  </r>
  <r>
    <n v="201355"/>
    <n v="1953"/>
    <x v="3"/>
    <x v="1"/>
    <x v="0"/>
    <s v="Sofa"/>
    <x v="699"/>
    <d v="2024-11-14T00:00:00"/>
    <d v="2024-12-11T00:00:00"/>
    <n v="29"/>
    <n v="2"/>
    <n v="3"/>
    <n v="342"/>
    <n v="1026"/>
    <n v="0.02"/>
    <n v="20.52"/>
    <n v="1005.48"/>
    <n v="625.86"/>
    <n v="379.62"/>
  </r>
  <r>
    <n v="201356"/>
    <n v="2411"/>
    <x v="1"/>
    <x v="1"/>
    <x v="0"/>
    <s v="Sofa"/>
    <x v="406"/>
    <d v="2024-03-16T00:00:00"/>
    <d v="2024-04-07T00:00:00"/>
    <n v="27"/>
    <n v="5"/>
    <n v="2"/>
    <n v="796.46"/>
    <n v="1592.92"/>
    <n v="0.13"/>
    <n v="207.08"/>
    <n v="1385.84"/>
    <n v="1019.47"/>
    <n v="366.37"/>
  </r>
  <r>
    <n v="201357"/>
    <n v="1157"/>
    <x v="2"/>
    <x v="0"/>
    <x v="0"/>
    <s v="Cookware"/>
    <x v="617"/>
    <d v="2024-05-01T00:00:00"/>
    <d v="2024-05-24T00:00:00"/>
    <n v="27"/>
    <n v="4"/>
    <n v="13"/>
    <n v="410.19"/>
    <n v="5332.47"/>
    <n v="0.09"/>
    <n v="479.92"/>
    <n v="4852.55"/>
    <n v="3092.83"/>
    <n v="1759.72"/>
  </r>
  <r>
    <n v="201358"/>
    <n v="2825"/>
    <x v="3"/>
    <x v="0"/>
    <x v="1"/>
    <s v="Rice"/>
    <x v="423"/>
    <d v="2024-12-29T00:00:00"/>
    <d v="2025-01-20T00:00:00"/>
    <n v="23"/>
    <n v="1"/>
    <n v="6"/>
    <n v="133.15"/>
    <n v="798.9"/>
    <n v="0.11"/>
    <n v="87.88"/>
    <n v="711.02"/>
    <n v="527.27"/>
    <n v="183.75"/>
  </r>
  <r>
    <n v="201359"/>
    <n v="2767"/>
    <x v="2"/>
    <x v="0"/>
    <x v="2"/>
    <s v="Tablet"/>
    <x v="509"/>
    <d v="2024-01-31T00:00:00"/>
    <d v="2024-02-18T00:00:00"/>
    <n v="22"/>
    <n v="4"/>
    <n v="9"/>
    <n v="225.05"/>
    <n v="2025.45"/>
    <n v="0.16"/>
    <n v="324.07"/>
    <n v="1701.38"/>
    <n v="1438.07"/>
    <n v="263.31"/>
  </r>
  <r>
    <n v="201360"/>
    <n v="4253"/>
    <x v="1"/>
    <x v="1"/>
    <x v="1"/>
    <s v="Rice"/>
    <x v="638"/>
    <d v="2024-09-27T00:00:00"/>
    <d v="2024-10-20T00:00:00"/>
    <n v="25"/>
    <n v="2"/>
    <n v="11"/>
    <n v="267.26"/>
    <n v="2939.86"/>
    <n v="0.13"/>
    <n v="382.18"/>
    <n v="2557.6799999999998"/>
    <n v="1910.91"/>
    <n v="646.77"/>
  </r>
  <r>
    <n v="201361"/>
    <n v="2967"/>
    <x v="3"/>
    <x v="1"/>
    <x v="1"/>
    <s v="Snacks"/>
    <x v="387"/>
    <d v="2024-12-21T00:00:00"/>
    <d v="2024-12-31T00:00:00"/>
    <n v="14"/>
    <n v="4"/>
    <n v="3"/>
    <n v="620.82000000000005"/>
    <n v="1862.46"/>
    <n v="0.11"/>
    <n v="204.87"/>
    <n v="1657.59"/>
    <n v="1154.73"/>
    <n v="502.86"/>
  </r>
  <r>
    <n v="201362"/>
    <n v="4988"/>
    <x v="1"/>
    <x v="1"/>
    <x v="2"/>
    <s v="Laptop"/>
    <x v="398"/>
    <d v="2024-12-13T00:00:00"/>
    <d v="2025-01-07T00:00:00"/>
    <n v="29"/>
    <n v="4"/>
    <n v="4"/>
    <n v="415.47"/>
    <n v="1661.88"/>
    <n v="0.15"/>
    <n v="249.28"/>
    <n v="1412.6"/>
    <n v="1046.98"/>
    <n v="365.62"/>
  </r>
  <r>
    <n v="201363"/>
    <n v="2292"/>
    <x v="3"/>
    <x v="2"/>
    <x v="1"/>
    <s v="Snacks"/>
    <x v="457"/>
    <d v="2024-11-12T00:00:00"/>
    <d v="2024-11-29T00:00:00"/>
    <n v="22"/>
    <n v="5"/>
    <n v="9"/>
    <n v="126.66"/>
    <n v="1139.94"/>
    <n v="0.2"/>
    <n v="227.99"/>
    <n v="911.95"/>
    <n v="683.96"/>
    <n v="227.99"/>
  </r>
  <r>
    <n v="201364"/>
    <n v="3700"/>
    <x v="0"/>
    <x v="2"/>
    <x v="0"/>
    <s v="Sofa"/>
    <x v="367"/>
    <d v="2024-03-23T00:00:00"/>
    <d v="2024-04-02T00:00:00"/>
    <n v="12"/>
    <n v="2"/>
    <n v="3"/>
    <n v="621.08000000000004"/>
    <n v="1863.24"/>
    <n v="0.12"/>
    <n v="223.59"/>
    <n v="1639.65"/>
    <n v="1211.1099999999999"/>
    <n v="428.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683FA3-2E5E-4C1B-81F9-F791E095A75B}" name="PivotTable5"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C26" firstHeaderRow="0" firstDataRow="1" firstDataCol="1"/>
  <pivotFields count="22">
    <pivotField showAll="0"/>
    <pivotField showAll="0"/>
    <pivotField showAll="0">
      <items count="5">
        <item x="2"/>
        <item x="1"/>
        <item x="0"/>
        <item x="3"/>
        <item t="default"/>
      </items>
    </pivotField>
    <pivotField showAll="0"/>
    <pivotField axis="axisRow" showAll="0">
      <items count="5">
        <item x="3"/>
        <item x="2"/>
        <item x="1"/>
        <item x="0"/>
        <item t="default"/>
      </items>
    </pivotField>
    <pivotField showAll="0"/>
    <pivotField numFmtId="14"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0E057B-8E74-4579-B2B8-0E1D58DE0B4A}" name="PivotTable1" cacheId="6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47:D48" firstHeaderRow="0" firstDataRow="1" firstDataCol="0"/>
  <pivotFields count="22">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1"/>
        <item x="0"/>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3"/>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6">
        <item x="0"/>
        <item x="1"/>
        <item x="2"/>
        <item x="3"/>
        <item x="4"/>
        <item t="default"/>
      </items>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name="Average of Unit_Price" fld="12" subtotal="average" baseField="0" baseItem="1" numFmtId="165"/>
    <dataField name="Average of Discount_Rate" fld="14" subtotal="average" baseField="0" baseItem="1"/>
    <dataField name="Average of Days_to_Ship" fld="10" subtotal="average" baseField="0" baseItem="1" numFmtId="1"/>
    <dataField name="Average of Days_to_Payment" fld="9" subtotal="average" baseField="0" baseItem="1" numFmtId="1"/>
  </dataFields>
  <formats count="4">
    <format dxfId="6">
      <pivotArea outline="0" collapsedLevelsAreSubtotals="1" fieldPosition="0"/>
    </format>
    <format dxfId="5">
      <pivotArea outline="0" collapsedLevelsAreSubtotals="1" fieldPosition="0">
        <references count="1">
          <reference field="4294967294" count="1" selected="0">
            <x v="2"/>
          </reference>
        </references>
      </pivotArea>
    </format>
    <format dxfId="4">
      <pivotArea outline="0" collapsedLevelsAreSubtotals="1" fieldPosition="0">
        <references count="1">
          <reference field="4294967294" count="1" selected="0">
            <x v="3"/>
          </reference>
        </references>
      </pivotArea>
    </format>
    <format dxfId="3">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7D3E76-E33B-413D-B95B-34F56DA8C829}" name="PivotTable2" cacheId="63" applyNumberFormats="0" applyBorderFormats="0" applyFontFormats="0" applyPatternFormats="0" applyAlignmentFormats="0" applyWidthHeightFormats="1" dataCaption="Values" grandTotalCaption="Total" updatedVersion="8" minRefreshableVersion="3" useAutoFormatting="1" itemPrintTitles="1" createdVersion="8" indent="0" compact="0" compactData="0" multipleFieldFilters="0">
  <location ref="A2:C7" firstHeaderRow="0" firstDataRow="1" firstDataCol="1"/>
  <pivotFields count="22">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x="3"/>
        <item x="2"/>
        <item x="1"/>
        <item x="0"/>
        <item t="default"/>
      </items>
    </pivotField>
    <pivotField compact="0" outline="0" showAll="0"/>
    <pivotField compact="0" numFmtId="14" outline="0"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1">
    <field x="2"/>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DA5480-55E2-447B-8B67-281A9491B776}" name="PivotTable7"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37"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numFmtId="14" showAll="0"/>
    <pivotField numFmtId="14" showAll="0"/>
    <pivotField dataField="1" showAll="0"/>
    <pivotField dataField="1"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3">
    <i>
      <x/>
    </i>
    <i i="1">
      <x v="1"/>
    </i>
    <i i="2">
      <x v="2"/>
    </i>
  </colItems>
  <dataFields count="3">
    <dataField name="Average of Days_to_Ship" fld="10" subtotal="average" baseField="0" baseItem="2" numFmtId="1"/>
    <dataField name="Average of Days_to_Payment" fld="9" subtotal="average" baseField="0" baseItem="2" numFmtId="1"/>
    <dataField name="Sum of Quantity" fld="11" baseField="0" baseItem="0" numFmtId="3"/>
  </dataFields>
  <formats count="3">
    <format dxfId="9">
      <pivotArea outline="0" collapsedLevelsAreSubtotals="1" fieldPosition="0">
        <references count="1">
          <reference field="4294967294" count="1" selected="0">
            <x v="1"/>
          </reference>
        </references>
      </pivotArea>
    </format>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61529B6-C20F-4FA2-A91A-02FB1E708892}" name="PivotTable3"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G11" firstHeaderRow="0" firstDataRow="1" firstDataCol="0"/>
  <pivotFields count="22">
    <pivotField dataField="1" showAll="0"/>
    <pivotField dataField="1"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numFmtId="14" showAll="0"/>
    <pivotField numFmtId="14" showAll="0"/>
    <pivotField showAll="0"/>
    <pivotField showAll="0"/>
    <pivotField showAll="0"/>
    <pivotField dataField="1" showAll="0"/>
    <pivotField showAll="0"/>
    <pivotField dataField="1" showAll="0"/>
    <pivotField dataField="1"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7">
    <i>
      <x/>
    </i>
    <i i="1">
      <x v="1"/>
    </i>
    <i i="2">
      <x v="2"/>
    </i>
    <i i="3">
      <x v="3"/>
    </i>
    <i i="4">
      <x v="4"/>
    </i>
    <i i="5">
      <x v="5"/>
    </i>
    <i i="6">
      <x v="6"/>
    </i>
  </colItems>
  <dataFields count="7">
    <dataField name="Average of Discount_Amount" fld="15" subtotal="average" baseField="0" baseItem="1" numFmtId="165"/>
    <dataField name="Sum of Profit_After_Discount" fld="18" baseField="0" baseItem="0" numFmtId="164"/>
    <dataField name="Sum of Net_Sales" fld="16" baseField="0" baseItem="0" numFmtId="164"/>
    <dataField name="Average of Discount_Rate" fld="14" subtotal="average" baseField="0" baseItem="1" numFmtId="2"/>
    <dataField name="Average of Unit_Price" fld="12" subtotal="average" baseField="0" baseItem="2" numFmtId="165"/>
    <dataField name="Sum of Order_ID" fld="0" baseField="0" baseItem="0" numFmtId="3"/>
    <dataField name="Sum of Customer_ID" fld="1" baseField="0" baseItem="0" numFmtId="3"/>
  </dataFields>
  <formats count="7">
    <format dxfId="16">
      <pivotArea outline="0" collapsedLevelsAreSubtotals="1" fieldPosition="0">
        <references count="1">
          <reference field="4294967294" count="1" selected="0">
            <x v="3"/>
          </reference>
        </references>
      </pivotArea>
    </format>
    <format dxfId="15">
      <pivotArea outline="0" collapsedLevelsAreSubtotals="1" fieldPosition="0">
        <references count="1">
          <reference field="4294967294" count="1" selected="0">
            <x v="2"/>
          </reference>
        </references>
      </pivotArea>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1" selected="0">
            <x v="4"/>
          </reference>
        </references>
      </pivotArea>
    </format>
    <format dxfId="12">
      <pivotArea outline="0" collapsedLevelsAreSubtotals="1" fieldPosition="0">
        <references count="1">
          <reference field="4294967294" count="1" selected="0">
            <x v="0"/>
          </reference>
        </references>
      </pivotArea>
    </format>
    <format dxfId="11">
      <pivotArea outline="0" collapsedLevelsAreSubtotals="1" fieldPosition="0">
        <references count="1">
          <reference field="4294967294" count="1" selected="0">
            <x v="5"/>
          </reference>
        </references>
      </pivotArea>
    </format>
    <format dxfId="10">
      <pivotArea outline="0" collapsedLevelsAreSubtotals="1"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AB9406-9E37-43FF-B8EA-9A00E53B696A}" name="PivotTable10" cacheId="63" applyNumberFormats="0" applyBorderFormats="0" applyFontFormats="0" applyPatternFormats="0" applyAlignmentFormats="0" applyWidthHeightFormats="1" dataCaption="Values" grandTotalCaption=" Total" updatedVersion="8" minRefreshableVersion="3" useAutoFormatting="1" itemPrintTitles="1" createdVersion="8" indent="0" compact="0" compactData="0" multipleFieldFilters="0" chartFormat="2">
  <location ref="A51:D58" firstHeaderRow="0" firstDataRow="1" firstDataCol="2"/>
  <pivotFields count="22">
    <pivotField compact="0" outline="0" showAll="0"/>
    <pivotField compact="0" outline="0" showAll="0"/>
    <pivotField compact="0" outline="0" showAll="0">
      <items count="5">
        <item x="2"/>
        <item x="1"/>
        <item x="0"/>
        <item x="3"/>
        <item t="default"/>
      </items>
    </pivotField>
    <pivotField axis="axisRow" compact="0" outline="0" showAll="0">
      <items count="4">
        <item sd="0" x="2"/>
        <item sd="0" x="1"/>
        <item sd="0" x="0"/>
        <item t="default" sd="0"/>
      </items>
    </pivotField>
    <pivotField compact="0" outline="0" showAll="0">
      <items count="5">
        <item x="3"/>
        <item x="2"/>
        <item x="1"/>
        <item x="0"/>
        <item t="default"/>
      </items>
    </pivotField>
    <pivotField compact="0" outline="0" showAll="0"/>
    <pivotField compact="0" numFmtId="14" outline="0"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x="5"/>
      </items>
    </pivotField>
    <pivotField axis="axisRow" compact="0" outline="0" showAll="0" defaultSubtotal="0">
      <items count="5">
        <item x="0"/>
        <item x="1"/>
        <item x="2"/>
        <item x="3"/>
        <item x="4"/>
      </items>
    </pivotField>
  </pivotFields>
  <rowFields count="2">
    <field x="21"/>
    <field x="3"/>
  </rowFields>
  <rowItems count="7">
    <i>
      <x v="1"/>
      <x/>
    </i>
    <i r="1">
      <x v="1"/>
    </i>
    <i r="1">
      <x v="2"/>
    </i>
    <i>
      <x v="2"/>
      <x/>
    </i>
    <i r="1">
      <x v="1"/>
    </i>
    <i r="1">
      <x v="2"/>
    </i>
    <i t="grand">
      <x/>
    </i>
  </rowItems>
  <colFields count="1">
    <field x="-2"/>
  </colFields>
  <colItems count="2">
    <i>
      <x/>
    </i>
    <i i="1">
      <x v="1"/>
    </i>
  </colItems>
  <dataFields count="2">
    <dataField name="Sum of Net_Sales" fld="16" baseField="0" baseItem="0"/>
    <dataField name="Sum of Profit_After_Discount" fld="18" baseField="0" baseItem="0"/>
  </dataFields>
  <formats count="1">
    <format dxfId="17">
      <pivotArea outline="0" fieldPosition="0">
        <references count="2">
          <reference field="3" count="0" selected="0"/>
          <reference field="21" count="3" selected="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CE5ABAD-A7E6-46E7-BE20-765DE905D831}" name="PivotTable8"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0:B43" firstHeaderRow="1"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axis="axisRow" showAll="0">
      <items count="6">
        <item sd="0" x="0"/>
        <item sd="0" x="1"/>
        <item sd="0" x="2"/>
        <item sd="0" x="3"/>
        <item x="4"/>
        <item t="default"/>
      </items>
    </pivotField>
  </pivotFields>
  <rowFields count="2">
    <field x="21"/>
    <field x="6"/>
  </rowFields>
  <rowItems count="3">
    <i>
      <x v="1"/>
    </i>
    <i>
      <x v="2"/>
    </i>
    <i t="grand">
      <x/>
    </i>
  </rowItems>
  <colItems count="1">
    <i/>
  </colItems>
  <dataFields count="1">
    <dataField name="Sum of Net_Sales" fld="16" showDataAs="percentOfCol" baseField="21" baseItem="1" numFmtId="10"/>
  </dataFields>
  <chartFormats count="5">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1" count="1" selected="0">
            <x v="1"/>
          </reference>
        </references>
      </pivotArea>
    </chartFormat>
    <chartFormat chart="3" format="7">
      <pivotArea type="data" outline="0" fieldPosition="0">
        <references count="2">
          <reference field="4294967294" count="1" selected="0">
            <x v="0"/>
          </reference>
          <reference field="21" count="1" selected="0">
            <x v="2"/>
          </reference>
        </references>
      </pivotArea>
    </chartFormat>
    <chartFormat chart="3" format="8">
      <pivotArea type="data" outline="0" fieldPosition="0">
        <references count="2">
          <reference field="4294967294" count="1" selected="0">
            <x v="0"/>
          </reference>
          <reference field="2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C05FA0D-9B57-4230-9ACA-0459CED0A1F6}" name="PivotTable6"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9:D32" firstHeaderRow="0"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707">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t="default"/>
      </items>
    </pivotField>
    <pivotField numFmtId="14" showAll="0"/>
    <pivotField numFmtId="14" showAll="0"/>
    <pivotField showAll="0"/>
    <pivotField showAll="0"/>
    <pivotField showAll="0"/>
    <pivotField showAll="0"/>
    <pivotField showAll="0"/>
    <pivotField showAll="0"/>
    <pivotField dataField="1" showAll="0"/>
    <pivotField dataField="1"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x="5"/>
        <item t="default"/>
      </items>
    </pivotField>
    <pivotField axis="axisRow" showAll="0">
      <items count="6">
        <item sd="0" x="0"/>
        <item sd="0" x="1"/>
        <item sd="0" x="2"/>
        <item sd="0" x="3"/>
        <item x="4"/>
        <item t="default"/>
      </items>
    </pivotField>
  </pivotFields>
  <rowFields count="3">
    <field x="21"/>
    <field x="20"/>
    <field x="6"/>
  </rowFields>
  <rowItems count="3">
    <i>
      <x v="1"/>
    </i>
    <i>
      <x v="2"/>
    </i>
    <i t="grand">
      <x/>
    </i>
  </rowItems>
  <colFields count="1">
    <field x="-2"/>
  </colFields>
  <colItems count="3">
    <i>
      <x/>
    </i>
    <i i="1">
      <x v="1"/>
    </i>
    <i i="2">
      <x v="2"/>
    </i>
  </colItems>
  <dataFields count="3">
    <dataField name="Sum of Net_Sales" fld="16" baseField="0" baseItem="0"/>
    <dataField name="Sum of Discount_Amount" fld="15" baseField="0" baseItem="0"/>
    <dataField name="Sum of Profit_After_Discount" fld="18" baseField="0" baseItem="0"/>
  </dataFields>
  <chartFormats count="3">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2"/>
          </reference>
        </references>
      </pivotArea>
    </chartFormat>
    <chartFormat chart="7"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DEC7941-E9FE-4717-9749-D20975D32B0A}" autoFormatId="16" applyNumberFormats="0" applyBorderFormats="0" applyFontFormats="0" applyPatternFormats="0" applyAlignmentFormats="0" applyWidthHeightFormats="0">
  <queryTableRefresh nextId="20">
    <queryTableFields count="19">
      <queryTableField id="1" name="Order_ID" tableColumnId="1"/>
      <queryTableField id="2" name="Customer_ID" tableColumnId="2"/>
      <queryTableField id="3" name="Region" tableColumnId="3"/>
      <queryTableField id="4" name="Sales_Channel" tableColumnId="4"/>
      <queryTableField id="5" name="Product_Category" tableColumnId="5"/>
      <queryTableField id="6" name="Product_Name" tableColumnId="6"/>
      <queryTableField id="7" name="Order_Date" tableColumnId="7"/>
      <queryTableField id="8" name="Ship_Date" tableColumnId="8"/>
      <queryTableField id="9" name="Payment_Date" tableColumnId="9"/>
      <queryTableField id="10" name="Days_to_Payment" tableColumnId="10"/>
      <queryTableField id="11" name="Days_to_Ship" tableColumnId="11"/>
      <queryTableField id="12" name="Quantity" tableColumnId="12"/>
      <queryTableField id="13" name="Unit_Price" tableColumnId="13"/>
      <queryTableField id="14" name="Sales_Amount" tableColumnId="14"/>
      <queryTableField id="15" name="Discount_Rate" tableColumnId="15"/>
      <queryTableField id="16" name="Discount_Amount" tableColumnId="16"/>
      <queryTableField id="17" name="Net_Sales" tableColumnId="17"/>
      <queryTableField id="18" name="Cost_Amount" tableColumnId="18"/>
      <queryTableField id="19" name="Profit_After_Discoun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8495B-9903-4414-BE7E-4C3D12D628BF}" sourceName="Region">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8"/>
  </pivotTables>
  <data>
    <tabular pivotCacheId="92724700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E85A28B-FF7A-4BEF-B29C-49B6EE0BF116}" sourceName="Product_Category">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8"/>
  </pivotTables>
  <data>
    <tabular pivotCacheId="927247000">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747D46E7-20D5-4A90-81F4-119C875AC91E}" sourceName="Years (Order_Date)">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8"/>
  </pivotTables>
  <data>
    <tabular pivotCacheId="927247000">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8F05E3-BDF8-4135-A54C-494640C192C5}" cache="Slicer_Region" caption="Region" rowHeight="241300"/>
  <slicer name="Product_Category" xr10:uid="{E452ACA4-03EE-4223-98F1-5BE683793563}" cache="Slicer_Product_Category" caption="Product_Category" rowHeight="241300"/>
  <slicer name="Years (Order_Date)" xr10:uid="{B590D5D3-A232-4D98-89DA-2AA5343B168D}" cache="Slicer_Years__Order_Date" caption="Years (Order_D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396EBC-4539-4894-B7E1-84C02E697DCB}" name="Retailer_cleaned" displayName="Retailer_cleaned" ref="A1:S2626" tableType="queryTable" totalsRowShown="0">
  <autoFilter ref="A1:S2626" xr:uid="{79396EBC-4539-4894-B7E1-84C02E697DCB}"/>
  <tableColumns count="19">
    <tableColumn id="1" xr3:uid="{FF0F1615-CA06-479E-B6FA-36F03CC46F2E}" uniqueName="1" name="Order_ID" queryTableFieldId="1"/>
    <tableColumn id="2" xr3:uid="{FDD2E489-4E5E-47E3-BEA7-53D210CBF0D1}" uniqueName="2" name="Customer_ID" queryTableFieldId="2"/>
    <tableColumn id="3" xr3:uid="{DB54F9A1-DA9B-4B9D-8EFE-7BE5D8FEA6DC}" uniqueName="3" name="Region" queryTableFieldId="3" dataDxfId="21"/>
    <tableColumn id="4" xr3:uid="{68EA4D81-DB4B-49B2-B33C-8A9A2B17ACC2}" uniqueName="4" name="Sales_Channel" queryTableFieldId="4" dataDxfId="20"/>
    <tableColumn id="5" xr3:uid="{75EF284D-E939-4FB4-94B7-C500A00BA0D8}" uniqueName="5" name="Product_Category" queryTableFieldId="5" dataDxfId="19"/>
    <tableColumn id="6" xr3:uid="{116A90B4-5366-41DC-876C-1A2124CB5B0B}" uniqueName="6" name="Product_Name" queryTableFieldId="6" dataDxfId="18"/>
    <tableColumn id="7" xr3:uid="{3DC0260C-DA5B-4659-A332-CE390D6DC9F7}" uniqueName="7" name="Order_Date" queryTableFieldId="7" dataDxfId="2"/>
    <tableColumn id="8" xr3:uid="{9CD8B08C-98ED-4D91-90A2-879882D22583}" uniqueName="8" name="Ship_Date" queryTableFieldId="8" dataDxfId="1"/>
    <tableColumn id="9" xr3:uid="{D93D738B-A723-4DE6-B5BD-56462EF1FCD2}" uniqueName="9" name="Payment_Date" queryTableFieldId="9" dataDxfId="0"/>
    <tableColumn id="10" xr3:uid="{73BB9750-4AF7-48E9-B2AF-5BD79CA3DDEA}" uniqueName="10" name="Days_to_Payment" queryTableFieldId="10"/>
    <tableColumn id="11" xr3:uid="{FF783BAB-18AD-4FF6-B283-829AF9963673}" uniqueName="11" name="Days_to_Ship" queryTableFieldId="11"/>
    <tableColumn id="12" xr3:uid="{1C641B93-1D51-4D54-96AE-46D94037861F}" uniqueName="12" name="Quantity" queryTableFieldId="12"/>
    <tableColumn id="13" xr3:uid="{4131BB3B-A8D4-4F89-B261-B97855BB6115}" uniqueName="13" name="Unit_Price" queryTableFieldId="13"/>
    <tableColumn id="14" xr3:uid="{F87FF4C3-EC29-497D-BAF4-C08FC14E1FCD}" uniqueName="14" name="Sales_Amount" queryTableFieldId="14"/>
    <tableColumn id="15" xr3:uid="{75C4020C-430D-4D52-BD30-FDE822DF5FF2}" uniqueName="15" name="Discount_Rate" queryTableFieldId="15"/>
    <tableColumn id="16" xr3:uid="{4F68449B-D565-429A-923A-25EAE2F163F9}" uniqueName="16" name="Discount_Amount" queryTableFieldId="16"/>
    <tableColumn id="17" xr3:uid="{DC344204-8D99-412C-BCDC-EA44A82AD8C1}" uniqueName="17" name="Net_Sales" queryTableFieldId="17"/>
    <tableColumn id="18" xr3:uid="{0BB4F368-6A01-4E78-BB4E-974B3E273F40}" uniqueName="18" name="Cost_Amount" queryTableFieldId="18"/>
    <tableColumn id="19" xr3:uid="{2E13B6DF-A8FB-45E0-BDB2-ABEA635BC47A}" uniqueName="19" name="Profit_After_Discount"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1A1A-F082-42FE-9785-E87F07979536}">
  <sheetPr codeName="Sheet1"/>
  <dimension ref="A1:S2626"/>
  <sheetViews>
    <sheetView tabSelected="1" workbookViewId="0">
      <selection activeCell="D15" sqref="D15"/>
    </sheetView>
  </sheetViews>
  <sheetFormatPr defaultRowHeight="14.5" x14ac:dyDescent="0.35"/>
  <cols>
    <col min="1" max="1" width="10.81640625" bestFit="1" customWidth="1"/>
    <col min="2" max="2" width="14.08984375" bestFit="1" customWidth="1"/>
    <col min="4" max="4" width="15.1796875" bestFit="1" customWidth="1"/>
    <col min="5" max="5" width="18.26953125" bestFit="1" customWidth="1"/>
    <col min="6" max="6" width="15.7265625" bestFit="1" customWidth="1"/>
    <col min="7" max="7" width="13" bestFit="1" customWidth="1"/>
    <col min="8" max="8" width="11.6328125" bestFit="1" customWidth="1"/>
    <col min="9" max="9" width="15.6328125" bestFit="1" customWidth="1"/>
    <col min="10" max="10" width="18.453125" bestFit="1" customWidth="1"/>
    <col min="11" max="11" width="14.453125" bestFit="1" customWidth="1"/>
    <col min="12" max="12" width="10.453125" bestFit="1" customWidth="1"/>
    <col min="13" max="13" width="11.7265625" bestFit="1" customWidth="1"/>
    <col min="14" max="14" width="15.1796875" bestFit="1" customWidth="1"/>
    <col min="15" max="15" width="15.36328125" bestFit="1" customWidth="1"/>
    <col min="16" max="16" width="18.36328125" bestFit="1" customWidth="1"/>
    <col min="17" max="17" width="11.26953125" bestFit="1" customWidth="1"/>
    <col min="18" max="18" width="14.6328125" bestFit="1" customWidth="1"/>
    <col min="19" max="19" width="21.6328125" bestFit="1"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100000</v>
      </c>
      <c r="B2">
        <v>3570</v>
      </c>
      <c r="C2" t="s">
        <v>19</v>
      </c>
      <c r="D2" t="s">
        <v>20</v>
      </c>
      <c r="E2" t="s">
        <v>21</v>
      </c>
      <c r="F2" t="s">
        <v>22</v>
      </c>
      <c r="G2" s="1">
        <v>45102</v>
      </c>
      <c r="H2" s="1">
        <v>45104</v>
      </c>
      <c r="I2" s="1">
        <v>45123</v>
      </c>
      <c r="J2">
        <v>21</v>
      </c>
      <c r="K2">
        <v>2</v>
      </c>
      <c r="L2">
        <v>1</v>
      </c>
      <c r="M2">
        <v>566.21</v>
      </c>
      <c r="N2">
        <v>566.21</v>
      </c>
      <c r="O2">
        <v>0.06</v>
      </c>
      <c r="P2">
        <v>33.97</v>
      </c>
      <c r="Q2">
        <v>532.24</v>
      </c>
      <c r="R2">
        <v>379.36</v>
      </c>
      <c r="S2">
        <v>152.88</v>
      </c>
    </row>
    <row r="3" spans="1:19" x14ac:dyDescent="0.35">
      <c r="A3">
        <v>100001</v>
      </c>
      <c r="B3">
        <v>3122</v>
      </c>
      <c r="C3" t="s">
        <v>23</v>
      </c>
      <c r="D3" t="s">
        <v>20</v>
      </c>
      <c r="E3" t="s">
        <v>24</v>
      </c>
      <c r="F3" t="s">
        <v>25</v>
      </c>
      <c r="G3" s="1">
        <v>45123</v>
      </c>
      <c r="H3" s="1">
        <v>45125</v>
      </c>
      <c r="I3" s="1">
        <v>45132</v>
      </c>
      <c r="J3">
        <v>9</v>
      </c>
      <c r="K3">
        <v>2</v>
      </c>
      <c r="L3">
        <v>3</v>
      </c>
      <c r="M3">
        <v>367.52</v>
      </c>
      <c r="N3">
        <v>1102.56</v>
      </c>
      <c r="O3">
        <v>0.04</v>
      </c>
      <c r="P3">
        <v>44.1</v>
      </c>
      <c r="Q3">
        <v>1058.46</v>
      </c>
      <c r="R3">
        <v>782.82</v>
      </c>
      <c r="S3">
        <v>275.64</v>
      </c>
    </row>
    <row r="4" spans="1:19" x14ac:dyDescent="0.35">
      <c r="A4">
        <v>100002</v>
      </c>
      <c r="B4">
        <v>1316</v>
      </c>
      <c r="C4" t="s">
        <v>19</v>
      </c>
      <c r="D4" t="s">
        <v>20</v>
      </c>
      <c r="E4" t="s">
        <v>26</v>
      </c>
      <c r="F4" t="s">
        <v>27</v>
      </c>
      <c r="G4" s="1">
        <v>44952</v>
      </c>
      <c r="H4" s="1">
        <v>44954</v>
      </c>
      <c r="I4" s="1">
        <v>44956</v>
      </c>
      <c r="J4">
        <v>4</v>
      </c>
      <c r="K4">
        <v>2</v>
      </c>
      <c r="L4">
        <v>12</v>
      </c>
      <c r="M4">
        <v>247.63</v>
      </c>
      <c r="N4">
        <v>2971.56</v>
      </c>
      <c r="O4">
        <v>0.12</v>
      </c>
      <c r="P4">
        <v>356.59</v>
      </c>
      <c r="Q4">
        <v>2614.9699999999998</v>
      </c>
      <c r="R4">
        <v>1693.79</v>
      </c>
      <c r="S4">
        <v>921.18</v>
      </c>
    </row>
    <row r="5" spans="1:19" x14ac:dyDescent="0.35">
      <c r="A5">
        <v>100003</v>
      </c>
      <c r="B5">
        <v>1152</v>
      </c>
      <c r="C5" t="s">
        <v>28</v>
      </c>
      <c r="D5" t="s">
        <v>29</v>
      </c>
      <c r="E5" t="s">
        <v>24</v>
      </c>
      <c r="F5" t="s">
        <v>30</v>
      </c>
      <c r="G5" s="1">
        <v>44994</v>
      </c>
      <c r="H5" s="1">
        <v>44997</v>
      </c>
      <c r="I5" s="1">
        <v>45010</v>
      </c>
      <c r="J5">
        <v>16</v>
      </c>
      <c r="K5">
        <v>3</v>
      </c>
      <c r="L5">
        <v>14</v>
      </c>
      <c r="M5">
        <v>622.33000000000004</v>
      </c>
      <c r="N5">
        <v>8712.6200000000008</v>
      </c>
      <c r="O5">
        <v>0.02</v>
      </c>
      <c r="P5">
        <v>174.25</v>
      </c>
      <c r="Q5">
        <v>8538.3700000000008</v>
      </c>
      <c r="R5">
        <v>5750.33</v>
      </c>
      <c r="S5">
        <v>2788.04</v>
      </c>
    </row>
    <row r="6" spans="1:19" x14ac:dyDescent="0.35">
      <c r="A6">
        <v>100004</v>
      </c>
      <c r="B6">
        <v>4355</v>
      </c>
      <c r="C6" t="s">
        <v>19</v>
      </c>
      <c r="D6" t="s">
        <v>31</v>
      </c>
      <c r="E6" t="s">
        <v>21</v>
      </c>
      <c r="F6" t="s">
        <v>22</v>
      </c>
      <c r="G6" s="1">
        <v>45138</v>
      </c>
      <c r="H6" s="1">
        <v>45140</v>
      </c>
      <c r="I6" s="1">
        <v>45150</v>
      </c>
      <c r="J6">
        <v>12</v>
      </c>
      <c r="K6">
        <v>2</v>
      </c>
      <c r="L6">
        <v>6</v>
      </c>
      <c r="M6">
        <v>383.23</v>
      </c>
      <c r="N6">
        <v>2299.38</v>
      </c>
      <c r="O6">
        <v>0.09</v>
      </c>
      <c r="P6">
        <v>206.94</v>
      </c>
      <c r="Q6">
        <v>2092.44</v>
      </c>
      <c r="R6">
        <v>1356.63</v>
      </c>
      <c r="S6">
        <v>735.81</v>
      </c>
    </row>
    <row r="7" spans="1:19" x14ac:dyDescent="0.35">
      <c r="A7">
        <v>100005</v>
      </c>
      <c r="B7">
        <v>1498</v>
      </c>
      <c r="C7" t="s">
        <v>23</v>
      </c>
      <c r="D7" t="s">
        <v>29</v>
      </c>
      <c r="E7" t="s">
        <v>24</v>
      </c>
      <c r="F7" t="s">
        <v>25</v>
      </c>
      <c r="G7" s="1">
        <v>45030</v>
      </c>
      <c r="H7" s="1">
        <v>45031</v>
      </c>
      <c r="I7" s="1">
        <v>45053</v>
      </c>
      <c r="J7">
        <v>23</v>
      </c>
      <c r="K7">
        <v>1</v>
      </c>
      <c r="L7">
        <v>14</v>
      </c>
      <c r="M7">
        <v>691.36</v>
      </c>
      <c r="N7">
        <v>9679.0400000000009</v>
      </c>
      <c r="O7">
        <v>7.0000000000000007E-2</v>
      </c>
      <c r="P7">
        <v>677.53</v>
      </c>
      <c r="Q7">
        <v>9001.51</v>
      </c>
      <c r="R7">
        <v>5807.42</v>
      </c>
      <c r="S7">
        <v>3194.09</v>
      </c>
    </row>
    <row r="8" spans="1:19" x14ac:dyDescent="0.35">
      <c r="A8">
        <v>100006</v>
      </c>
      <c r="B8">
        <v>1863</v>
      </c>
      <c r="C8" t="s">
        <v>23</v>
      </c>
      <c r="D8" t="s">
        <v>20</v>
      </c>
      <c r="E8" t="s">
        <v>24</v>
      </c>
      <c r="F8" t="s">
        <v>32</v>
      </c>
      <c r="G8" s="1">
        <v>45275</v>
      </c>
      <c r="H8" s="1">
        <v>45280</v>
      </c>
      <c r="I8" s="1">
        <v>45285</v>
      </c>
      <c r="J8">
        <v>10</v>
      </c>
      <c r="K8">
        <v>5</v>
      </c>
      <c r="L8">
        <v>3</v>
      </c>
      <c r="M8">
        <v>359.81</v>
      </c>
      <c r="N8">
        <v>1079.43</v>
      </c>
      <c r="O8">
        <v>0.04</v>
      </c>
      <c r="P8">
        <v>43.18</v>
      </c>
      <c r="Q8">
        <v>1036.25</v>
      </c>
      <c r="R8">
        <v>604.48</v>
      </c>
      <c r="S8">
        <v>431.77</v>
      </c>
    </row>
    <row r="9" spans="1:19" x14ac:dyDescent="0.35">
      <c r="A9">
        <v>100007</v>
      </c>
      <c r="B9">
        <v>2955</v>
      </c>
      <c r="C9" t="s">
        <v>33</v>
      </c>
      <c r="D9" t="s">
        <v>29</v>
      </c>
      <c r="E9" t="s">
        <v>34</v>
      </c>
      <c r="F9" t="s">
        <v>35</v>
      </c>
      <c r="G9" s="1">
        <v>45112</v>
      </c>
      <c r="H9" s="1">
        <v>45113</v>
      </c>
      <c r="I9" s="1">
        <v>45138</v>
      </c>
      <c r="J9">
        <v>26</v>
      </c>
      <c r="K9">
        <v>1</v>
      </c>
      <c r="L9">
        <v>1</v>
      </c>
      <c r="M9">
        <v>226.5</v>
      </c>
      <c r="N9">
        <v>226.5</v>
      </c>
      <c r="O9">
        <v>0.1</v>
      </c>
      <c r="P9">
        <v>22.65</v>
      </c>
      <c r="Q9">
        <v>203.85</v>
      </c>
      <c r="R9">
        <v>140.43</v>
      </c>
      <c r="S9">
        <v>63.42</v>
      </c>
    </row>
    <row r="10" spans="1:19" x14ac:dyDescent="0.35">
      <c r="A10">
        <v>100008</v>
      </c>
      <c r="B10">
        <v>3657</v>
      </c>
      <c r="C10" t="s">
        <v>19</v>
      </c>
      <c r="D10" t="s">
        <v>20</v>
      </c>
      <c r="E10" t="s">
        <v>26</v>
      </c>
      <c r="F10" t="s">
        <v>36</v>
      </c>
      <c r="G10" s="1">
        <v>44950</v>
      </c>
      <c r="H10" s="1">
        <v>44951</v>
      </c>
      <c r="I10" s="1">
        <v>44961</v>
      </c>
      <c r="J10">
        <v>11</v>
      </c>
      <c r="K10">
        <v>1</v>
      </c>
      <c r="L10">
        <v>14</v>
      </c>
      <c r="M10">
        <v>404.62</v>
      </c>
      <c r="N10">
        <v>5664.68</v>
      </c>
      <c r="O10">
        <v>0.16</v>
      </c>
      <c r="P10">
        <v>906.35</v>
      </c>
      <c r="Q10">
        <v>4758.33</v>
      </c>
      <c r="R10">
        <v>4021.92</v>
      </c>
      <c r="S10">
        <v>736.41</v>
      </c>
    </row>
    <row r="11" spans="1:19" x14ac:dyDescent="0.35">
      <c r="A11">
        <v>100009</v>
      </c>
      <c r="B11">
        <v>1573</v>
      </c>
      <c r="C11" t="s">
        <v>28</v>
      </c>
      <c r="D11" t="s">
        <v>20</v>
      </c>
      <c r="E11" t="s">
        <v>26</v>
      </c>
      <c r="F11" t="s">
        <v>37</v>
      </c>
      <c r="G11" s="1">
        <v>44999</v>
      </c>
      <c r="H11" s="1">
        <v>45004</v>
      </c>
      <c r="I11" s="1">
        <v>45020</v>
      </c>
      <c r="J11">
        <v>21</v>
      </c>
      <c r="K11">
        <v>5</v>
      </c>
      <c r="L11">
        <v>1</v>
      </c>
      <c r="M11">
        <v>377.43</v>
      </c>
      <c r="N11">
        <v>377.43</v>
      </c>
      <c r="O11">
        <v>0.06</v>
      </c>
      <c r="P11">
        <v>22.65</v>
      </c>
      <c r="Q11">
        <v>354.78</v>
      </c>
      <c r="R11">
        <v>218.91</v>
      </c>
      <c r="S11">
        <v>135.87</v>
      </c>
    </row>
    <row r="12" spans="1:19" x14ac:dyDescent="0.35">
      <c r="A12">
        <v>100010</v>
      </c>
      <c r="B12">
        <v>1352</v>
      </c>
      <c r="C12" t="s">
        <v>23</v>
      </c>
      <c r="D12" t="s">
        <v>31</v>
      </c>
      <c r="E12" t="s">
        <v>21</v>
      </c>
      <c r="F12" t="s">
        <v>38</v>
      </c>
      <c r="G12" s="1">
        <v>45272</v>
      </c>
      <c r="H12" s="1">
        <v>45273</v>
      </c>
      <c r="I12" s="1">
        <v>45274</v>
      </c>
      <c r="J12">
        <v>2</v>
      </c>
      <c r="K12">
        <v>1</v>
      </c>
      <c r="L12">
        <v>2</v>
      </c>
      <c r="M12">
        <v>774.44</v>
      </c>
      <c r="N12">
        <v>1548.88</v>
      </c>
      <c r="O12">
        <v>0</v>
      </c>
      <c r="P12">
        <v>0</v>
      </c>
      <c r="Q12">
        <v>1548.88</v>
      </c>
      <c r="R12">
        <v>1037.75</v>
      </c>
      <c r="S12">
        <v>511.13</v>
      </c>
    </row>
    <row r="13" spans="1:19" x14ac:dyDescent="0.35">
      <c r="A13">
        <v>100011</v>
      </c>
      <c r="B13">
        <v>4085</v>
      </c>
      <c r="C13" t="s">
        <v>33</v>
      </c>
      <c r="D13" t="s">
        <v>20</v>
      </c>
      <c r="E13" t="s">
        <v>21</v>
      </c>
      <c r="F13" t="s">
        <v>39</v>
      </c>
      <c r="G13" s="1">
        <v>44969</v>
      </c>
      <c r="H13" s="1">
        <v>44974</v>
      </c>
      <c r="I13" s="1">
        <v>44990</v>
      </c>
      <c r="J13">
        <v>21</v>
      </c>
      <c r="K13">
        <v>5</v>
      </c>
      <c r="L13">
        <v>9</v>
      </c>
      <c r="M13">
        <v>746.3</v>
      </c>
      <c r="N13">
        <v>6716.7</v>
      </c>
      <c r="O13">
        <v>0</v>
      </c>
      <c r="P13">
        <v>0</v>
      </c>
      <c r="Q13">
        <v>6716.7</v>
      </c>
      <c r="R13">
        <v>4164.3500000000004</v>
      </c>
      <c r="S13">
        <v>2552.35</v>
      </c>
    </row>
    <row r="14" spans="1:19" x14ac:dyDescent="0.35">
      <c r="A14">
        <v>100012</v>
      </c>
      <c r="B14">
        <v>4650</v>
      </c>
      <c r="C14" t="s">
        <v>19</v>
      </c>
      <c r="D14" t="s">
        <v>29</v>
      </c>
      <c r="E14" t="s">
        <v>34</v>
      </c>
      <c r="F14" t="s">
        <v>35</v>
      </c>
      <c r="G14" s="1">
        <v>45145</v>
      </c>
      <c r="H14" s="1">
        <v>45146</v>
      </c>
      <c r="I14" s="1">
        <v>45165</v>
      </c>
      <c r="J14">
        <v>20</v>
      </c>
      <c r="K14">
        <v>1</v>
      </c>
      <c r="L14">
        <v>6</v>
      </c>
      <c r="M14">
        <v>33.049999999999997</v>
      </c>
      <c r="N14">
        <v>198.3</v>
      </c>
      <c r="O14">
        <v>0.05</v>
      </c>
      <c r="P14">
        <v>9.91</v>
      </c>
      <c r="Q14">
        <v>188.38</v>
      </c>
      <c r="R14">
        <v>120.96</v>
      </c>
      <c r="S14">
        <v>67.42</v>
      </c>
    </row>
    <row r="15" spans="1:19" x14ac:dyDescent="0.35">
      <c r="A15">
        <v>100013</v>
      </c>
      <c r="B15">
        <v>4680</v>
      </c>
      <c r="C15" t="s">
        <v>19</v>
      </c>
      <c r="D15" t="s">
        <v>31</v>
      </c>
      <c r="E15" t="s">
        <v>24</v>
      </c>
      <c r="F15" t="s">
        <v>32</v>
      </c>
      <c r="G15" s="1">
        <v>45094</v>
      </c>
      <c r="H15" s="1">
        <v>45096</v>
      </c>
      <c r="I15" s="1">
        <v>45111</v>
      </c>
      <c r="J15">
        <v>17</v>
      </c>
      <c r="K15">
        <v>2</v>
      </c>
      <c r="L15">
        <v>4</v>
      </c>
      <c r="M15">
        <v>428.77</v>
      </c>
      <c r="N15">
        <v>1715.08</v>
      </c>
      <c r="O15">
        <v>0.14000000000000001</v>
      </c>
      <c r="P15">
        <v>240.11</v>
      </c>
      <c r="Q15">
        <v>1474.97</v>
      </c>
      <c r="R15">
        <v>977.6</v>
      </c>
      <c r="S15">
        <v>497.37</v>
      </c>
    </row>
    <row r="16" spans="1:19" x14ac:dyDescent="0.35">
      <c r="A16">
        <v>100014</v>
      </c>
      <c r="B16">
        <v>4921</v>
      </c>
      <c r="C16" t="s">
        <v>33</v>
      </c>
      <c r="D16" t="s">
        <v>29</v>
      </c>
      <c r="E16" t="s">
        <v>21</v>
      </c>
      <c r="F16" t="s">
        <v>38</v>
      </c>
      <c r="G16" s="1">
        <v>44995</v>
      </c>
      <c r="H16" s="1">
        <v>44997</v>
      </c>
      <c r="I16" s="1">
        <v>45007</v>
      </c>
      <c r="J16">
        <v>12</v>
      </c>
      <c r="K16">
        <v>2</v>
      </c>
      <c r="L16">
        <v>1</v>
      </c>
      <c r="M16">
        <v>257.95</v>
      </c>
      <c r="N16">
        <v>257.95</v>
      </c>
      <c r="O16">
        <v>0.03</v>
      </c>
      <c r="P16">
        <v>7.74</v>
      </c>
      <c r="Q16">
        <v>250.21</v>
      </c>
      <c r="R16">
        <v>180.56</v>
      </c>
      <c r="S16">
        <v>69.650000000000006</v>
      </c>
    </row>
    <row r="17" spans="1:19" x14ac:dyDescent="0.35">
      <c r="A17">
        <v>100015</v>
      </c>
      <c r="B17">
        <v>3134</v>
      </c>
      <c r="C17" t="s">
        <v>28</v>
      </c>
      <c r="D17" t="s">
        <v>20</v>
      </c>
      <c r="E17" t="s">
        <v>34</v>
      </c>
      <c r="F17" t="s">
        <v>40</v>
      </c>
      <c r="G17" s="1">
        <v>44927</v>
      </c>
      <c r="H17" s="1">
        <v>44932</v>
      </c>
      <c r="I17" s="1">
        <v>44939</v>
      </c>
      <c r="J17">
        <v>12</v>
      </c>
      <c r="K17">
        <v>5</v>
      </c>
      <c r="L17">
        <v>3</v>
      </c>
      <c r="M17">
        <v>585.46</v>
      </c>
      <c r="N17">
        <v>1756.38</v>
      </c>
      <c r="O17">
        <v>7.0000000000000007E-2</v>
      </c>
      <c r="P17">
        <v>122.95</v>
      </c>
      <c r="Q17">
        <v>1633.43</v>
      </c>
      <c r="R17">
        <v>1282.1600000000001</v>
      </c>
      <c r="S17">
        <v>351.27</v>
      </c>
    </row>
    <row r="18" spans="1:19" x14ac:dyDescent="0.35">
      <c r="A18">
        <v>100016</v>
      </c>
      <c r="B18">
        <v>1601</v>
      </c>
      <c r="C18" t="s">
        <v>28</v>
      </c>
      <c r="D18" t="s">
        <v>29</v>
      </c>
      <c r="E18" t="s">
        <v>24</v>
      </c>
      <c r="F18" t="s">
        <v>32</v>
      </c>
      <c r="G18" s="1">
        <v>45002</v>
      </c>
      <c r="H18" s="1">
        <v>45007</v>
      </c>
      <c r="I18" s="1">
        <v>45008</v>
      </c>
      <c r="J18">
        <v>6</v>
      </c>
      <c r="K18">
        <v>5</v>
      </c>
      <c r="L18">
        <v>10</v>
      </c>
      <c r="M18">
        <v>536.36</v>
      </c>
      <c r="N18">
        <v>5363.6</v>
      </c>
      <c r="O18">
        <v>0.14000000000000001</v>
      </c>
      <c r="P18">
        <v>750.9</v>
      </c>
      <c r="Q18">
        <v>4612.7</v>
      </c>
      <c r="R18">
        <v>3432.7</v>
      </c>
      <c r="S18">
        <v>1180</v>
      </c>
    </row>
    <row r="19" spans="1:19" x14ac:dyDescent="0.35">
      <c r="A19">
        <v>100017</v>
      </c>
      <c r="B19">
        <v>3437</v>
      </c>
      <c r="C19" t="s">
        <v>19</v>
      </c>
      <c r="D19" t="s">
        <v>29</v>
      </c>
      <c r="E19" t="s">
        <v>21</v>
      </c>
      <c r="F19" t="s">
        <v>41</v>
      </c>
      <c r="G19" s="1">
        <v>45238</v>
      </c>
      <c r="H19" s="1">
        <v>45240</v>
      </c>
      <c r="I19" s="1">
        <v>45265</v>
      </c>
      <c r="J19">
        <v>27</v>
      </c>
      <c r="K19">
        <v>2</v>
      </c>
      <c r="L19">
        <v>10</v>
      </c>
      <c r="M19">
        <v>559.17999999999995</v>
      </c>
      <c r="N19">
        <v>5591.8</v>
      </c>
      <c r="O19">
        <v>0.1</v>
      </c>
      <c r="P19">
        <v>559.17999999999995</v>
      </c>
      <c r="Q19">
        <v>5032.62</v>
      </c>
      <c r="R19">
        <v>3299.16</v>
      </c>
      <c r="S19">
        <v>1733.46</v>
      </c>
    </row>
    <row r="20" spans="1:19" x14ac:dyDescent="0.35">
      <c r="A20">
        <v>100018</v>
      </c>
      <c r="B20">
        <v>3415</v>
      </c>
      <c r="C20" t="s">
        <v>33</v>
      </c>
      <c r="D20" t="s">
        <v>20</v>
      </c>
      <c r="E20" t="s">
        <v>34</v>
      </c>
      <c r="F20" t="s">
        <v>35</v>
      </c>
      <c r="G20" s="1">
        <v>45177</v>
      </c>
      <c r="H20" s="1">
        <v>45182</v>
      </c>
      <c r="I20" s="1">
        <v>45185</v>
      </c>
      <c r="J20">
        <v>8</v>
      </c>
      <c r="K20">
        <v>5</v>
      </c>
      <c r="L20">
        <v>8</v>
      </c>
      <c r="M20">
        <v>393.84</v>
      </c>
      <c r="N20">
        <v>3150.72</v>
      </c>
      <c r="O20">
        <v>0.13</v>
      </c>
      <c r="P20">
        <v>409.59</v>
      </c>
      <c r="Q20">
        <v>2741.13</v>
      </c>
      <c r="R20">
        <v>1858.92</v>
      </c>
      <c r="S20">
        <v>882.21</v>
      </c>
    </row>
    <row r="21" spans="1:19" x14ac:dyDescent="0.35">
      <c r="A21">
        <v>100019</v>
      </c>
      <c r="B21">
        <v>3401</v>
      </c>
      <c r="C21" t="s">
        <v>23</v>
      </c>
      <c r="D21" t="s">
        <v>31</v>
      </c>
      <c r="E21" t="s">
        <v>24</v>
      </c>
      <c r="F21" t="s">
        <v>42</v>
      </c>
      <c r="G21" s="1">
        <v>44933</v>
      </c>
      <c r="H21" s="1">
        <v>44935</v>
      </c>
      <c r="I21" s="1">
        <v>44941</v>
      </c>
      <c r="J21">
        <v>8</v>
      </c>
      <c r="K21">
        <v>2</v>
      </c>
      <c r="L21">
        <v>5</v>
      </c>
      <c r="M21">
        <v>355.73</v>
      </c>
      <c r="N21">
        <v>1778.65</v>
      </c>
      <c r="O21">
        <v>0.08</v>
      </c>
      <c r="P21">
        <v>142.29</v>
      </c>
      <c r="Q21">
        <v>1636.36</v>
      </c>
      <c r="R21">
        <v>1245.06</v>
      </c>
      <c r="S21">
        <v>391.3</v>
      </c>
    </row>
    <row r="22" spans="1:19" x14ac:dyDescent="0.35">
      <c r="A22">
        <v>100020</v>
      </c>
      <c r="B22">
        <v>1143</v>
      </c>
      <c r="C22" t="s">
        <v>28</v>
      </c>
      <c r="D22" t="s">
        <v>20</v>
      </c>
      <c r="E22" t="s">
        <v>26</v>
      </c>
      <c r="F22" t="s">
        <v>27</v>
      </c>
      <c r="G22" s="1">
        <v>45202</v>
      </c>
      <c r="H22" s="1">
        <v>45203</v>
      </c>
      <c r="I22" s="1">
        <v>45212</v>
      </c>
      <c r="J22">
        <v>10</v>
      </c>
      <c r="K22">
        <v>1</v>
      </c>
      <c r="L22">
        <v>13</v>
      </c>
      <c r="M22">
        <v>148.44999999999999</v>
      </c>
      <c r="N22">
        <v>1929.85</v>
      </c>
      <c r="O22">
        <v>0.1</v>
      </c>
      <c r="P22">
        <v>192.98</v>
      </c>
      <c r="Q22">
        <v>1736.86</v>
      </c>
      <c r="R22">
        <v>1293</v>
      </c>
      <c r="S22">
        <v>443.86</v>
      </c>
    </row>
    <row r="23" spans="1:19" x14ac:dyDescent="0.35">
      <c r="A23">
        <v>100021</v>
      </c>
      <c r="B23">
        <v>3767</v>
      </c>
      <c r="C23" t="s">
        <v>33</v>
      </c>
      <c r="D23" t="s">
        <v>31</v>
      </c>
      <c r="E23" t="s">
        <v>34</v>
      </c>
      <c r="F23" t="s">
        <v>43</v>
      </c>
      <c r="G23" s="1">
        <v>44971</v>
      </c>
      <c r="H23" s="1">
        <v>44972</v>
      </c>
      <c r="I23" s="1">
        <v>44980</v>
      </c>
      <c r="J23">
        <v>9</v>
      </c>
      <c r="K23">
        <v>1</v>
      </c>
      <c r="L23">
        <v>4</v>
      </c>
      <c r="M23">
        <v>172.58</v>
      </c>
      <c r="N23">
        <v>690.32</v>
      </c>
      <c r="O23">
        <v>0</v>
      </c>
      <c r="P23">
        <v>0</v>
      </c>
      <c r="Q23">
        <v>690.32</v>
      </c>
      <c r="R23">
        <v>407.29</v>
      </c>
      <c r="S23">
        <v>283.02999999999997</v>
      </c>
    </row>
    <row r="24" spans="1:19" x14ac:dyDescent="0.35">
      <c r="A24">
        <v>100022</v>
      </c>
      <c r="B24">
        <v>2174</v>
      </c>
      <c r="C24" t="s">
        <v>23</v>
      </c>
      <c r="D24" t="s">
        <v>29</v>
      </c>
      <c r="E24" t="s">
        <v>21</v>
      </c>
      <c r="F24" t="s">
        <v>39</v>
      </c>
      <c r="G24" s="1">
        <v>45118</v>
      </c>
      <c r="H24" s="1">
        <v>45119</v>
      </c>
      <c r="I24" s="1">
        <v>45134</v>
      </c>
      <c r="J24">
        <v>16</v>
      </c>
      <c r="K24">
        <v>1</v>
      </c>
      <c r="L24">
        <v>7</v>
      </c>
      <c r="M24">
        <v>187.71</v>
      </c>
      <c r="N24">
        <v>1313.97</v>
      </c>
      <c r="O24">
        <v>0.14000000000000001</v>
      </c>
      <c r="P24">
        <v>183.96</v>
      </c>
      <c r="Q24">
        <v>1130.01</v>
      </c>
      <c r="R24">
        <v>827.8</v>
      </c>
      <c r="S24">
        <v>302.20999999999998</v>
      </c>
    </row>
    <row r="25" spans="1:19" x14ac:dyDescent="0.35">
      <c r="A25">
        <v>100023</v>
      </c>
      <c r="B25">
        <v>2575</v>
      </c>
      <c r="C25" t="s">
        <v>19</v>
      </c>
      <c r="D25" t="s">
        <v>31</v>
      </c>
      <c r="E25" t="s">
        <v>26</v>
      </c>
      <c r="F25" t="s">
        <v>44</v>
      </c>
      <c r="G25" s="1">
        <v>45252</v>
      </c>
      <c r="H25" s="1">
        <v>45253</v>
      </c>
      <c r="I25" s="1">
        <v>45279</v>
      </c>
      <c r="J25">
        <v>27</v>
      </c>
      <c r="K25">
        <v>1</v>
      </c>
      <c r="L25">
        <v>3</v>
      </c>
      <c r="M25">
        <v>174.2</v>
      </c>
      <c r="N25">
        <v>522.6</v>
      </c>
      <c r="O25">
        <v>0.04</v>
      </c>
      <c r="P25">
        <v>20.9</v>
      </c>
      <c r="Q25">
        <v>501.7</v>
      </c>
      <c r="R25">
        <v>360.59</v>
      </c>
      <c r="S25">
        <v>141.11000000000001</v>
      </c>
    </row>
    <row r="26" spans="1:19" x14ac:dyDescent="0.35">
      <c r="A26">
        <v>100024</v>
      </c>
      <c r="B26">
        <v>3981</v>
      </c>
      <c r="C26" t="s">
        <v>19</v>
      </c>
      <c r="D26" t="s">
        <v>29</v>
      </c>
      <c r="E26" t="s">
        <v>26</v>
      </c>
      <c r="F26" t="s">
        <v>27</v>
      </c>
      <c r="G26" s="1">
        <v>45239</v>
      </c>
      <c r="H26" s="1">
        <v>45240</v>
      </c>
      <c r="I26" s="1">
        <v>45241</v>
      </c>
      <c r="J26">
        <v>2</v>
      </c>
      <c r="K26">
        <v>1</v>
      </c>
      <c r="L26">
        <v>9</v>
      </c>
      <c r="M26">
        <v>278.52</v>
      </c>
      <c r="N26">
        <v>2506.6799999999998</v>
      </c>
      <c r="O26">
        <v>0.11</v>
      </c>
      <c r="P26">
        <v>275.73</v>
      </c>
      <c r="Q26">
        <v>2230.9499999999998</v>
      </c>
      <c r="R26">
        <v>1654.41</v>
      </c>
      <c r="S26">
        <v>576.54</v>
      </c>
    </row>
    <row r="27" spans="1:19" x14ac:dyDescent="0.35">
      <c r="A27">
        <v>100025</v>
      </c>
      <c r="B27">
        <v>1950</v>
      </c>
      <c r="C27" t="s">
        <v>28</v>
      </c>
      <c r="D27" t="s">
        <v>20</v>
      </c>
      <c r="E27" t="s">
        <v>24</v>
      </c>
      <c r="F27" t="s">
        <v>32</v>
      </c>
      <c r="G27" s="1">
        <v>45079</v>
      </c>
      <c r="H27" s="1">
        <v>45084</v>
      </c>
      <c r="I27" s="1">
        <v>45085</v>
      </c>
      <c r="J27">
        <v>6</v>
      </c>
      <c r="K27">
        <v>5</v>
      </c>
      <c r="L27">
        <v>2</v>
      </c>
      <c r="M27">
        <v>674.4</v>
      </c>
      <c r="N27">
        <v>1348.8</v>
      </c>
      <c r="O27">
        <v>0.14000000000000001</v>
      </c>
      <c r="P27">
        <v>188.83</v>
      </c>
      <c r="Q27">
        <v>1159.97</v>
      </c>
      <c r="R27">
        <v>822.77</v>
      </c>
      <c r="S27">
        <v>337.2</v>
      </c>
    </row>
    <row r="28" spans="1:19" x14ac:dyDescent="0.35">
      <c r="A28">
        <v>100026</v>
      </c>
      <c r="B28">
        <v>3064</v>
      </c>
      <c r="C28" t="s">
        <v>19</v>
      </c>
      <c r="D28" t="s">
        <v>31</v>
      </c>
      <c r="E28" t="s">
        <v>24</v>
      </c>
      <c r="F28" t="s">
        <v>32</v>
      </c>
      <c r="G28" s="1">
        <v>45110</v>
      </c>
      <c r="H28" s="1">
        <v>45114</v>
      </c>
      <c r="I28" s="1">
        <v>45116</v>
      </c>
      <c r="J28">
        <v>6</v>
      </c>
      <c r="K28">
        <v>4</v>
      </c>
      <c r="L28">
        <v>11</v>
      </c>
      <c r="M28">
        <v>143.78</v>
      </c>
      <c r="N28">
        <v>1581.58</v>
      </c>
      <c r="O28">
        <v>0.11</v>
      </c>
      <c r="P28">
        <v>173.97</v>
      </c>
      <c r="Q28">
        <v>1407.61</v>
      </c>
      <c r="R28">
        <v>996.4</v>
      </c>
      <c r="S28">
        <v>411.21</v>
      </c>
    </row>
    <row r="29" spans="1:19" x14ac:dyDescent="0.35">
      <c r="A29">
        <v>100027</v>
      </c>
      <c r="B29">
        <v>2757</v>
      </c>
      <c r="C29" t="s">
        <v>23</v>
      </c>
      <c r="D29" t="s">
        <v>29</v>
      </c>
      <c r="E29" t="s">
        <v>34</v>
      </c>
      <c r="F29" t="s">
        <v>35</v>
      </c>
      <c r="G29" s="1">
        <v>45039</v>
      </c>
      <c r="H29" s="1">
        <v>45044</v>
      </c>
      <c r="I29" s="1">
        <v>45053</v>
      </c>
      <c r="J29">
        <v>14</v>
      </c>
      <c r="K29">
        <v>5</v>
      </c>
      <c r="L29">
        <v>6</v>
      </c>
      <c r="M29">
        <v>276.64</v>
      </c>
      <c r="N29">
        <v>1659.84</v>
      </c>
      <c r="O29">
        <v>0.06</v>
      </c>
      <c r="P29">
        <v>99.59</v>
      </c>
      <c r="Q29">
        <v>1560.25</v>
      </c>
      <c r="R29">
        <v>1078.9000000000001</v>
      </c>
      <c r="S29">
        <v>481.35</v>
      </c>
    </row>
    <row r="30" spans="1:19" x14ac:dyDescent="0.35">
      <c r="A30">
        <v>100028</v>
      </c>
      <c r="B30">
        <v>1901</v>
      </c>
      <c r="C30" t="s">
        <v>23</v>
      </c>
      <c r="D30" t="s">
        <v>29</v>
      </c>
      <c r="E30" t="s">
        <v>26</v>
      </c>
      <c r="F30" t="s">
        <v>36</v>
      </c>
      <c r="G30" s="1">
        <v>45178</v>
      </c>
      <c r="H30" s="1">
        <v>45183</v>
      </c>
      <c r="I30" s="1">
        <v>45199</v>
      </c>
      <c r="J30">
        <v>21</v>
      </c>
      <c r="K30">
        <v>5</v>
      </c>
      <c r="L30">
        <v>7</v>
      </c>
      <c r="M30">
        <v>451.54</v>
      </c>
      <c r="N30">
        <v>3160.78</v>
      </c>
      <c r="O30">
        <v>0.06</v>
      </c>
      <c r="P30">
        <v>189.65</v>
      </c>
      <c r="Q30">
        <v>2971.13</v>
      </c>
      <c r="R30">
        <v>1959.68</v>
      </c>
      <c r="S30">
        <v>1011.45</v>
      </c>
    </row>
    <row r="31" spans="1:19" x14ac:dyDescent="0.35">
      <c r="A31">
        <v>100029</v>
      </c>
      <c r="B31">
        <v>3213</v>
      </c>
      <c r="C31" t="s">
        <v>19</v>
      </c>
      <c r="D31" t="s">
        <v>29</v>
      </c>
      <c r="E31" t="s">
        <v>34</v>
      </c>
      <c r="F31" t="s">
        <v>43</v>
      </c>
      <c r="G31" s="1">
        <v>45116</v>
      </c>
      <c r="H31" s="1">
        <v>45121</v>
      </c>
      <c r="I31" s="1">
        <v>45139</v>
      </c>
      <c r="J31">
        <v>23</v>
      </c>
      <c r="K31">
        <v>5</v>
      </c>
      <c r="L31">
        <v>2</v>
      </c>
      <c r="M31">
        <v>99.05</v>
      </c>
      <c r="N31">
        <v>198.1</v>
      </c>
      <c r="O31">
        <v>0.1</v>
      </c>
      <c r="P31">
        <v>19.809999999999999</v>
      </c>
      <c r="Q31">
        <v>178.29</v>
      </c>
      <c r="R31">
        <v>130.75</v>
      </c>
      <c r="S31">
        <v>47.54</v>
      </c>
    </row>
    <row r="32" spans="1:19" x14ac:dyDescent="0.35">
      <c r="A32">
        <v>100030</v>
      </c>
      <c r="B32">
        <v>4217</v>
      </c>
      <c r="C32" t="s">
        <v>33</v>
      </c>
      <c r="D32" t="s">
        <v>20</v>
      </c>
      <c r="E32" t="s">
        <v>24</v>
      </c>
      <c r="F32" t="s">
        <v>25</v>
      </c>
      <c r="G32" s="1">
        <v>45217</v>
      </c>
      <c r="H32" s="1">
        <v>45222</v>
      </c>
      <c r="I32" s="1">
        <v>45231</v>
      </c>
      <c r="J32">
        <v>14</v>
      </c>
      <c r="K32">
        <v>5</v>
      </c>
      <c r="L32">
        <v>14</v>
      </c>
      <c r="M32">
        <v>666.61</v>
      </c>
      <c r="N32">
        <v>9332.5400000000009</v>
      </c>
      <c r="O32">
        <v>0.06</v>
      </c>
      <c r="P32">
        <v>559.95000000000005</v>
      </c>
      <c r="Q32">
        <v>8772.59</v>
      </c>
      <c r="R32">
        <v>5132.8999999999996</v>
      </c>
      <c r="S32">
        <v>3639.69</v>
      </c>
    </row>
    <row r="33" spans="1:19" x14ac:dyDescent="0.35">
      <c r="A33">
        <v>100031</v>
      </c>
      <c r="B33">
        <v>3829</v>
      </c>
      <c r="C33" t="s">
        <v>23</v>
      </c>
      <c r="D33" t="s">
        <v>29</v>
      </c>
      <c r="E33" t="s">
        <v>21</v>
      </c>
      <c r="F33" t="s">
        <v>41</v>
      </c>
      <c r="G33" s="1">
        <v>45239</v>
      </c>
      <c r="H33" s="1">
        <v>45241</v>
      </c>
      <c r="I33" s="1">
        <v>45257</v>
      </c>
      <c r="J33">
        <v>18</v>
      </c>
      <c r="K33">
        <v>2</v>
      </c>
      <c r="L33">
        <v>10</v>
      </c>
      <c r="M33">
        <v>219.03</v>
      </c>
      <c r="N33">
        <v>2190.3000000000002</v>
      </c>
      <c r="O33">
        <v>0</v>
      </c>
      <c r="P33">
        <v>0</v>
      </c>
      <c r="Q33">
        <v>2190.3000000000002</v>
      </c>
      <c r="R33">
        <v>1511.31</v>
      </c>
      <c r="S33">
        <v>678.99</v>
      </c>
    </row>
    <row r="34" spans="1:19" x14ac:dyDescent="0.35">
      <c r="A34">
        <v>100032</v>
      </c>
      <c r="B34">
        <v>1981</v>
      </c>
      <c r="C34" t="s">
        <v>28</v>
      </c>
      <c r="D34" t="s">
        <v>29</v>
      </c>
      <c r="E34" t="s">
        <v>21</v>
      </c>
      <c r="F34" t="s">
        <v>22</v>
      </c>
      <c r="G34" s="1">
        <v>45128</v>
      </c>
      <c r="H34" s="1">
        <v>45132</v>
      </c>
      <c r="I34" s="1">
        <v>45158</v>
      </c>
      <c r="J34">
        <v>30</v>
      </c>
      <c r="K34">
        <v>4</v>
      </c>
      <c r="L34">
        <v>14</v>
      </c>
      <c r="M34">
        <v>120.34</v>
      </c>
      <c r="N34">
        <v>1684.76</v>
      </c>
      <c r="O34">
        <v>0.1</v>
      </c>
      <c r="P34">
        <v>168.48</v>
      </c>
      <c r="Q34">
        <v>1516.28</v>
      </c>
      <c r="R34">
        <v>1111.94</v>
      </c>
      <c r="S34">
        <v>404.34</v>
      </c>
    </row>
    <row r="35" spans="1:19" x14ac:dyDescent="0.35">
      <c r="A35">
        <v>100033</v>
      </c>
      <c r="B35">
        <v>2986</v>
      </c>
      <c r="C35" t="s">
        <v>33</v>
      </c>
      <c r="D35" t="s">
        <v>31</v>
      </c>
      <c r="E35" t="s">
        <v>34</v>
      </c>
      <c r="F35" t="s">
        <v>35</v>
      </c>
      <c r="G35" s="1">
        <v>44965</v>
      </c>
      <c r="H35" s="1">
        <v>44966</v>
      </c>
      <c r="I35" s="1">
        <v>44970</v>
      </c>
      <c r="J35">
        <v>5</v>
      </c>
      <c r="K35">
        <v>1</v>
      </c>
      <c r="L35">
        <v>13</v>
      </c>
      <c r="M35">
        <v>438.69</v>
      </c>
      <c r="N35">
        <v>5702.97</v>
      </c>
      <c r="O35">
        <v>0.12</v>
      </c>
      <c r="P35">
        <v>684.36</v>
      </c>
      <c r="Q35">
        <v>5018.6099999999997</v>
      </c>
      <c r="R35">
        <v>3592.87</v>
      </c>
      <c r="S35">
        <v>1425.74</v>
      </c>
    </row>
    <row r="36" spans="1:19" x14ac:dyDescent="0.35">
      <c r="A36">
        <v>100034</v>
      </c>
      <c r="B36">
        <v>4513</v>
      </c>
      <c r="C36" t="s">
        <v>33</v>
      </c>
      <c r="D36" t="s">
        <v>20</v>
      </c>
      <c r="E36" t="s">
        <v>26</v>
      </c>
      <c r="F36" t="s">
        <v>36</v>
      </c>
      <c r="G36" s="1">
        <v>45187</v>
      </c>
      <c r="H36" s="1">
        <v>45188</v>
      </c>
      <c r="I36" s="1">
        <v>45210</v>
      </c>
      <c r="J36">
        <v>23</v>
      </c>
      <c r="K36">
        <v>1</v>
      </c>
      <c r="L36">
        <v>14</v>
      </c>
      <c r="M36">
        <v>182.57</v>
      </c>
      <c r="N36">
        <v>2555.98</v>
      </c>
      <c r="O36">
        <v>0.17</v>
      </c>
      <c r="P36">
        <v>434.52</v>
      </c>
      <c r="Q36">
        <v>2121.46</v>
      </c>
      <c r="R36">
        <v>1303.55</v>
      </c>
      <c r="S36">
        <v>817.91</v>
      </c>
    </row>
    <row r="37" spans="1:19" x14ac:dyDescent="0.35">
      <c r="A37">
        <v>100035</v>
      </c>
      <c r="B37">
        <v>3061</v>
      </c>
      <c r="C37" t="s">
        <v>33</v>
      </c>
      <c r="D37" t="s">
        <v>20</v>
      </c>
      <c r="E37" t="s">
        <v>21</v>
      </c>
      <c r="F37" t="s">
        <v>39</v>
      </c>
      <c r="G37" s="1">
        <v>45064</v>
      </c>
      <c r="H37" s="1">
        <v>45067</v>
      </c>
      <c r="I37" s="1">
        <v>45085</v>
      </c>
      <c r="J37">
        <v>21</v>
      </c>
      <c r="K37">
        <v>3</v>
      </c>
      <c r="L37">
        <v>4</v>
      </c>
      <c r="M37">
        <v>197.36</v>
      </c>
      <c r="N37">
        <v>789.44</v>
      </c>
      <c r="O37">
        <v>0.1</v>
      </c>
      <c r="P37">
        <v>78.94</v>
      </c>
      <c r="Q37">
        <v>710.5</v>
      </c>
      <c r="R37">
        <v>560.5</v>
      </c>
      <c r="S37">
        <v>150</v>
      </c>
    </row>
    <row r="38" spans="1:19" x14ac:dyDescent="0.35">
      <c r="A38">
        <v>100036</v>
      </c>
      <c r="B38">
        <v>1782</v>
      </c>
      <c r="C38" t="s">
        <v>23</v>
      </c>
      <c r="D38" t="s">
        <v>31</v>
      </c>
      <c r="E38" t="s">
        <v>21</v>
      </c>
      <c r="F38" t="s">
        <v>38</v>
      </c>
      <c r="G38" s="1">
        <v>45270</v>
      </c>
      <c r="H38" s="1">
        <v>45273</v>
      </c>
      <c r="I38" s="1">
        <v>45292</v>
      </c>
      <c r="J38">
        <v>22</v>
      </c>
      <c r="K38">
        <v>3</v>
      </c>
      <c r="L38">
        <v>5</v>
      </c>
      <c r="M38">
        <v>68.06</v>
      </c>
      <c r="N38">
        <v>340.3</v>
      </c>
      <c r="O38">
        <v>0.05</v>
      </c>
      <c r="P38">
        <v>17.02</v>
      </c>
      <c r="Q38">
        <v>323.29000000000002</v>
      </c>
      <c r="R38">
        <v>193.97</v>
      </c>
      <c r="S38">
        <v>129.32</v>
      </c>
    </row>
    <row r="39" spans="1:19" x14ac:dyDescent="0.35">
      <c r="A39">
        <v>100037</v>
      </c>
      <c r="B39">
        <v>2287</v>
      </c>
      <c r="C39" t="s">
        <v>28</v>
      </c>
      <c r="D39" t="s">
        <v>20</v>
      </c>
      <c r="E39" t="s">
        <v>34</v>
      </c>
      <c r="F39" t="s">
        <v>35</v>
      </c>
      <c r="G39" s="1">
        <v>45122</v>
      </c>
      <c r="H39" s="1">
        <v>45126</v>
      </c>
      <c r="I39" s="1">
        <v>45133</v>
      </c>
      <c r="J39">
        <v>11</v>
      </c>
      <c r="K39">
        <v>4</v>
      </c>
      <c r="L39">
        <v>4</v>
      </c>
      <c r="M39">
        <v>222.55</v>
      </c>
      <c r="N39">
        <v>890.2</v>
      </c>
      <c r="O39">
        <v>0.13</v>
      </c>
      <c r="P39">
        <v>115.73</v>
      </c>
      <c r="Q39">
        <v>774.47</v>
      </c>
      <c r="R39">
        <v>596.42999999999995</v>
      </c>
      <c r="S39">
        <v>178.04</v>
      </c>
    </row>
    <row r="40" spans="1:19" x14ac:dyDescent="0.35">
      <c r="A40">
        <v>100038</v>
      </c>
      <c r="B40">
        <v>2435</v>
      </c>
      <c r="C40" t="s">
        <v>33</v>
      </c>
      <c r="D40" t="s">
        <v>20</v>
      </c>
      <c r="E40" t="s">
        <v>24</v>
      </c>
      <c r="F40" t="s">
        <v>25</v>
      </c>
      <c r="G40" s="1">
        <v>44999</v>
      </c>
      <c r="H40" s="1">
        <v>45001</v>
      </c>
      <c r="I40" s="1">
        <v>45006</v>
      </c>
      <c r="J40">
        <v>7</v>
      </c>
      <c r="K40">
        <v>2</v>
      </c>
      <c r="L40">
        <v>1</v>
      </c>
      <c r="M40">
        <v>547.36</v>
      </c>
      <c r="N40">
        <v>547.36</v>
      </c>
      <c r="O40">
        <v>0.04</v>
      </c>
      <c r="P40">
        <v>21.89</v>
      </c>
      <c r="Q40">
        <v>525.47</v>
      </c>
      <c r="R40">
        <v>383.15</v>
      </c>
      <c r="S40">
        <v>142.32</v>
      </c>
    </row>
    <row r="41" spans="1:19" x14ac:dyDescent="0.35">
      <c r="A41">
        <v>100039</v>
      </c>
      <c r="B41">
        <v>3999</v>
      </c>
      <c r="C41" t="s">
        <v>19</v>
      </c>
      <c r="D41" t="s">
        <v>31</v>
      </c>
      <c r="E41" t="s">
        <v>21</v>
      </c>
      <c r="F41" t="s">
        <v>38</v>
      </c>
      <c r="G41" s="1">
        <v>45266</v>
      </c>
      <c r="H41" s="1">
        <v>45268</v>
      </c>
      <c r="I41" s="1">
        <v>45281</v>
      </c>
      <c r="J41">
        <v>15</v>
      </c>
      <c r="K41">
        <v>2</v>
      </c>
      <c r="L41">
        <v>2</v>
      </c>
      <c r="M41">
        <v>368.96</v>
      </c>
      <c r="N41">
        <v>737.92</v>
      </c>
      <c r="O41">
        <v>0</v>
      </c>
      <c r="P41">
        <v>0</v>
      </c>
      <c r="Q41">
        <v>737.92</v>
      </c>
      <c r="R41">
        <v>523.91999999999996</v>
      </c>
      <c r="S41">
        <v>214</v>
      </c>
    </row>
    <row r="42" spans="1:19" x14ac:dyDescent="0.35">
      <c r="A42">
        <v>100040</v>
      </c>
      <c r="B42">
        <v>3243</v>
      </c>
      <c r="C42" t="s">
        <v>28</v>
      </c>
      <c r="D42" t="s">
        <v>20</v>
      </c>
      <c r="E42" t="s">
        <v>21</v>
      </c>
      <c r="F42" t="s">
        <v>22</v>
      </c>
      <c r="G42" s="1">
        <v>45184</v>
      </c>
      <c r="H42" s="1">
        <v>45186</v>
      </c>
      <c r="I42" s="1">
        <v>45187</v>
      </c>
      <c r="J42">
        <v>3</v>
      </c>
      <c r="K42">
        <v>2</v>
      </c>
      <c r="L42">
        <v>13</v>
      </c>
      <c r="M42">
        <v>358.55</v>
      </c>
      <c r="N42">
        <v>4661.1499999999996</v>
      </c>
      <c r="O42">
        <v>0.02</v>
      </c>
      <c r="P42">
        <v>93.22</v>
      </c>
      <c r="Q42">
        <v>4567.93</v>
      </c>
      <c r="R42">
        <v>2796.69</v>
      </c>
      <c r="S42">
        <v>1771.24</v>
      </c>
    </row>
    <row r="43" spans="1:19" x14ac:dyDescent="0.35">
      <c r="A43">
        <v>100041</v>
      </c>
      <c r="B43">
        <v>4439</v>
      </c>
      <c r="C43" t="s">
        <v>28</v>
      </c>
      <c r="D43" t="s">
        <v>31</v>
      </c>
      <c r="E43" t="s">
        <v>21</v>
      </c>
      <c r="F43" t="s">
        <v>38</v>
      </c>
      <c r="G43" s="1">
        <v>45119</v>
      </c>
      <c r="H43" s="1">
        <v>45122</v>
      </c>
      <c r="I43" s="1">
        <v>45133</v>
      </c>
      <c r="J43">
        <v>14</v>
      </c>
      <c r="K43">
        <v>3</v>
      </c>
      <c r="L43">
        <v>13</v>
      </c>
      <c r="M43">
        <v>642.9</v>
      </c>
      <c r="N43">
        <v>8357.7000000000007</v>
      </c>
      <c r="O43">
        <v>0.03</v>
      </c>
      <c r="P43">
        <v>250.73</v>
      </c>
      <c r="Q43">
        <v>8106.97</v>
      </c>
      <c r="R43">
        <v>5098.2</v>
      </c>
      <c r="S43">
        <v>3008.77</v>
      </c>
    </row>
    <row r="44" spans="1:19" x14ac:dyDescent="0.35">
      <c r="A44">
        <v>100042</v>
      </c>
      <c r="B44">
        <v>4353</v>
      </c>
      <c r="C44" t="s">
        <v>19</v>
      </c>
      <c r="D44" t="s">
        <v>29</v>
      </c>
      <c r="E44" t="s">
        <v>24</v>
      </c>
      <c r="F44" t="s">
        <v>25</v>
      </c>
      <c r="G44" s="1">
        <v>45276</v>
      </c>
      <c r="H44" s="1">
        <v>45280</v>
      </c>
      <c r="I44" s="1">
        <v>45283</v>
      </c>
      <c r="J44">
        <v>7</v>
      </c>
      <c r="K44">
        <v>4</v>
      </c>
      <c r="L44">
        <v>4</v>
      </c>
      <c r="M44">
        <v>423.26</v>
      </c>
      <c r="N44">
        <v>1693.04</v>
      </c>
      <c r="O44">
        <v>0.1</v>
      </c>
      <c r="P44">
        <v>169.3</v>
      </c>
      <c r="Q44">
        <v>1523.74</v>
      </c>
      <c r="R44">
        <v>1066.6199999999999</v>
      </c>
      <c r="S44">
        <v>457.12</v>
      </c>
    </row>
    <row r="45" spans="1:19" x14ac:dyDescent="0.35">
      <c r="A45">
        <v>100043</v>
      </c>
      <c r="B45">
        <v>2651</v>
      </c>
      <c r="C45" t="s">
        <v>19</v>
      </c>
      <c r="D45" t="s">
        <v>29</v>
      </c>
      <c r="E45" t="s">
        <v>21</v>
      </c>
      <c r="F45" t="s">
        <v>22</v>
      </c>
      <c r="G45" s="1">
        <v>45019</v>
      </c>
      <c r="H45" s="1">
        <v>45024</v>
      </c>
      <c r="I45" s="1">
        <v>45026</v>
      </c>
      <c r="J45">
        <v>7</v>
      </c>
      <c r="K45">
        <v>5</v>
      </c>
      <c r="L45">
        <v>8</v>
      </c>
      <c r="M45">
        <v>551.15</v>
      </c>
      <c r="N45">
        <v>4409.2</v>
      </c>
      <c r="O45">
        <v>0.06</v>
      </c>
      <c r="P45">
        <v>264.55</v>
      </c>
      <c r="Q45">
        <v>4144.6499999999996</v>
      </c>
      <c r="R45">
        <v>2513.2399999999998</v>
      </c>
      <c r="S45">
        <v>1631.41</v>
      </c>
    </row>
    <row r="46" spans="1:19" x14ac:dyDescent="0.35">
      <c r="A46">
        <v>100044</v>
      </c>
      <c r="B46">
        <v>2392</v>
      </c>
      <c r="C46" t="s">
        <v>23</v>
      </c>
      <c r="D46" t="s">
        <v>31</v>
      </c>
      <c r="E46" t="s">
        <v>26</v>
      </c>
      <c r="F46" t="s">
        <v>37</v>
      </c>
      <c r="G46" s="1">
        <v>45179</v>
      </c>
      <c r="H46" s="1">
        <v>45183</v>
      </c>
      <c r="I46" s="1">
        <v>45196</v>
      </c>
      <c r="J46">
        <v>17</v>
      </c>
      <c r="K46">
        <v>4</v>
      </c>
      <c r="L46">
        <v>6</v>
      </c>
      <c r="M46">
        <v>254.94</v>
      </c>
      <c r="N46">
        <v>1529.64</v>
      </c>
      <c r="O46">
        <v>0</v>
      </c>
      <c r="P46">
        <v>0</v>
      </c>
      <c r="Q46">
        <v>1529.64</v>
      </c>
      <c r="R46">
        <v>856.6</v>
      </c>
      <c r="S46">
        <v>673.04</v>
      </c>
    </row>
    <row r="47" spans="1:19" x14ac:dyDescent="0.35">
      <c r="A47">
        <v>100045</v>
      </c>
      <c r="B47">
        <v>1478</v>
      </c>
      <c r="C47" t="s">
        <v>19</v>
      </c>
      <c r="D47" t="s">
        <v>31</v>
      </c>
      <c r="E47" t="s">
        <v>34</v>
      </c>
      <c r="F47" t="s">
        <v>40</v>
      </c>
      <c r="G47" s="1">
        <v>44998</v>
      </c>
      <c r="H47" s="1">
        <v>45002</v>
      </c>
      <c r="I47" s="1">
        <v>45000</v>
      </c>
      <c r="J47">
        <v>2</v>
      </c>
      <c r="K47">
        <v>4</v>
      </c>
      <c r="L47">
        <v>8</v>
      </c>
      <c r="M47">
        <v>280.49</v>
      </c>
      <c r="N47">
        <v>2243.92</v>
      </c>
      <c r="O47">
        <v>0.06</v>
      </c>
      <c r="P47">
        <v>134.63999999999999</v>
      </c>
      <c r="Q47">
        <v>2109.2800000000002</v>
      </c>
      <c r="R47">
        <v>1660.5</v>
      </c>
      <c r="S47">
        <v>448.78</v>
      </c>
    </row>
    <row r="48" spans="1:19" x14ac:dyDescent="0.35">
      <c r="A48">
        <v>100046</v>
      </c>
      <c r="B48">
        <v>4042</v>
      </c>
      <c r="C48" t="s">
        <v>23</v>
      </c>
      <c r="D48" t="s">
        <v>29</v>
      </c>
      <c r="E48" t="s">
        <v>34</v>
      </c>
      <c r="F48" t="s">
        <v>35</v>
      </c>
      <c r="G48" s="1">
        <v>45206</v>
      </c>
      <c r="H48" s="1">
        <v>45207</v>
      </c>
      <c r="I48" s="1">
        <v>45218</v>
      </c>
      <c r="J48">
        <v>12</v>
      </c>
      <c r="K48">
        <v>1</v>
      </c>
      <c r="L48">
        <v>1</v>
      </c>
      <c r="M48">
        <v>267.07</v>
      </c>
      <c r="N48">
        <v>267.07</v>
      </c>
      <c r="O48">
        <v>0.09</v>
      </c>
      <c r="P48">
        <v>24.04</v>
      </c>
      <c r="Q48">
        <v>243.03</v>
      </c>
      <c r="R48">
        <v>170.92</v>
      </c>
      <c r="S48">
        <v>72.11</v>
      </c>
    </row>
    <row r="49" spans="1:19" x14ac:dyDescent="0.35">
      <c r="A49">
        <v>100047</v>
      </c>
      <c r="B49">
        <v>1013</v>
      </c>
      <c r="C49" t="s">
        <v>19</v>
      </c>
      <c r="D49" t="s">
        <v>20</v>
      </c>
      <c r="E49" t="s">
        <v>34</v>
      </c>
      <c r="F49" t="s">
        <v>43</v>
      </c>
      <c r="G49" s="1">
        <v>44937</v>
      </c>
      <c r="H49" s="1">
        <v>44941</v>
      </c>
      <c r="I49" s="1">
        <v>44961</v>
      </c>
      <c r="J49">
        <v>24</v>
      </c>
      <c r="K49">
        <v>4</v>
      </c>
      <c r="L49">
        <v>6</v>
      </c>
      <c r="M49">
        <v>225.61</v>
      </c>
      <c r="N49">
        <v>1353.66</v>
      </c>
      <c r="O49">
        <v>0.18</v>
      </c>
      <c r="P49">
        <v>243.66</v>
      </c>
      <c r="Q49">
        <v>1110</v>
      </c>
      <c r="R49">
        <v>852.81</v>
      </c>
      <c r="S49">
        <v>257.19</v>
      </c>
    </row>
    <row r="50" spans="1:19" x14ac:dyDescent="0.35">
      <c r="A50">
        <v>100048</v>
      </c>
      <c r="B50">
        <v>2436</v>
      </c>
      <c r="C50" t="s">
        <v>28</v>
      </c>
      <c r="D50" t="s">
        <v>20</v>
      </c>
      <c r="E50" t="s">
        <v>26</v>
      </c>
      <c r="F50" t="s">
        <v>44</v>
      </c>
      <c r="G50" s="1">
        <v>45160</v>
      </c>
      <c r="H50" s="1">
        <v>45161</v>
      </c>
      <c r="I50" s="1">
        <v>45166</v>
      </c>
      <c r="J50">
        <v>6</v>
      </c>
      <c r="K50">
        <v>1</v>
      </c>
      <c r="L50">
        <v>6</v>
      </c>
      <c r="M50">
        <v>89.72</v>
      </c>
      <c r="N50">
        <v>538.32000000000005</v>
      </c>
      <c r="O50">
        <v>0.09</v>
      </c>
      <c r="P50">
        <v>48.45</v>
      </c>
      <c r="Q50">
        <v>489.87</v>
      </c>
      <c r="R50">
        <v>306.83999999999997</v>
      </c>
      <c r="S50">
        <v>183.03</v>
      </c>
    </row>
    <row r="51" spans="1:19" x14ac:dyDescent="0.35">
      <c r="A51">
        <v>100049</v>
      </c>
      <c r="B51">
        <v>3784</v>
      </c>
      <c r="C51" t="s">
        <v>23</v>
      </c>
      <c r="D51" t="s">
        <v>20</v>
      </c>
      <c r="E51" t="s">
        <v>34</v>
      </c>
      <c r="F51" t="s">
        <v>45</v>
      </c>
      <c r="G51" s="1">
        <v>45218</v>
      </c>
      <c r="H51" s="1">
        <v>45223</v>
      </c>
      <c r="I51" s="1">
        <v>45242</v>
      </c>
      <c r="J51">
        <v>24</v>
      </c>
      <c r="K51">
        <v>5</v>
      </c>
      <c r="L51">
        <v>13</v>
      </c>
      <c r="M51">
        <v>265.12</v>
      </c>
      <c r="N51">
        <v>3446.56</v>
      </c>
      <c r="O51">
        <v>0.02</v>
      </c>
      <c r="P51">
        <v>68.930000000000007</v>
      </c>
      <c r="Q51">
        <v>3377.63</v>
      </c>
      <c r="R51">
        <v>2309.1999999999998</v>
      </c>
      <c r="S51">
        <v>1068.43</v>
      </c>
    </row>
    <row r="52" spans="1:19" x14ac:dyDescent="0.35">
      <c r="A52">
        <v>100050</v>
      </c>
      <c r="B52">
        <v>3513</v>
      </c>
      <c r="C52" t="s">
        <v>33</v>
      </c>
      <c r="D52" t="s">
        <v>31</v>
      </c>
      <c r="E52" t="s">
        <v>21</v>
      </c>
      <c r="F52" t="s">
        <v>39</v>
      </c>
      <c r="G52" s="1">
        <v>45244</v>
      </c>
      <c r="H52" s="1">
        <v>45245</v>
      </c>
      <c r="I52" s="1">
        <v>45247</v>
      </c>
      <c r="J52">
        <v>3</v>
      </c>
      <c r="K52">
        <v>1</v>
      </c>
      <c r="L52">
        <v>2</v>
      </c>
      <c r="M52">
        <v>252.84</v>
      </c>
      <c r="N52">
        <v>505.68</v>
      </c>
      <c r="O52">
        <v>0.02</v>
      </c>
      <c r="P52">
        <v>10.11</v>
      </c>
      <c r="Q52">
        <v>495.57</v>
      </c>
      <c r="R52">
        <v>313.52</v>
      </c>
      <c r="S52">
        <v>182.05</v>
      </c>
    </row>
    <row r="53" spans="1:19" x14ac:dyDescent="0.35">
      <c r="A53">
        <v>100051</v>
      </c>
      <c r="B53">
        <v>1358</v>
      </c>
      <c r="C53" t="s">
        <v>28</v>
      </c>
      <c r="D53" t="s">
        <v>29</v>
      </c>
      <c r="E53" t="s">
        <v>21</v>
      </c>
      <c r="F53" t="s">
        <v>39</v>
      </c>
      <c r="G53" s="1">
        <v>45078</v>
      </c>
      <c r="H53" s="1">
        <v>45079</v>
      </c>
      <c r="I53" s="1">
        <v>45094</v>
      </c>
      <c r="J53">
        <v>16</v>
      </c>
      <c r="K53">
        <v>1</v>
      </c>
      <c r="L53">
        <v>11</v>
      </c>
      <c r="M53">
        <v>512.48</v>
      </c>
      <c r="N53">
        <v>5637.28</v>
      </c>
      <c r="O53">
        <v>0.01</v>
      </c>
      <c r="P53">
        <v>56.37</v>
      </c>
      <c r="Q53">
        <v>5580.91</v>
      </c>
      <c r="R53">
        <v>3438.74</v>
      </c>
      <c r="S53">
        <v>2142.17</v>
      </c>
    </row>
    <row r="54" spans="1:19" x14ac:dyDescent="0.35">
      <c r="A54">
        <v>100052</v>
      </c>
      <c r="B54">
        <v>4000</v>
      </c>
      <c r="C54" t="s">
        <v>33</v>
      </c>
      <c r="D54" t="s">
        <v>29</v>
      </c>
      <c r="E54" t="s">
        <v>26</v>
      </c>
      <c r="F54" t="s">
        <v>36</v>
      </c>
      <c r="G54" s="1">
        <v>45019</v>
      </c>
      <c r="H54" s="1">
        <v>45020</v>
      </c>
      <c r="I54" s="1">
        <v>45047</v>
      </c>
      <c r="J54">
        <v>28</v>
      </c>
      <c r="K54">
        <v>1</v>
      </c>
      <c r="L54">
        <v>8</v>
      </c>
      <c r="M54">
        <v>163.75</v>
      </c>
      <c r="N54">
        <v>1310</v>
      </c>
      <c r="O54">
        <v>0.12</v>
      </c>
      <c r="P54">
        <v>157.19999999999999</v>
      </c>
      <c r="Q54">
        <v>1152.8</v>
      </c>
      <c r="R54">
        <v>812.2</v>
      </c>
      <c r="S54">
        <v>340.6</v>
      </c>
    </row>
    <row r="55" spans="1:19" x14ac:dyDescent="0.35">
      <c r="A55">
        <v>100053</v>
      </c>
      <c r="B55">
        <v>3022</v>
      </c>
      <c r="C55" t="s">
        <v>19</v>
      </c>
      <c r="D55" t="s">
        <v>29</v>
      </c>
      <c r="E55" t="s">
        <v>24</v>
      </c>
      <c r="F55" t="s">
        <v>25</v>
      </c>
      <c r="G55" s="1">
        <v>45174</v>
      </c>
      <c r="H55" s="1">
        <v>45175</v>
      </c>
      <c r="I55" s="1">
        <v>45183</v>
      </c>
      <c r="J55">
        <v>9</v>
      </c>
      <c r="K55">
        <v>1</v>
      </c>
      <c r="L55">
        <v>14</v>
      </c>
      <c r="M55">
        <v>608.11</v>
      </c>
      <c r="N55">
        <v>8513.5400000000009</v>
      </c>
      <c r="O55">
        <v>0.11</v>
      </c>
      <c r="P55">
        <v>936.49</v>
      </c>
      <c r="Q55">
        <v>7577.05</v>
      </c>
      <c r="R55">
        <v>4937.8500000000004</v>
      </c>
      <c r="S55">
        <v>2639.2</v>
      </c>
    </row>
    <row r="56" spans="1:19" x14ac:dyDescent="0.35">
      <c r="A56">
        <v>100054</v>
      </c>
      <c r="B56">
        <v>1555</v>
      </c>
      <c r="C56" t="s">
        <v>19</v>
      </c>
      <c r="D56" t="s">
        <v>20</v>
      </c>
      <c r="E56" t="s">
        <v>26</v>
      </c>
      <c r="F56" t="s">
        <v>44</v>
      </c>
      <c r="G56" s="1">
        <v>45151</v>
      </c>
      <c r="H56" s="1">
        <v>45155</v>
      </c>
      <c r="I56" s="1">
        <v>45178</v>
      </c>
      <c r="J56">
        <v>27</v>
      </c>
      <c r="K56">
        <v>4</v>
      </c>
      <c r="L56">
        <v>8</v>
      </c>
      <c r="M56">
        <v>29.08</v>
      </c>
      <c r="N56">
        <v>232.64</v>
      </c>
      <c r="O56">
        <v>0.05</v>
      </c>
      <c r="P56">
        <v>11.63</v>
      </c>
      <c r="Q56">
        <v>221.01</v>
      </c>
      <c r="R56">
        <v>160.52000000000001</v>
      </c>
      <c r="S56">
        <v>60.49</v>
      </c>
    </row>
    <row r="57" spans="1:19" x14ac:dyDescent="0.35">
      <c r="A57">
        <v>100055</v>
      </c>
      <c r="B57">
        <v>3098</v>
      </c>
      <c r="C57" t="s">
        <v>23</v>
      </c>
      <c r="D57" t="s">
        <v>29</v>
      </c>
      <c r="E57" t="s">
        <v>26</v>
      </c>
      <c r="F57" t="s">
        <v>37</v>
      </c>
      <c r="G57" s="1">
        <v>45076</v>
      </c>
      <c r="H57" s="1">
        <v>45079</v>
      </c>
      <c r="I57" s="1">
        <v>45095</v>
      </c>
      <c r="J57">
        <v>19</v>
      </c>
      <c r="K57">
        <v>3</v>
      </c>
      <c r="L57">
        <v>8</v>
      </c>
      <c r="M57">
        <v>401.76</v>
      </c>
      <c r="N57">
        <v>3214.08</v>
      </c>
      <c r="O57">
        <v>0.09</v>
      </c>
      <c r="P57">
        <v>289.27</v>
      </c>
      <c r="Q57">
        <v>2924.81</v>
      </c>
      <c r="R57">
        <v>1767.74</v>
      </c>
      <c r="S57">
        <v>1157.07</v>
      </c>
    </row>
    <row r="58" spans="1:19" x14ac:dyDescent="0.35">
      <c r="A58">
        <v>100056</v>
      </c>
      <c r="B58">
        <v>4308</v>
      </c>
      <c r="C58" t="s">
        <v>33</v>
      </c>
      <c r="D58" t="s">
        <v>31</v>
      </c>
      <c r="E58" t="s">
        <v>21</v>
      </c>
      <c r="F58" t="s">
        <v>41</v>
      </c>
      <c r="G58" s="1">
        <v>45283</v>
      </c>
      <c r="H58" s="1">
        <v>45286</v>
      </c>
      <c r="I58" s="1">
        <v>45313</v>
      </c>
      <c r="J58">
        <v>30</v>
      </c>
      <c r="K58">
        <v>3</v>
      </c>
      <c r="L58">
        <v>7</v>
      </c>
      <c r="M58">
        <v>681.22</v>
      </c>
      <c r="N58">
        <v>4768.54</v>
      </c>
      <c r="O58">
        <v>0.1</v>
      </c>
      <c r="P58">
        <v>476.85</v>
      </c>
      <c r="Q58">
        <v>4291.6899999999996</v>
      </c>
      <c r="R58">
        <v>3004.18</v>
      </c>
      <c r="S58">
        <v>1287.51</v>
      </c>
    </row>
    <row r="59" spans="1:19" x14ac:dyDescent="0.35">
      <c r="A59">
        <v>100057</v>
      </c>
      <c r="B59">
        <v>2141</v>
      </c>
      <c r="C59" t="s">
        <v>23</v>
      </c>
      <c r="D59" t="s">
        <v>20</v>
      </c>
      <c r="E59" t="s">
        <v>34</v>
      </c>
      <c r="F59" t="s">
        <v>40</v>
      </c>
      <c r="G59" s="1">
        <v>44994</v>
      </c>
      <c r="H59" s="1">
        <v>44996</v>
      </c>
      <c r="I59" s="1">
        <v>44996</v>
      </c>
      <c r="J59">
        <v>2</v>
      </c>
      <c r="K59">
        <v>2</v>
      </c>
      <c r="L59">
        <v>2</v>
      </c>
      <c r="M59">
        <v>113.69</v>
      </c>
      <c r="N59">
        <v>227.38</v>
      </c>
      <c r="O59">
        <v>7.0000000000000007E-2</v>
      </c>
      <c r="P59">
        <v>15.92</v>
      </c>
      <c r="Q59">
        <v>211.46</v>
      </c>
      <c r="R59">
        <v>156.88999999999999</v>
      </c>
      <c r="S59">
        <v>54.57</v>
      </c>
    </row>
    <row r="60" spans="1:19" x14ac:dyDescent="0.35">
      <c r="A60">
        <v>100058</v>
      </c>
      <c r="B60">
        <v>2873</v>
      </c>
      <c r="C60" t="s">
        <v>33</v>
      </c>
      <c r="D60" t="s">
        <v>29</v>
      </c>
      <c r="E60" t="s">
        <v>24</v>
      </c>
      <c r="F60" t="s">
        <v>32</v>
      </c>
      <c r="G60" s="1">
        <v>45146</v>
      </c>
      <c r="H60" s="1">
        <v>45151</v>
      </c>
      <c r="I60" s="1">
        <v>45169</v>
      </c>
      <c r="J60">
        <v>23</v>
      </c>
      <c r="K60">
        <v>5</v>
      </c>
      <c r="L60">
        <v>4</v>
      </c>
      <c r="M60">
        <v>247.26</v>
      </c>
      <c r="N60">
        <v>989.04</v>
      </c>
      <c r="O60">
        <v>0.06</v>
      </c>
      <c r="P60">
        <v>59.34</v>
      </c>
      <c r="Q60">
        <v>929.7</v>
      </c>
      <c r="R60">
        <v>682.44</v>
      </c>
      <c r="S60">
        <v>247.26</v>
      </c>
    </row>
    <row r="61" spans="1:19" x14ac:dyDescent="0.35">
      <c r="A61">
        <v>100059</v>
      </c>
      <c r="B61">
        <v>2043</v>
      </c>
      <c r="C61" t="s">
        <v>28</v>
      </c>
      <c r="D61" t="s">
        <v>20</v>
      </c>
      <c r="E61" t="s">
        <v>24</v>
      </c>
      <c r="F61" t="s">
        <v>30</v>
      </c>
      <c r="G61" s="1">
        <v>44946</v>
      </c>
      <c r="H61" s="1">
        <v>44948</v>
      </c>
      <c r="I61" s="1">
        <v>44971</v>
      </c>
      <c r="J61">
        <v>25</v>
      </c>
      <c r="K61">
        <v>2</v>
      </c>
      <c r="L61">
        <v>6</v>
      </c>
      <c r="M61">
        <v>598.35</v>
      </c>
      <c r="N61">
        <v>3590.1</v>
      </c>
      <c r="O61">
        <v>0.02</v>
      </c>
      <c r="P61">
        <v>71.8</v>
      </c>
      <c r="Q61">
        <v>3518.3</v>
      </c>
      <c r="R61">
        <v>2297.66</v>
      </c>
      <c r="S61">
        <v>1220.6400000000001</v>
      </c>
    </row>
    <row r="62" spans="1:19" x14ac:dyDescent="0.35">
      <c r="A62">
        <v>100060</v>
      </c>
      <c r="B62">
        <v>1971</v>
      </c>
      <c r="C62" t="s">
        <v>33</v>
      </c>
      <c r="D62" t="s">
        <v>31</v>
      </c>
      <c r="E62" t="s">
        <v>21</v>
      </c>
      <c r="F62" t="s">
        <v>38</v>
      </c>
      <c r="G62" s="1">
        <v>44931</v>
      </c>
      <c r="H62" s="1">
        <v>44934</v>
      </c>
      <c r="I62" s="1">
        <v>44950</v>
      </c>
      <c r="J62">
        <v>19</v>
      </c>
      <c r="K62">
        <v>3</v>
      </c>
      <c r="L62">
        <v>14</v>
      </c>
      <c r="M62">
        <v>92.49</v>
      </c>
      <c r="N62">
        <v>1294.8599999999999</v>
      </c>
      <c r="O62">
        <v>0.09</v>
      </c>
      <c r="P62">
        <v>116.54</v>
      </c>
      <c r="Q62">
        <v>1178.32</v>
      </c>
      <c r="R62">
        <v>880.5</v>
      </c>
      <c r="S62">
        <v>297.82</v>
      </c>
    </row>
    <row r="63" spans="1:19" x14ac:dyDescent="0.35">
      <c r="A63">
        <v>100061</v>
      </c>
      <c r="B63">
        <v>3499</v>
      </c>
      <c r="C63" t="s">
        <v>23</v>
      </c>
      <c r="D63" t="s">
        <v>31</v>
      </c>
      <c r="E63" t="s">
        <v>34</v>
      </c>
      <c r="F63" t="s">
        <v>45</v>
      </c>
      <c r="G63" s="1">
        <v>45202</v>
      </c>
      <c r="H63" s="1">
        <v>45204</v>
      </c>
      <c r="I63" s="1">
        <v>45204</v>
      </c>
      <c r="J63">
        <v>2</v>
      </c>
      <c r="K63">
        <v>2</v>
      </c>
      <c r="L63">
        <v>1</v>
      </c>
      <c r="M63">
        <v>766.89</v>
      </c>
      <c r="N63">
        <v>766.89</v>
      </c>
      <c r="O63">
        <v>7.0000000000000007E-2</v>
      </c>
      <c r="P63">
        <v>53.68</v>
      </c>
      <c r="Q63">
        <v>713.21</v>
      </c>
      <c r="R63">
        <v>421.79</v>
      </c>
      <c r="S63">
        <v>291.42</v>
      </c>
    </row>
    <row r="64" spans="1:19" x14ac:dyDescent="0.35">
      <c r="A64">
        <v>100062</v>
      </c>
      <c r="B64">
        <v>4258</v>
      </c>
      <c r="C64" t="s">
        <v>33</v>
      </c>
      <c r="D64" t="s">
        <v>31</v>
      </c>
      <c r="E64" t="s">
        <v>26</v>
      </c>
      <c r="F64" t="s">
        <v>44</v>
      </c>
      <c r="G64" s="1">
        <v>44960</v>
      </c>
      <c r="H64" s="1">
        <v>44965</v>
      </c>
      <c r="I64" s="1">
        <v>44964</v>
      </c>
      <c r="J64">
        <v>4</v>
      </c>
      <c r="K64">
        <v>5</v>
      </c>
      <c r="L64">
        <v>3</v>
      </c>
      <c r="M64">
        <v>520.78</v>
      </c>
      <c r="N64">
        <v>1562.34</v>
      </c>
      <c r="O64">
        <v>0.02</v>
      </c>
      <c r="P64">
        <v>31.25</v>
      </c>
      <c r="Q64">
        <v>1531.09</v>
      </c>
      <c r="R64">
        <v>953.03</v>
      </c>
      <c r="S64">
        <v>578.05999999999995</v>
      </c>
    </row>
    <row r="65" spans="1:19" x14ac:dyDescent="0.35">
      <c r="A65">
        <v>100063</v>
      </c>
      <c r="B65">
        <v>3730</v>
      </c>
      <c r="C65" t="s">
        <v>33</v>
      </c>
      <c r="D65" t="s">
        <v>31</v>
      </c>
      <c r="E65" t="s">
        <v>26</v>
      </c>
      <c r="F65" t="s">
        <v>27</v>
      </c>
      <c r="G65" s="1">
        <v>45050</v>
      </c>
      <c r="H65" s="1">
        <v>45053</v>
      </c>
      <c r="I65" s="1">
        <v>45074</v>
      </c>
      <c r="J65">
        <v>24</v>
      </c>
      <c r="K65">
        <v>3</v>
      </c>
      <c r="L65">
        <v>9</v>
      </c>
      <c r="M65">
        <v>209.16</v>
      </c>
      <c r="N65">
        <v>1882.44</v>
      </c>
      <c r="O65">
        <v>0.09</v>
      </c>
      <c r="P65">
        <v>169.42</v>
      </c>
      <c r="Q65">
        <v>1713.02</v>
      </c>
      <c r="R65">
        <v>1129.46</v>
      </c>
      <c r="S65">
        <v>583.55999999999995</v>
      </c>
    </row>
    <row r="66" spans="1:19" x14ac:dyDescent="0.35">
      <c r="A66">
        <v>100064</v>
      </c>
      <c r="B66">
        <v>1914</v>
      </c>
      <c r="C66" t="s">
        <v>28</v>
      </c>
      <c r="D66" t="s">
        <v>31</v>
      </c>
      <c r="E66" t="s">
        <v>24</v>
      </c>
      <c r="F66" t="s">
        <v>30</v>
      </c>
      <c r="G66" s="1">
        <v>45213</v>
      </c>
      <c r="H66" s="1">
        <v>45214</v>
      </c>
      <c r="I66" s="1">
        <v>45226</v>
      </c>
      <c r="J66">
        <v>13</v>
      </c>
      <c r="K66">
        <v>1</v>
      </c>
      <c r="L66">
        <v>3</v>
      </c>
      <c r="M66">
        <v>663.13</v>
      </c>
      <c r="N66">
        <v>1989.39</v>
      </c>
      <c r="O66">
        <v>0.11</v>
      </c>
      <c r="P66">
        <v>218.83</v>
      </c>
      <c r="Q66">
        <v>1770.56</v>
      </c>
      <c r="R66">
        <v>1293.0999999999999</v>
      </c>
      <c r="S66">
        <v>477.46</v>
      </c>
    </row>
    <row r="67" spans="1:19" x14ac:dyDescent="0.35">
      <c r="A67">
        <v>100065</v>
      </c>
      <c r="B67">
        <v>2023</v>
      </c>
      <c r="C67" t="s">
        <v>33</v>
      </c>
      <c r="D67" t="s">
        <v>31</v>
      </c>
      <c r="E67" t="s">
        <v>21</v>
      </c>
      <c r="F67" t="s">
        <v>22</v>
      </c>
      <c r="G67" s="1">
        <v>45112</v>
      </c>
      <c r="H67" s="1">
        <v>45115</v>
      </c>
      <c r="I67" s="1">
        <v>45137</v>
      </c>
      <c r="J67">
        <v>25</v>
      </c>
      <c r="K67">
        <v>3</v>
      </c>
      <c r="L67">
        <v>4</v>
      </c>
      <c r="M67">
        <v>587.49</v>
      </c>
      <c r="N67">
        <v>2349.96</v>
      </c>
      <c r="O67">
        <v>0.11</v>
      </c>
      <c r="P67">
        <v>258.5</v>
      </c>
      <c r="Q67">
        <v>2091.46</v>
      </c>
      <c r="R67">
        <v>1456.98</v>
      </c>
      <c r="S67">
        <v>634.48</v>
      </c>
    </row>
    <row r="68" spans="1:19" x14ac:dyDescent="0.35">
      <c r="A68">
        <v>100066</v>
      </c>
      <c r="B68">
        <v>4189</v>
      </c>
      <c r="C68" t="s">
        <v>23</v>
      </c>
      <c r="D68" t="s">
        <v>31</v>
      </c>
      <c r="E68" t="s">
        <v>26</v>
      </c>
      <c r="F68" t="s">
        <v>37</v>
      </c>
      <c r="G68" s="1">
        <v>45156</v>
      </c>
      <c r="H68" s="1">
        <v>45158</v>
      </c>
      <c r="I68" s="1">
        <v>45160</v>
      </c>
      <c r="J68">
        <v>4</v>
      </c>
      <c r="K68">
        <v>2</v>
      </c>
      <c r="L68">
        <v>9</v>
      </c>
      <c r="M68">
        <v>405.87</v>
      </c>
      <c r="N68">
        <v>3652.83</v>
      </c>
      <c r="O68">
        <v>0</v>
      </c>
      <c r="P68">
        <v>0</v>
      </c>
      <c r="Q68">
        <v>3652.83</v>
      </c>
      <c r="R68">
        <v>2374.34</v>
      </c>
      <c r="S68">
        <v>1278.49</v>
      </c>
    </row>
    <row r="69" spans="1:19" x14ac:dyDescent="0.35">
      <c r="A69">
        <v>100067</v>
      </c>
      <c r="B69">
        <v>2704</v>
      </c>
      <c r="C69" t="s">
        <v>33</v>
      </c>
      <c r="D69" t="s">
        <v>20</v>
      </c>
      <c r="E69" t="s">
        <v>26</v>
      </c>
      <c r="F69" t="s">
        <v>44</v>
      </c>
      <c r="G69" s="1">
        <v>45256</v>
      </c>
      <c r="H69" s="1">
        <v>45257</v>
      </c>
      <c r="I69" s="1">
        <v>45273</v>
      </c>
      <c r="J69">
        <v>17</v>
      </c>
      <c r="K69">
        <v>1</v>
      </c>
      <c r="L69">
        <v>9</v>
      </c>
      <c r="M69">
        <v>105.97</v>
      </c>
      <c r="N69">
        <v>953.73</v>
      </c>
      <c r="O69">
        <v>0.08</v>
      </c>
      <c r="P69">
        <v>76.3</v>
      </c>
      <c r="Q69">
        <v>877.43</v>
      </c>
      <c r="R69">
        <v>562.70000000000005</v>
      </c>
      <c r="S69">
        <v>314.73</v>
      </c>
    </row>
    <row r="70" spans="1:19" x14ac:dyDescent="0.35">
      <c r="A70">
        <v>100068</v>
      </c>
      <c r="B70">
        <v>1666</v>
      </c>
      <c r="C70" t="s">
        <v>28</v>
      </c>
      <c r="D70" t="s">
        <v>29</v>
      </c>
      <c r="E70" t="s">
        <v>34</v>
      </c>
      <c r="F70" t="s">
        <v>43</v>
      </c>
      <c r="G70" s="1">
        <v>45057</v>
      </c>
      <c r="H70" s="1">
        <v>45060</v>
      </c>
      <c r="I70" s="1">
        <v>45076</v>
      </c>
      <c r="J70">
        <v>19</v>
      </c>
      <c r="K70">
        <v>3</v>
      </c>
      <c r="L70">
        <v>8</v>
      </c>
      <c r="M70">
        <v>57.85</v>
      </c>
      <c r="N70">
        <v>462.8</v>
      </c>
      <c r="O70">
        <v>7.0000000000000007E-2</v>
      </c>
      <c r="P70">
        <v>32.4</v>
      </c>
      <c r="Q70">
        <v>430.4</v>
      </c>
      <c r="R70">
        <v>282.31</v>
      </c>
      <c r="S70">
        <v>148.09</v>
      </c>
    </row>
    <row r="71" spans="1:19" x14ac:dyDescent="0.35">
      <c r="A71">
        <v>100069</v>
      </c>
      <c r="B71">
        <v>2947</v>
      </c>
      <c r="C71" t="s">
        <v>28</v>
      </c>
      <c r="D71" t="s">
        <v>31</v>
      </c>
      <c r="E71" t="s">
        <v>21</v>
      </c>
      <c r="F71" t="s">
        <v>22</v>
      </c>
      <c r="G71" s="1">
        <v>45010</v>
      </c>
      <c r="H71" s="1">
        <v>45011</v>
      </c>
      <c r="I71" s="1">
        <v>45034</v>
      </c>
      <c r="J71">
        <v>24</v>
      </c>
      <c r="K71">
        <v>1</v>
      </c>
      <c r="L71">
        <v>9</v>
      </c>
      <c r="M71">
        <v>61.61</v>
      </c>
      <c r="N71">
        <v>554.49</v>
      </c>
      <c r="O71">
        <v>0.05</v>
      </c>
      <c r="P71">
        <v>27.72</v>
      </c>
      <c r="Q71">
        <v>526.77</v>
      </c>
      <c r="R71">
        <v>388.14</v>
      </c>
      <c r="S71">
        <v>138.63</v>
      </c>
    </row>
    <row r="72" spans="1:19" x14ac:dyDescent="0.35">
      <c r="A72">
        <v>100070</v>
      </c>
      <c r="B72">
        <v>3895</v>
      </c>
      <c r="C72" t="s">
        <v>23</v>
      </c>
      <c r="D72" t="s">
        <v>31</v>
      </c>
      <c r="E72" t="s">
        <v>24</v>
      </c>
      <c r="F72" t="s">
        <v>30</v>
      </c>
      <c r="G72" s="1">
        <v>44948</v>
      </c>
      <c r="H72" s="1">
        <v>44949</v>
      </c>
      <c r="I72" s="1">
        <v>44971</v>
      </c>
      <c r="J72">
        <v>23</v>
      </c>
      <c r="K72">
        <v>1</v>
      </c>
      <c r="L72">
        <v>9</v>
      </c>
      <c r="M72">
        <v>141.69999999999999</v>
      </c>
      <c r="N72">
        <v>1275.3</v>
      </c>
      <c r="O72">
        <v>0.17</v>
      </c>
      <c r="P72">
        <v>216.8</v>
      </c>
      <c r="Q72">
        <v>1058.5</v>
      </c>
      <c r="R72">
        <v>765.18</v>
      </c>
      <c r="S72">
        <v>293.32</v>
      </c>
    </row>
    <row r="73" spans="1:19" x14ac:dyDescent="0.35">
      <c r="A73">
        <v>100071</v>
      </c>
      <c r="B73">
        <v>1106</v>
      </c>
      <c r="C73" t="s">
        <v>33</v>
      </c>
      <c r="D73" t="s">
        <v>29</v>
      </c>
      <c r="E73" t="s">
        <v>21</v>
      </c>
      <c r="F73" t="s">
        <v>22</v>
      </c>
      <c r="G73" s="1">
        <v>45046</v>
      </c>
      <c r="H73" s="1">
        <v>45048</v>
      </c>
      <c r="I73" s="1">
        <v>45065</v>
      </c>
      <c r="J73">
        <v>19</v>
      </c>
      <c r="K73">
        <v>2</v>
      </c>
      <c r="L73">
        <v>4</v>
      </c>
      <c r="M73">
        <v>292.31</v>
      </c>
      <c r="N73">
        <v>1169.24</v>
      </c>
      <c r="O73">
        <v>0.12</v>
      </c>
      <c r="P73">
        <v>140.31</v>
      </c>
      <c r="Q73">
        <v>1028.93</v>
      </c>
      <c r="R73">
        <v>701.54</v>
      </c>
      <c r="S73">
        <v>327.39</v>
      </c>
    </row>
    <row r="74" spans="1:19" x14ac:dyDescent="0.35">
      <c r="A74">
        <v>100072</v>
      </c>
      <c r="B74">
        <v>2629</v>
      </c>
      <c r="C74" t="s">
        <v>19</v>
      </c>
      <c r="D74" t="s">
        <v>29</v>
      </c>
      <c r="E74" t="s">
        <v>21</v>
      </c>
      <c r="F74" t="s">
        <v>22</v>
      </c>
      <c r="G74" s="1">
        <v>44994</v>
      </c>
      <c r="H74" s="1">
        <v>44999</v>
      </c>
      <c r="I74" s="1">
        <v>45019</v>
      </c>
      <c r="J74">
        <v>25</v>
      </c>
      <c r="K74">
        <v>5</v>
      </c>
      <c r="L74">
        <v>10</v>
      </c>
      <c r="M74">
        <v>274.27999999999997</v>
      </c>
      <c r="N74">
        <v>2742.8</v>
      </c>
      <c r="O74">
        <v>0.16</v>
      </c>
      <c r="P74">
        <v>438.85</v>
      </c>
      <c r="Q74">
        <v>2303.9499999999998</v>
      </c>
      <c r="R74">
        <v>1837.68</v>
      </c>
      <c r="S74">
        <v>466.27</v>
      </c>
    </row>
    <row r="75" spans="1:19" x14ac:dyDescent="0.35">
      <c r="A75">
        <v>100073</v>
      </c>
      <c r="B75">
        <v>2582</v>
      </c>
      <c r="C75" t="s">
        <v>23</v>
      </c>
      <c r="D75" t="s">
        <v>20</v>
      </c>
      <c r="E75" t="s">
        <v>34</v>
      </c>
      <c r="F75" t="s">
        <v>45</v>
      </c>
      <c r="G75" s="1">
        <v>45130</v>
      </c>
      <c r="H75" s="1">
        <v>45133</v>
      </c>
      <c r="I75" s="1">
        <v>45148</v>
      </c>
      <c r="J75">
        <v>18</v>
      </c>
      <c r="K75">
        <v>3</v>
      </c>
      <c r="L75">
        <v>2</v>
      </c>
      <c r="M75">
        <v>540.25</v>
      </c>
      <c r="N75">
        <v>1080.5</v>
      </c>
      <c r="O75">
        <v>0.04</v>
      </c>
      <c r="P75">
        <v>43.22</v>
      </c>
      <c r="Q75">
        <v>1037.28</v>
      </c>
      <c r="R75">
        <v>583.47</v>
      </c>
      <c r="S75">
        <v>453.81</v>
      </c>
    </row>
    <row r="76" spans="1:19" x14ac:dyDescent="0.35">
      <c r="A76">
        <v>100074</v>
      </c>
      <c r="B76">
        <v>4167</v>
      </c>
      <c r="C76" t="s">
        <v>28</v>
      </c>
      <c r="D76" t="s">
        <v>29</v>
      </c>
      <c r="E76" t="s">
        <v>34</v>
      </c>
      <c r="F76" t="s">
        <v>40</v>
      </c>
      <c r="G76" s="1">
        <v>44974</v>
      </c>
      <c r="H76" s="1">
        <v>44977</v>
      </c>
      <c r="I76" s="1">
        <v>44991</v>
      </c>
      <c r="J76">
        <v>17</v>
      </c>
      <c r="K76">
        <v>3</v>
      </c>
      <c r="L76">
        <v>6</v>
      </c>
      <c r="M76">
        <v>326.64</v>
      </c>
      <c r="N76">
        <v>1959.84</v>
      </c>
      <c r="O76">
        <v>0</v>
      </c>
      <c r="P76">
        <v>0</v>
      </c>
      <c r="Q76">
        <v>1959.84</v>
      </c>
      <c r="R76">
        <v>1273.9000000000001</v>
      </c>
      <c r="S76">
        <v>685.94</v>
      </c>
    </row>
    <row r="77" spans="1:19" x14ac:dyDescent="0.35">
      <c r="A77">
        <v>100075</v>
      </c>
      <c r="B77">
        <v>2888</v>
      </c>
      <c r="C77" t="s">
        <v>23</v>
      </c>
      <c r="D77" t="s">
        <v>31</v>
      </c>
      <c r="E77" t="s">
        <v>34</v>
      </c>
      <c r="F77" t="s">
        <v>45</v>
      </c>
      <c r="G77" s="1">
        <v>45199</v>
      </c>
      <c r="H77" s="1">
        <v>45201</v>
      </c>
      <c r="I77" s="1">
        <v>45206</v>
      </c>
      <c r="J77">
        <v>7</v>
      </c>
      <c r="K77">
        <v>2</v>
      </c>
      <c r="L77">
        <v>11</v>
      </c>
      <c r="M77">
        <v>448.25</v>
      </c>
      <c r="N77">
        <v>4930.75</v>
      </c>
      <c r="O77">
        <v>0.09</v>
      </c>
      <c r="P77">
        <v>443.77</v>
      </c>
      <c r="Q77">
        <v>4486.9799999999996</v>
      </c>
      <c r="R77">
        <v>2761.22</v>
      </c>
      <c r="S77">
        <v>1725.76</v>
      </c>
    </row>
    <row r="78" spans="1:19" x14ac:dyDescent="0.35">
      <c r="A78">
        <v>100076</v>
      </c>
      <c r="B78">
        <v>1930</v>
      </c>
      <c r="C78" t="s">
        <v>23</v>
      </c>
      <c r="D78" t="s">
        <v>29</v>
      </c>
      <c r="E78" t="s">
        <v>34</v>
      </c>
      <c r="F78" t="s">
        <v>43</v>
      </c>
      <c r="G78" s="1">
        <v>44939</v>
      </c>
      <c r="H78" s="1">
        <v>44943</v>
      </c>
      <c r="I78" s="1">
        <v>44961</v>
      </c>
      <c r="J78">
        <v>22</v>
      </c>
      <c r="K78">
        <v>4</v>
      </c>
      <c r="L78">
        <v>4</v>
      </c>
      <c r="M78">
        <v>38.68</v>
      </c>
      <c r="N78">
        <v>154.72</v>
      </c>
      <c r="O78">
        <v>0.04</v>
      </c>
      <c r="P78">
        <v>6.19</v>
      </c>
      <c r="Q78">
        <v>148.53</v>
      </c>
      <c r="R78">
        <v>91.28</v>
      </c>
      <c r="S78">
        <v>57.25</v>
      </c>
    </row>
    <row r="79" spans="1:19" x14ac:dyDescent="0.35">
      <c r="A79">
        <v>100077</v>
      </c>
      <c r="B79">
        <v>1207</v>
      </c>
      <c r="C79" t="s">
        <v>23</v>
      </c>
      <c r="D79" t="s">
        <v>31</v>
      </c>
      <c r="E79" t="s">
        <v>21</v>
      </c>
      <c r="F79" t="s">
        <v>22</v>
      </c>
      <c r="G79" s="1">
        <v>45276</v>
      </c>
      <c r="H79" s="1">
        <v>45279</v>
      </c>
      <c r="I79" s="1">
        <v>45288</v>
      </c>
      <c r="J79">
        <v>12</v>
      </c>
      <c r="K79">
        <v>3</v>
      </c>
      <c r="L79">
        <v>5</v>
      </c>
      <c r="M79">
        <v>245.83</v>
      </c>
      <c r="N79">
        <v>1229.1500000000001</v>
      </c>
      <c r="O79">
        <v>0.1</v>
      </c>
      <c r="P79">
        <v>122.92</v>
      </c>
      <c r="Q79">
        <v>1106.24</v>
      </c>
      <c r="R79">
        <v>786.66</v>
      </c>
      <c r="S79">
        <v>319.58</v>
      </c>
    </row>
    <row r="80" spans="1:19" x14ac:dyDescent="0.35">
      <c r="A80">
        <v>100078</v>
      </c>
      <c r="B80">
        <v>1741</v>
      </c>
      <c r="C80" t="s">
        <v>28</v>
      </c>
      <c r="D80" t="s">
        <v>31</v>
      </c>
      <c r="E80" t="s">
        <v>26</v>
      </c>
      <c r="F80" t="s">
        <v>27</v>
      </c>
      <c r="G80" s="1">
        <v>45034</v>
      </c>
      <c r="H80" s="1">
        <v>45036</v>
      </c>
      <c r="I80" s="1">
        <v>45052</v>
      </c>
      <c r="J80">
        <v>18</v>
      </c>
      <c r="K80">
        <v>2</v>
      </c>
      <c r="L80">
        <v>7</v>
      </c>
      <c r="M80">
        <v>615.16</v>
      </c>
      <c r="N80">
        <v>4306.12</v>
      </c>
      <c r="O80">
        <v>0.05</v>
      </c>
      <c r="P80">
        <v>215.31</v>
      </c>
      <c r="Q80">
        <v>4090.81</v>
      </c>
      <c r="R80">
        <v>2712.86</v>
      </c>
      <c r="S80">
        <v>1377.95</v>
      </c>
    </row>
    <row r="81" spans="1:19" x14ac:dyDescent="0.35">
      <c r="A81">
        <v>100079</v>
      </c>
      <c r="B81">
        <v>3150</v>
      </c>
      <c r="C81" t="s">
        <v>19</v>
      </c>
      <c r="D81" t="s">
        <v>20</v>
      </c>
      <c r="E81" t="s">
        <v>34</v>
      </c>
      <c r="F81" t="s">
        <v>35</v>
      </c>
      <c r="G81" s="1">
        <v>45160</v>
      </c>
      <c r="H81" s="1">
        <v>45164</v>
      </c>
      <c r="I81" s="1">
        <v>45172</v>
      </c>
      <c r="J81">
        <v>12</v>
      </c>
      <c r="K81">
        <v>4</v>
      </c>
      <c r="L81">
        <v>14</v>
      </c>
      <c r="M81">
        <v>583.16</v>
      </c>
      <c r="N81">
        <v>8164.24</v>
      </c>
      <c r="O81">
        <v>7.0000000000000007E-2</v>
      </c>
      <c r="P81">
        <v>571.5</v>
      </c>
      <c r="Q81">
        <v>7592.74</v>
      </c>
      <c r="R81">
        <v>5470.04</v>
      </c>
      <c r="S81">
        <v>2122.6999999999998</v>
      </c>
    </row>
    <row r="82" spans="1:19" x14ac:dyDescent="0.35">
      <c r="A82">
        <v>100080</v>
      </c>
      <c r="B82">
        <v>1993</v>
      </c>
      <c r="C82" t="s">
        <v>23</v>
      </c>
      <c r="D82" t="s">
        <v>29</v>
      </c>
      <c r="E82" t="s">
        <v>26</v>
      </c>
      <c r="F82" t="s">
        <v>36</v>
      </c>
      <c r="G82" s="1">
        <v>45259</v>
      </c>
      <c r="H82" s="1">
        <v>45260</v>
      </c>
      <c r="I82" s="1">
        <v>45267</v>
      </c>
      <c r="J82">
        <v>8</v>
      </c>
      <c r="K82">
        <v>1</v>
      </c>
      <c r="L82">
        <v>9</v>
      </c>
      <c r="M82">
        <v>648.91</v>
      </c>
      <c r="N82">
        <v>5840.19</v>
      </c>
      <c r="O82">
        <v>0.13</v>
      </c>
      <c r="P82">
        <v>759.22</v>
      </c>
      <c r="Q82">
        <v>5080.97</v>
      </c>
      <c r="R82">
        <v>3270.51</v>
      </c>
      <c r="S82">
        <v>1810.46</v>
      </c>
    </row>
    <row r="83" spans="1:19" x14ac:dyDescent="0.35">
      <c r="A83">
        <v>100081</v>
      </c>
      <c r="B83">
        <v>3219</v>
      </c>
      <c r="C83" t="s">
        <v>19</v>
      </c>
      <c r="D83" t="s">
        <v>31</v>
      </c>
      <c r="E83" t="s">
        <v>24</v>
      </c>
      <c r="F83" t="s">
        <v>30</v>
      </c>
      <c r="G83" s="1">
        <v>45250</v>
      </c>
      <c r="H83" s="1">
        <v>45254</v>
      </c>
      <c r="I83" s="1">
        <v>45253</v>
      </c>
      <c r="J83">
        <v>3</v>
      </c>
      <c r="K83">
        <v>4</v>
      </c>
      <c r="L83">
        <v>14</v>
      </c>
      <c r="M83">
        <v>686.6</v>
      </c>
      <c r="N83">
        <v>9612.4</v>
      </c>
      <c r="O83">
        <v>0.02</v>
      </c>
      <c r="P83">
        <v>192.25</v>
      </c>
      <c r="Q83">
        <v>9420.15</v>
      </c>
      <c r="R83">
        <v>6248.06</v>
      </c>
      <c r="S83">
        <v>3172.09</v>
      </c>
    </row>
    <row r="84" spans="1:19" x14ac:dyDescent="0.35">
      <c r="A84">
        <v>100082</v>
      </c>
      <c r="B84">
        <v>3686</v>
      </c>
      <c r="C84" t="s">
        <v>23</v>
      </c>
      <c r="D84" t="s">
        <v>20</v>
      </c>
      <c r="E84" t="s">
        <v>26</v>
      </c>
      <c r="F84" t="s">
        <v>36</v>
      </c>
      <c r="G84" s="1">
        <v>45037</v>
      </c>
      <c r="H84" s="1">
        <v>45040</v>
      </c>
      <c r="I84" s="1">
        <v>45053</v>
      </c>
      <c r="J84">
        <v>16</v>
      </c>
      <c r="K84">
        <v>3</v>
      </c>
      <c r="L84">
        <v>8</v>
      </c>
      <c r="M84">
        <v>195.22</v>
      </c>
      <c r="N84">
        <v>1561.76</v>
      </c>
      <c r="O84">
        <v>0.19</v>
      </c>
      <c r="P84">
        <v>296.73</v>
      </c>
      <c r="Q84">
        <v>1265.03</v>
      </c>
      <c r="R84">
        <v>968.29</v>
      </c>
      <c r="S84">
        <v>296.74</v>
      </c>
    </row>
    <row r="85" spans="1:19" x14ac:dyDescent="0.35">
      <c r="A85">
        <v>100083</v>
      </c>
      <c r="B85">
        <v>4065</v>
      </c>
      <c r="C85" t="s">
        <v>19</v>
      </c>
      <c r="D85" t="s">
        <v>31</v>
      </c>
      <c r="E85" t="s">
        <v>21</v>
      </c>
      <c r="F85" t="s">
        <v>22</v>
      </c>
      <c r="G85" s="1">
        <v>45069</v>
      </c>
      <c r="H85" s="1">
        <v>45070</v>
      </c>
      <c r="I85" s="1">
        <v>45088</v>
      </c>
      <c r="J85">
        <v>19</v>
      </c>
      <c r="K85">
        <v>1</v>
      </c>
      <c r="L85">
        <v>11</v>
      </c>
      <c r="M85">
        <v>195.73</v>
      </c>
      <c r="N85">
        <v>2153.0300000000002</v>
      </c>
      <c r="O85">
        <v>0.12</v>
      </c>
      <c r="P85">
        <v>258.36</v>
      </c>
      <c r="Q85">
        <v>1894.67</v>
      </c>
      <c r="R85">
        <v>1356.41</v>
      </c>
      <c r="S85">
        <v>538.26</v>
      </c>
    </row>
    <row r="86" spans="1:19" x14ac:dyDescent="0.35">
      <c r="A86">
        <v>100084</v>
      </c>
      <c r="B86">
        <v>2986</v>
      </c>
      <c r="C86" t="s">
        <v>28</v>
      </c>
      <c r="D86" t="s">
        <v>29</v>
      </c>
      <c r="E86" t="s">
        <v>34</v>
      </c>
      <c r="F86" t="s">
        <v>40</v>
      </c>
      <c r="G86" s="1">
        <v>45051</v>
      </c>
      <c r="H86" s="1">
        <v>45055</v>
      </c>
      <c r="I86" s="1">
        <v>45072</v>
      </c>
      <c r="J86">
        <v>21</v>
      </c>
      <c r="K86">
        <v>4</v>
      </c>
      <c r="L86">
        <v>10</v>
      </c>
      <c r="M86">
        <v>697.46</v>
      </c>
      <c r="N86">
        <v>6974.6</v>
      </c>
      <c r="O86">
        <v>0.11</v>
      </c>
      <c r="P86">
        <v>767.21</v>
      </c>
      <c r="Q86">
        <v>6207.39</v>
      </c>
      <c r="R86">
        <v>4533.49</v>
      </c>
      <c r="S86">
        <v>1673.9</v>
      </c>
    </row>
    <row r="87" spans="1:19" x14ac:dyDescent="0.35">
      <c r="A87">
        <v>100085</v>
      </c>
      <c r="B87">
        <v>3115</v>
      </c>
      <c r="C87" t="s">
        <v>19</v>
      </c>
      <c r="D87" t="s">
        <v>31</v>
      </c>
      <c r="E87" t="s">
        <v>21</v>
      </c>
      <c r="F87" t="s">
        <v>22</v>
      </c>
      <c r="G87" s="1">
        <v>45203</v>
      </c>
      <c r="H87" s="1">
        <v>45205</v>
      </c>
      <c r="I87" s="1">
        <v>45229</v>
      </c>
      <c r="J87">
        <v>26</v>
      </c>
      <c r="K87">
        <v>2</v>
      </c>
      <c r="L87">
        <v>12</v>
      </c>
      <c r="M87">
        <v>180.05</v>
      </c>
      <c r="N87">
        <v>2160.6</v>
      </c>
      <c r="O87">
        <v>0.08</v>
      </c>
      <c r="P87">
        <v>172.85</v>
      </c>
      <c r="Q87">
        <v>1987.75</v>
      </c>
      <c r="R87">
        <v>1339.57</v>
      </c>
      <c r="S87">
        <v>648.17999999999995</v>
      </c>
    </row>
    <row r="88" spans="1:19" x14ac:dyDescent="0.35">
      <c r="A88">
        <v>100086</v>
      </c>
      <c r="B88">
        <v>2594</v>
      </c>
      <c r="C88" t="s">
        <v>19</v>
      </c>
      <c r="D88" t="s">
        <v>29</v>
      </c>
      <c r="E88" t="s">
        <v>21</v>
      </c>
      <c r="F88" t="s">
        <v>39</v>
      </c>
      <c r="G88" s="1">
        <v>45236</v>
      </c>
      <c r="H88" s="1">
        <v>45240</v>
      </c>
      <c r="I88" s="1">
        <v>45260</v>
      </c>
      <c r="J88">
        <v>24</v>
      </c>
      <c r="K88">
        <v>4</v>
      </c>
      <c r="L88">
        <v>13</v>
      </c>
      <c r="M88">
        <v>735.11</v>
      </c>
      <c r="N88">
        <v>9556.43</v>
      </c>
      <c r="O88">
        <v>0.13</v>
      </c>
      <c r="P88">
        <v>1242.3399999999999</v>
      </c>
      <c r="Q88">
        <v>8314.09</v>
      </c>
      <c r="R88">
        <v>5542.73</v>
      </c>
      <c r="S88">
        <v>2771.36</v>
      </c>
    </row>
    <row r="89" spans="1:19" x14ac:dyDescent="0.35">
      <c r="A89">
        <v>100087</v>
      </c>
      <c r="B89">
        <v>2249</v>
      </c>
      <c r="C89" t="s">
        <v>33</v>
      </c>
      <c r="D89" t="s">
        <v>20</v>
      </c>
      <c r="E89" t="s">
        <v>24</v>
      </c>
      <c r="F89" t="s">
        <v>25</v>
      </c>
      <c r="G89" s="1">
        <v>45242</v>
      </c>
      <c r="H89" s="1">
        <v>45244</v>
      </c>
      <c r="I89" s="1">
        <v>45267</v>
      </c>
      <c r="J89">
        <v>25</v>
      </c>
      <c r="K89">
        <v>2</v>
      </c>
      <c r="L89">
        <v>14</v>
      </c>
      <c r="M89">
        <v>547.42999999999995</v>
      </c>
      <c r="N89">
        <v>7664.02</v>
      </c>
      <c r="O89">
        <v>0.09</v>
      </c>
      <c r="P89">
        <v>689.76</v>
      </c>
      <c r="Q89">
        <v>6974.26</v>
      </c>
      <c r="R89">
        <v>4981.6099999999997</v>
      </c>
      <c r="S89">
        <v>1992.65</v>
      </c>
    </row>
    <row r="90" spans="1:19" x14ac:dyDescent="0.35">
      <c r="A90">
        <v>100088</v>
      </c>
      <c r="B90">
        <v>4585</v>
      </c>
      <c r="C90" t="s">
        <v>23</v>
      </c>
      <c r="D90" t="s">
        <v>20</v>
      </c>
      <c r="E90" t="s">
        <v>26</v>
      </c>
      <c r="F90" t="s">
        <v>44</v>
      </c>
      <c r="G90" s="1">
        <v>44962</v>
      </c>
      <c r="H90" s="1">
        <v>44963</v>
      </c>
      <c r="I90" s="1">
        <v>44977</v>
      </c>
      <c r="J90">
        <v>15</v>
      </c>
      <c r="K90">
        <v>1</v>
      </c>
      <c r="L90">
        <v>13</v>
      </c>
      <c r="M90">
        <v>339.82</v>
      </c>
      <c r="N90">
        <v>4417.66</v>
      </c>
      <c r="O90">
        <v>0.13</v>
      </c>
      <c r="P90">
        <v>574.29999999999995</v>
      </c>
      <c r="Q90">
        <v>3843.36</v>
      </c>
      <c r="R90">
        <v>3004.01</v>
      </c>
      <c r="S90">
        <v>839.35</v>
      </c>
    </row>
    <row r="91" spans="1:19" x14ac:dyDescent="0.35">
      <c r="A91">
        <v>100089</v>
      </c>
      <c r="B91">
        <v>3709</v>
      </c>
      <c r="C91" t="s">
        <v>19</v>
      </c>
      <c r="D91" t="s">
        <v>20</v>
      </c>
      <c r="E91" t="s">
        <v>26</v>
      </c>
      <c r="F91" t="s">
        <v>37</v>
      </c>
      <c r="G91" s="1">
        <v>45231</v>
      </c>
      <c r="H91" s="1">
        <v>45232</v>
      </c>
      <c r="I91" s="1">
        <v>45253</v>
      </c>
      <c r="J91">
        <v>22</v>
      </c>
      <c r="K91">
        <v>1</v>
      </c>
      <c r="L91">
        <v>13</v>
      </c>
      <c r="M91">
        <v>690.08</v>
      </c>
      <c r="N91">
        <v>8971.0400000000009</v>
      </c>
      <c r="O91">
        <v>0.11</v>
      </c>
      <c r="P91">
        <v>986.81</v>
      </c>
      <c r="Q91">
        <v>7984.23</v>
      </c>
      <c r="R91">
        <v>6369.44</v>
      </c>
      <c r="S91">
        <v>1614.79</v>
      </c>
    </row>
    <row r="92" spans="1:19" x14ac:dyDescent="0.35">
      <c r="A92">
        <v>100090</v>
      </c>
      <c r="B92">
        <v>1396</v>
      </c>
      <c r="C92" t="s">
        <v>28</v>
      </c>
      <c r="D92" t="s">
        <v>20</v>
      </c>
      <c r="E92" t="s">
        <v>21</v>
      </c>
      <c r="F92" t="s">
        <v>39</v>
      </c>
      <c r="G92" s="1">
        <v>45187</v>
      </c>
      <c r="H92" s="1">
        <v>45191</v>
      </c>
      <c r="I92" s="1">
        <v>45194</v>
      </c>
      <c r="J92">
        <v>7</v>
      </c>
      <c r="K92">
        <v>4</v>
      </c>
      <c r="L92">
        <v>12</v>
      </c>
      <c r="M92">
        <v>215.26</v>
      </c>
      <c r="N92">
        <v>2583.12</v>
      </c>
      <c r="O92">
        <v>0.11</v>
      </c>
      <c r="P92">
        <v>284.14</v>
      </c>
      <c r="Q92">
        <v>2298.98</v>
      </c>
      <c r="R92">
        <v>1549.87</v>
      </c>
      <c r="S92">
        <v>749.11</v>
      </c>
    </row>
    <row r="93" spans="1:19" x14ac:dyDescent="0.35">
      <c r="A93">
        <v>100091</v>
      </c>
      <c r="B93">
        <v>4561</v>
      </c>
      <c r="C93" t="s">
        <v>28</v>
      </c>
      <c r="D93" t="s">
        <v>20</v>
      </c>
      <c r="E93" t="s">
        <v>34</v>
      </c>
      <c r="F93" t="s">
        <v>35</v>
      </c>
      <c r="G93" s="1">
        <v>45226</v>
      </c>
      <c r="H93" s="1">
        <v>45231</v>
      </c>
      <c r="I93" s="1">
        <v>45234</v>
      </c>
      <c r="J93">
        <v>8</v>
      </c>
      <c r="K93">
        <v>5</v>
      </c>
      <c r="L93">
        <v>3</v>
      </c>
      <c r="M93">
        <v>55.16</v>
      </c>
      <c r="N93">
        <v>165.48</v>
      </c>
      <c r="O93">
        <v>0.04</v>
      </c>
      <c r="P93">
        <v>6.62</v>
      </c>
      <c r="Q93">
        <v>158.86000000000001</v>
      </c>
      <c r="R93">
        <v>105.91</v>
      </c>
      <c r="S93">
        <v>52.95</v>
      </c>
    </row>
    <row r="94" spans="1:19" x14ac:dyDescent="0.35">
      <c r="A94">
        <v>100092</v>
      </c>
      <c r="B94">
        <v>2072</v>
      </c>
      <c r="C94" t="s">
        <v>28</v>
      </c>
      <c r="D94" t="s">
        <v>31</v>
      </c>
      <c r="E94" t="s">
        <v>21</v>
      </c>
      <c r="F94" t="s">
        <v>41</v>
      </c>
      <c r="G94" s="1">
        <v>45177</v>
      </c>
      <c r="H94" s="1">
        <v>45180</v>
      </c>
      <c r="I94" s="1">
        <v>45194</v>
      </c>
      <c r="J94">
        <v>17</v>
      </c>
      <c r="K94">
        <v>3</v>
      </c>
      <c r="L94">
        <v>11</v>
      </c>
      <c r="M94">
        <v>435.85</v>
      </c>
      <c r="N94">
        <v>4794.3500000000004</v>
      </c>
      <c r="O94">
        <v>0.13</v>
      </c>
      <c r="P94">
        <v>623.27</v>
      </c>
      <c r="Q94">
        <v>4171.08</v>
      </c>
      <c r="R94">
        <v>2541.0100000000002</v>
      </c>
      <c r="S94">
        <v>1630.07</v>
      </c>
    </row>
    <row r="95" spans="1:19" x14ac:dyDescent="0.35">
      <c r="A95">
        <v>100093</v>
      </c>
      <c r="B95">
        <v>3657</v>
      </c>
      <c r="C95" t="s">
        <v>19</v>
      </c>
      <c r="D95" t="s">
        <v>29</v>
      </c>
      <c r="E95" t="s">
        <v>26</v>
      </c>
      <c r="F95" t="s">
        <v>27</v>
      </c>
      <c r="G95" s="1">
        <v>44981</v>
      </c>
      <c r="H95" s="1">
        <v>44986</v>
      </c>
      <c r="I95" s="1">
        <v>45010</v>
      </c>
      <c r="J95">
        <v>29</v>
      </c>
      <c r="K95">
        <v>5</v>
      </c>
      <c r="L95">
        <v>8</v>
      </c>
      <c r="M95">
        <v>314.61</v>
      </c>
      <c r="N95">
        <v>2516.88</v>
      </c>
      <c r="O95">
        <v>0.01</v>
      </c>
      <c r="P95">
        <v>25.17</v>
      </c>
      <c r="Q95">
        <v>2491.71</v>
      </c>
      <c r="R95">
        <v>1459.79</v>
      </c>
      <c r="S95">
        <v>1031.92</v>
      </c>
    </row>
    <row r="96" spans="1:19" x14ac:dyDescent="0.35">
      <c r="A96">
        <v>100094</v>
      </c>
      <c r="B96">
        <v>4802</v>
      </c>
      <c r="C96" t="s">
        <v>28</v>
      </c>
      <c r="D96" t="s">
        <v>31</v>
      </c>
      <c r="E96" t="s">
        <v>24</v>
      </c>
      <c r="F96" t="s">
        <v>25</v>
      </c>
      <c r="G96" s="1">
        <v>44970</v>
      </c>
      <c r="H96" s="1">
        <v>44973</v>
      </c>
      <c r="I96" s="1">
        <v>44991</v>
      </c>
      <c r="J96">
        <v>21</v>
      </c>
      <c r="K96">
        <v>3</v>
      </c>
      <c r="L96">
        <v>11</v>
      </c>
      <c r="M96">
        <v>570.72</v>
      </c>
      <c r="N96">
        <v>6277.92</v>
      </c>
      <c r="O96">
        <v>0.05</v>
      </c>
      <c r="P96">
        <v>313.89999999999998</v>
      </c>
      <c r="Q96">
        <v>5964.02</v>
      </c>
      <c r="R96">
        <v>3390.08</v>
      </c>
      <c r="S96">
        <v>2573.94</v>
      </c>
    </row>
    <row r="97" spans="1:19" x14ac:dyDescent="0.35">
      <c r="A97">
        <v>100095</v>
      </c>
      <c r="B97">
        <v>1728</v>
      </c>
      <c r="C97" t="s">
        <v>33</v>
      </c>
      <c r="D97" t="s">
        <v>20</v>
      </c>
      <c r="E97" t="s">
        <v>26</v>
      </c>
      <c r="F97" t="s">
        <v>37</v>
      </c>
      <c r="G97" s="1">
        <v>45142</v>
      </c>
      <c r="H97" s="1">
        <v>45143</v>
      </c>
      <c r="I97" s="1">
        <v>45147</v>
      </c>
      <c r="J97">
        <v>5</v>
      </c>
      <c r="K97">
        <v>1</v>
      </c>
      <c r="L97">
        <v>8</v>
      </c>
      <c r="M97">
        <v>349.14</v>
      </c>
      <c r="N97">
        <v>2793.12</v>
      </c>
      <c r="O97">
        <v>0.02</v>
      </c>
      <c r="P97">
        <v>55.86</v>
      </c>
      <c r="Q97">
        <v>2737.26</v>
      </c>
      <c r="R97">
        <v>1759.67</v>
      </c>
      <c r="S97">
        <v>977.59</v>
      </c>
    </row>
    <row r="98" spans="1:19" x14ac:dyDescent="0.35">
      <c r="A98">
        <v>100096</v>
      </c>
      <c r="B98">
        <v>2530</v>
      </c>
      <c r="C98" t="s">
        <v>19</v>
      </c>
      <c r="D98" t="s">
        <v>29</v>
      </c>
      <c r="E98" t="s">
        <v>21</v>
      </c>
      <c r="F98" t="s">
        <v>22</v>
      </c>
      <c r="G98" s="1">
        <v>44966</v>
      </c>
      <c r="H98" s="1">
        <v>44969</v>
      </c>
      <c r="I98" s="1">
        <v>44980</v>
      </c>
      <c r="J98">
        <v>14</v>
      </c>
      <c r="K98">
        <v>3</v>
      </c>
      <c r="L98">
        <v>2</v>
      </c>
      <c r="M98">
        <v>67.209999999999994</v>
      </c>
      <c r="N98">
        <v>134.41999999999999</v>
      </c>
      <c r="O98">
        <v>0</v>
      </c>
      <c r="P98">
        <v>0</v>
      </c>
      <c r="Q98">
        <v>134.41999999999999</v>
      </c>
      <c r="R98">
        <v>83.34</v>
      </c>
      <c r="S98">
        <v>51.08</v>
      </c>
    </row>
    <row r="99" spans="1:19" x14ac:dyDescent="0.35">
      <c r="A99">
        <v>100097</v>
      </c>
      <c r="B99">
        <v>2331</v>
      </c>
      <c r="C99" t="s">
        <v>23</v>
      </c>
      <c r="D99" t="s">
        <v>29</v>
      </c>
      <c r="E99" t="s">
        <v>24</v>
      </c>
      <c r="F99" t="s">
        <v>42</v>
      </c>
      <c r="G99" s="1">
        <v>45058</v>
      </c>
      <c r="H99" s="1">
        <v>45059</v>
      </c>
      <c r="I99" s="1">
        <v>45075</v>
      </c>
      <c r="J99">
        <v>17</v>
      </c>
      <c r="K99">
        <v>1</v>
      </c>
      <c r="L99">
        <v>13</v>
      </c>
      <c r="M99">
        <v>246.85</v>
      </c>
      <c r="N99">
        <v>3209.05</v>
      </c>
      <c r="O99">
        <v>0.09</v>
      </c>
      <c r="P99">
        <v>288.81</v>
      </c>
      <c r="Q99">
        <v>2920.24</v>
      </c>
      <c r="R99">
        <v>2182.15</v>
      </c>
      <c r="S99">
        <v>738.09</v>
      </c>
    </row>
    <row r="100" spans="1:19" x14ac:dyDescent="0.35">
      <c r="A100">
        <v>100098</v>
      </c>
      <c r="B100">
        <v>1377</v>
      </c>
      <c r="C100" t="s">
        <v>33</v>
      </c>
      <c r="D100" t="s">
        <v>29</v>
      </c>
      <c r="E100" t="s">
        <v>26</v>
      </c>
      <c r="F100" t="s">
        <v>36</v>
      </c>
      <c r="G100" s="1">
        <v>45262</v>
      </c>
      <c r="H100" s="1">
        <v>45267</v>
      </c>
      <c r="I100" s="1">
        <v>45276</v>
      </c>
      <c r="J100">
        <v>14</v>
      </c>
      <c r="K100">
        <v>5</v>
      </c>
      <c r="L100">
        <v>1</v>
      </c>
      <c r="M100">
        <v>584.69000000000005</v>
      </c>
      <c r="N100">
        <v>584.69000000000005</v>
      </c>
      <c r="O100">
        <v>0.06</v>
      </c>
      <c r="P100">
        <v>35.08</v>
      </c>
      <c r="Q100">
        <v>549.61</v>
      </c>
      <c r="R100">
        <v>344.97</v>
      </c>
      <c r="S100">
        <v>204.64</v>
      </c>
    </row>
    <row r="101" spans="1:19" x14ac:dyDescent="0.35">
      <c r="A101">
        <v>100099</v>
      </c>
      <c r="B101">
        <v>4544</v>
      </c>
      <c r="C101" t="s">
        <v>23</v>
      </c>
      <c r="D101" t="s">
        <v>31</v>
      </c>
      <c r="E101" t="s">
        <v>21</v>
      </c>
      <c r="F101" t="s">
        <v>41</v>
      </c>
      <c r="G101" s="1">
        <v>45212</v>
      </c>
      <c r="H101" s="1">
        <v>45217</v>
      </c>
      <c r="I101" s="1">
        <v>45218</v>
      </c>
      <c r="J101">
        <v>6</v>
      </c>
      <c r="K101">
        <v>5</v>
      </c>
      <c r="L101">
        <v>5</v>
      </c>
      <c r="M101">
        <v>799.22</v>
      </c>
      <c r="N101">
        <v>3996.1</v>
      </c>
      <c r="O101">
        <v>7.0000000000000007E-2</v>
      </c>
      <c r="P101">
        <v>279.73</v>
      </c>
      <c r="Q101">
        <v>3716.37</v>
      </c>
      <c r="R101">
        <v>2517.54</v>
      </c>
      <c r="S101">
        <v>1198.83</v>
      </c>
    </row>
    <row r="102" spans="1:19" x14ac:dyDescent="0.35">
      <c r="A102">
        <v>100100</v>
      </c>
      <c r="B102">
        <v>3530</v>
      </c>
      <c r="C102" t="s">
        <v>19</v>
      </c>
      <c r="D102" t="s">
        <v>20</v>
      </c>
      <c r="E102" t="s">
        <v>26</v>
      </c>
      <c r="F102" t="s">
        <v>44</v>
      </c>
      <c r="G102" s="1">
        <v>45063</v>
      </c>
      <c r="H102" s="1">
        <v>45064</v>
      </c>
      <c r="I102" s="1">
        <v>45076</v>
      </c>
      <c r="J102">
        <v>13</v>
      </c>
      <c r="K102">
        <v>1</v>
      </c>
      <c r="L102">
        <v>13</v>
      </c>
      <c r="M102">
        <v>424.94</v>
      </c>
      <c r="N102">
        <v>5524.22</v>
      </c>
      <c r="O102">
        <v>0.02</v>
      </c>
      <c r="P102">
        <v>110.48</v>
      </c>
      <c r="Q102">
        <v>5413.74</v>
      </c>
      <c r="R102">
        <v>3369.77</v>
      </c>
      <c r="S102">
        <v>2043.97</v>
      </c>
    </row>
    <row r="103" spans="1:19" x14ac:dyDescent="0.35">
      <c r="A103">
        <v>100101</v>
      </c>
      <c r="B103">
        <v>1678</v>
      </c>
      <c r="C103" t="s">
        <v>33</v>
      </c>
      <c r="D103" t="s">
        <v>31</v>
      </c>
      <c r="E103" t="s">
        <v>24</v>
      </c>
      <c r="F103" t="s">
        <v>32</v>
      </c>
      <c r="G103" s="1">
        <v>44981</v>
      </c>
      <c r="H103" s="1">
        <v>44984</v>
      </c>
      <c r="I103" s="1">
        <v>44999</v>
      </c>
      <c r="J103">
        <v>18</v>
      </c>
      <c r="K103">
        <v>3</v>
      </c>
      <c r="L103">
        <v>1</v>
      </c>
      <c r="M103">
        <v>382.87</v>
      </c>
      <c r="N103">
        <v>382.87</v>
      </c>
      <c r="O103">
        <v>0.11</v>
      </c>
      <c r="P103">
        <v>42.12</v>
      </c>
      <c r="Q103">
        <v>340.75</v>
      </c>
      <c r="R103">
        <v>252.69</v>
      </c>
      <c r="S103">
        <v>88.06</v>
      </c>
    </row>
    <row r="104" spans="1:19" x14ac:dyDescent="0.35">
      <c r="A104">
        <v>100102</v>
      </c>
      <c r="B104">
        <v>4515</v>
      </c>
      <c r="C104" t="s">
        <v>19</v>
      </c>
      <c r="D104" t="s">
        <v>20</v>
      </c>
      <c r="E104" t="s">
        <v>34</v>
      </c>
      <c r="F104" t="s">
        <v>35</v>
      </c>
      <c r="G104" s="1">
        <v>45093</v>
      </c>
      <c r="H104" s="1">
        <v>45095</v>
      </c>
      <c r="I104" s="1">
        <v>45106</v>
      </c>
      <c r="J104">
        <v>13</v>
      </c>
      <c r="K104">
        <v>2</v>
      </c>
      <c r="L104">
        <v>11</v>
      </c>
      <c r="M104">
        <v>653.83000000000004</v>
      </c>
      <c r="N104">
        <v>7192.13</v>
      </c>
      <c r="O104">
        <v>0</v>
      </c>
      <c r="P104">
        <v>0</v>
      </c>
      <c r="Q104">
        <v>7192.13</v>
      </c>
      <c r="R104">
        <v>4099.51</v>
      </c>
      <c r="S104">
        <v>3092.62</v>
      </c>
    </row>
    <row r="105" spans="1:19" x14ac:dyDescent="0.35">
      <c r="A105">
        <v>100103</v>
      </c>
      <c r="B105">
        <v>4272</v>
      </c>
      <c r="C105" t="s">
        <v>19</v>
      </c>
      <c r="D105" t="s">
        <v>29</v>
      </c>
      <c r="E105" t="s">
        <v>34</v>
      </c>
      <c r="F105" t="s">
        <v>43</v>
      </c>
      <c r="G105" s="1">
        <v>45125</v>
      </c>
      <c r="H105" s="1">
        <v>45128</v>
      </c>
      <c r="I105" s="1">
        <v>45147</v>
      </c>
      <c r="J105">
        <v>22</v>
      </c>
      <c r="K105">
        <v>3</v>
      </c>
      <c r="L105">
        <v>14</v>
      </c>
      <c r="M105">
        <v>767.69</v>
      </c>
      <c r="N105">
        <v>10747.66</v>
      </c>
      <c r="O105">
        <v>7.0000000000000007E-2</v>
      </c>
      <c r="P105">
        <v>752.34</v>
      </c>
      <c r="Q105">
        <v>9995.32</v>
      </c>
      <c r="R105">
        <v>7093.46</v>
      </c>
      <c r="S105">
        <v>2901.86</v>
      </c>
    </row>
    <row r="106" spans="1:19" x14ac:dyDescent="0.35">
      <c r="A106">
        <v>100104</v>
      </c>
      <c r="B106">
        <v>2019</v>
      </c>
      <c r="C106" t="s">
        <v>28</v>
      </c>
      <c r="D106" t="s">
        <v>29</v>
      </c>
      <c r="E106" t="s">
        <v>26</v>
      </c>
      <c r="F106" t="s">
        <v>36</v>
      </c>
      <c r="G106" s="1">
        <v>45076</v>
      </c>
      <c r="H106" s="1">
        <v>45080</v>
      </c>
      <c r="I106" s="1">
        <v>45095</v>
      </c>
      <c r="J106">
        <v>19</v>
      </c>
      <c r="K106">
        <v>4</v>
      </c>
      <c r="L106">
        <v>1</v>
      </c>
      <c r="M106">
        <v>554.77</v>
      </c>
      <c r="N106">
        <v>554.77</v>
      </c>
      <c r="O106">
        <v>0</v>
      </c>
      <c r="P106">
        <v>0</v>
      </c>
      <c r="Q106">
        <v>554.77</v>
      </c>
      <c r="R106">
        <v>382.79</v>
      </c>
      <c r="S106">
        <v>171.98</v>
      </c>
    </row>
    <row r="107" spans="1:19" x14ac:dyDescent="0.35">
      <c r="A107">
        <v>100105</v>
      </c>
      <c r="B107">
        <v>1027</v>
      </c>
      <c r="C107" t="s">
        <v>28</v>
      </c>
      <c r="D107" t="s">
        <v>31</v>
      </c>
      <c r="E107" t="s">
        <v>26</v>
      </c>
      <c r="F107" t="s">
        <v>37</v>
      </c>
      <c r="G107" s="1">
        <v>44971</v>
      </c>
      <c r="H107" s="1">
        <v>44972</v>
      </c>
      <c r="I107" s="1">
        <v>44999</v>
      </c>
      <c r="J107">
        <v>28</v>
      </c>
      <c r="K107">
        <v>1</v>
      </c>
      <c r="L107">
        <v>13</v>
      </c>
      <c r="M107">
        <v>507.17</v>
      </c>
      <c r="N107">
        <v>6593.21</v>
      </c>
      <c r="O107">
        <v>0.08</v>
      </c>
      <c r="P107">
        <v>527.46</v>
      </c>
      <c r="Q107">
        <v>6065.75</v>
      </c>
      <c r="R107">
        <v>4087.79</v>
      </c>
      <c r="S107">
        <v>1977.96</v>
      </c>
    </row>
    <row r="108" spans="1:19" x14ac:dyDescent="0.35">
      <c r="A108">
        <v>100106</v>
      </c>
      <c r="B108">
        <v>3679</v>
      </c>
      <c r="C108" t="s">
        <v>23</v>
      </c>
      <c r="D108" t="s">
        <v>20</v>
      </c>
      <c r="E108" t="s">
        <v>24</v>
      </c>
      <c r="F108" t="s">
        <v>25</v>
      </c>
      <c r="G108" s="1">
        <v>45062</v>
      </c>
      <c r="H108" s="1">
        <v>45064</v>
      </c>
      <c r="I108" s="1">
        <v>45071</v>
      </c>
      <c r="J108">
        <v>9</v>
      </c>
      <c r="K108">
        <v>2</v>
      </c>
      <c r="L108">
        <v>11</v>
      </c>
      <c r="M108">
        <v>609.54</v>
      </c>
      <c r="N108">
        <v>6704.94</v>
      </c>
      <c r="O108">
        <v>0.11</v>
      </c>
      <c r="P108">
        <v>737.54</v>
      </c>
      <c r="Q108">
        <v>5967.4</v>
      </c>
      <c r="R108">
        <v>3754.77</v>
      </c>
      <c r="S108">
        <v>2212.63</v>
      </c>
    </row>
    <row r="109" spans="1:19" x14ac:dyDescent="0.35">
      <c r="A109">
        <v>100107</v>
      </c>
      <c r="B109">
        <v>2196</v>
      </c>
      <c r="C109" t="s">
        <v>19</v>
      </c>
      <c r="D109" t="s">
        <v>20</v>
      </c>
      <c r="E109" t="s">
        <v>34</v>
      </c>
      <c r="F109" t="s">
        <v>45</v>
      </c>
      <c r="G109" s="1">
        <v>45136</v>
      </c>
      <c r="H109" s="1">
        <v>45137</v>
      </c>
      <c r="I109" s="1">
        <v>45163</v>
      </c>
      <c r="J109">
        <v>27</v>
      </c>
      <c r="K109">
        <v>1</v>
      </c>
      <c r="L109">
        <v>12</v>
      </c>
      <c r="M109">
        <v>792.11</v>
      </c>
      <c r="N109">
        <v>9505.32</v>
      </c>
      <c r="O109">
        <v>0.06</v>
      </c>
      <c r="P109">
        <v>570.32000000000005</v>
      </c>
      <c r="Q109">
        <v>8935</v>
      </c>
      <c r="R109">
        <v>5322.98</v>
      </c>
      <c r="S109">
        <v>3612.02</v>
      </c>
    </row>
    <row r="110" spans="1:19" x14ac:dyDescent="0.35">
      <c r="A110">
        <v>100108</v>
      </c>
      <c r="B110">
        <v>3306</v>
      </c>
      <c r="C110" t="s">
        <v>19</v>
      </c>
      <c r="D110" t="s">
        <v>20</v>
      </c>
      <c r="E110" t="s">
        <v>34</v>
      </c>
      <c r="F110" t="s">
        <v>40</v>
      </c>
      <c r="G110" s="1">
        <v>45124</v>
      </c>
      <c r="H110" s="1">
        <v>45129</v>
      </c>
      <c r="I110" s="1">
        <v>45143</v>
      </c>
      <c r="J110">
        <v>19</v>
      </c>
      <c r="K110">
        <v>5</v>
      </c>
      <c r="L110">
        <v>6</v>
      </c>
      <c r="M110">
        <v>319.89999999999998</v>
      </c>
      <c r="N110">
        <v>1919.4</v>
      </c>
      <c r="O110">
        <v>0.15</v>
      </c>
      <c r="P110">
        <v>287.91000000000003</v>
      </c>
      <c r="Q110">
        <v>1631.49</v>
      </c>
      <c r="R110">
        <v>1074.8599999999999</v>
      </c>
      <c r="S110">
        <v>556.63</v>
      </c>
    </row>
    <row r="111" spans="1:19" x14ac:dyDescent="0.35">
      <c r="A111">
        <v>100109</v>
      </c>
      <c r="B111">
        <v>2438</v>
      </c>
      <c r="C111" t="s">
        <v>23</v>
      </c>
      <c r="D111" t="s">
        <v>31</v>
      </c>
      <c r="E111" t="s">
        <v>24</v>
      </c>
      <c r="F111" t="s">
        <v>42</v>
      </c>
      <c r="G111" s="1">
        <v>45027</v>
      </c>
      <c r="H111" s="1">
        <v>45032</v>
      </c>
      <c r="I111" s="1">
        <v>45040</v>
      </c>
      <c r="J111">
        <v>13</v>
      </c>
      <c r="K111">
        <v>5</v>
      </c>
      <c r="L111">
        <v>14</v>
      </c>
      <c r="M111">
        <v>613.16999999999996</v>
      </c>
      <c r="N111">
        <v>8584.3799999999992</v>
      </c>
      <c r="O111">
        <v>0.11</v>
      </c>
      <c r="P111">
        <v>944.28</v>
      </c>
      <c r="Q111">
        <v>7640.1</v>
      </c>
      <c r="R111">
        <v>5579.85</v>
      </c>
      <c r="S111">
        <v>2060.25</v>
      </c>
    </row>
    <row r="112" spans="1:19" x14ac:dyDescent="0.35">
      <c r="A112">
        <v>100110</v>
      </c>
      <c r="B112">
        <v>4811</v>
      </c>
      <c r="C112" t="s">
        <v>19</v>
      </c>
      <c r="D112" t="s">
        <v>20</v>
      </c>
      <c r="E112" t="s">
        <v>26</v>
      </c>
      <c r="F112" t="s">
        <v>37</v>
      </c>
      <c r="G112" s="1">
        <v>45107</v>
      </c>
      <c r="H112" s="1">
        <v>45108</v>
      </c>
      <c r="I112" s="1">
        <v>45125</v>
      </c>
      <c r="J112">
        <v>18</v>
      </c>
      <c r="K112">
        <v>1</v>
      </c>
      <c r="L112">
        <v>3</v>
      </c>
      <c r="M112">
        <v>61.07</v>
      </c>
      <c r="N112">
        <v>183.21</v>
      </c>
      <c r="O112">
        <v>0.04</v>
      </c>
      <c r="P112">
        <v>7.33</v>
      </c>
      <c r="Q112">
        <v>175.88</v>
      </c>
      <c r="R112">
        <v>126.41</v>
      </c>
      <c r="S112">
        <v>49.47</v>
      </c>
    </row>
    <row r="113" spans="1:19" x14ac:dyDescent="0.35">
      <c r="A113">
        <v>100111</v>
      </c>
      <c r="B113">
        <v>3189</v>
      </c>
      <c r="C113" t="s">
        <v>19</v>
      </c>
      <c r="D113" t="s">
        <v>20</v>
      </c>
      <c r="E113" t="s">
        <v>24</v>
      </c>
      <c r="F113" t="s">
        <v>25</v>
      </c>
      <c r="G113" s="1">
        <v>45096</v>
      </c>
      <c r="H113" s="1">
        <v>45101</v>
      </c>
      <c r="I113" s="1">
        <v>45115</v>
      </c>
      <c r="J113">
        <v>19</v>
      </c>
      <c r="K113">
        <v>5</v>
      </c>
      <c r="L113">
        <v>8</v>
      </c>
      <c r="M113">
        <v>449.61</v>
      </c>
      <c r="N113">
        <v>3596.88</v>
      </c>
      <c r="O113">
        <v>0.14000000000000001</v>
      </c>
      <c r="P113">
        <v>503.56</v>
      </c>
      <c r="Q113">
        <v>3093.32</v>
      </c>
      <c r="R113">
        <v>2589.75</v>
      </c>
      <c r="S113">
        <v>503.57</v>
      </c>
    </row>
    <row r="114" spans="1:19" x14ac:dyDescent="0.35">
      <c r="A114">
        <v>100112</v>
      </c>
      <c r="B114">
        <v>4456</v>
      </c>
      <c r="C114" t="s">
        <v>23</v>
      </c>
      <c r="D114" t="s">
        <v>29</v>
      </c>
      <c r="E114" t="s">
        <v>34</v>
      </c>
      <c r="F114" t="s">
        <v>45</v>
      </c>
      <c r="G114" s="1">
        <v>44956</v>
      </c>
      <c r="H114" s="1">
        <v>44957</v>
      </c>
      <c r="I114" s="1">
        <v>44976</v>
      </c>
      <c r="J114">
        <v>20</v>
      </c>
      <c r="K114">
        <v>1</v>
      </c>
      <c r="L114">
        <v>2</v>
      </c>
      <c r="M114">
        <v>592.84</v>
      </c>
      <c r="N114">
        <v>1185.68</v>
      </c>
      <c r="O114">
        <v>0.09</v>
      </c>
      <c r="P114">
        <v>106.71</v>
      </c>
      <c r="Q114">
        <v>1078.97</v>
      </c>
      <c r="R114">
        <v>711.41</v>
      </c>
      <c r="S114">
        <v>367.56</v>
      </c>
    </row>
    <row r="115" spans="1:19" x14ac:dyDescent="0.35">
      <c r="A115">
        <v>100113</v>
      </c>
      <c r="B115">
        <v>2795</v>
      </c>
      <c r="C115" t="s">
        <v>19</v>
      </c>
      <c r="D115" t="s">
        <v>20</v>
      </c>
      <c r="E115" t="s">
        <v>26</v>
      </c>
      <c r="F115" t="s">
        <v>44</v>
      </c>
      <c r="G115" s="1">
        <v>45209</v>
      </c>
      <c r="H115" s="1">
        <v>45212</v>
      </c>
      <c r="I115" s="1">
        <v>45220</v>
      </c>
      <c r="J115">
        <v>11</v>
      </c>
      <c r="K115">
        <v>3</v>
      </c>
      <c r="L115">
        <v>4</v>
      </c>
      <c r="M115">
        <v>401.99</v>
      </c>
      <c r="N115">
        <v>1607.96</v>
      </c>
      <c r="O115">
        <v>0</v>
      </c>
      <c r="P115">
        <v>0</v>
      </c>
      <c r="Q115">
        <v>1607.96</v>
      </c>
      <c r="R115">
        <v>1045.17</v>
      </c>
      <c r="S115">
        <v>562.79</v>
      </c>
    </row>
    <row r="116" spans="1:19" x14ac:dyDescent="0.35">
      <c r="A116">
        <v>100114</v>
      </c>
      <c r="B116">
        <v>2254</v>
      </c>
      <c r="C116" t="s">
        <v>19</v>
      </c>
      <c r="D116" t="s">
        <v>20</v>
      </c>
      <c r="E116" t="s">
        <v>34</v>
      </c>
      <c r="F116" t="s">
        <v>40</v>
      </c>
      <c r="G116" s="1">
        <v>45247</v>
      </c>
      <c r="H116" s="1">
        <v>45251</v>
      </c>
      <c r="I116" s="1">
        <v>45259</v>
      </c>
      <c r="J116">
        <v>12</v>
      </c>
      <c r="K116">
        <v>4</v>
      </c>
      <c r="L116">
        <v>14</v>
      </c>
      <c r="M116">
        <v>591.13</v>
      </c>
      <c r="N116">
        <v>8275.82</v>
      </c>
      <c r="O116">
        <v>0.06</v>
      </c>
      <c r="P116">
        <v>496.55</v>
      </c>
      <c r="Q116">
        <v>7779.27</v>
      </c>
      <c r="R116">
        <v>5048.25</v>
      </c>
      <c r="S116">
        <v>2731.02</v>
      </c>
    </row>
    <row r="117" spans="1:19" x14ac:dyDescent="0.35">
      <c r="A117">
        <v>100115</v>
      </c>
      <c r="B117">
        <v>2570</v>
      </c>
      <c r="C117" t="s">
        <v>33</v>
      </c>
      <c r="D117" t="s">
        <v>31</v>
      </c>
      <c r="E117" t="s">
        <v>21</v>
      </c>
      <c r="F117" t="s">
        <v>39</v>
      </c>
      <c r="G117" s="1">
        <v>45179</v>
      </c>
      <c r="H117" s="1">
        <v>45181</v>
      </c>
      <c r="I117" s="1">
        <v>45207</v>
      </c>
      <c r="J117">
        <v>28</v>
      </c>
      <c r="K117">
        <v>2</v>
      </c>
      <c r="L117">
        <v>10</v>
      </c>
      <c r="M117">
        <v>739.38</v>
      </c>
      <c r="N117">
        <v>7393.8</v>
      </c>
      <c r="O117">
        <v>0.06</v>
      </c>
      <c r="P117">
        <v>443.63</v>
      </c>
      <c r="Q117">
        <v>6950.17</v>
      </c>
      <c r="R117">
        <v>4140.53</v>
      </c>
      <c r="S117">
        <v>2809.64</v>
      </c>
    </row>
    <row r="118" spans="1:19" x14ac:dyDescent="0.35">
      <c r="A118">
        <v>100116</v>
      </c>
      <c r="B118">
        <v>1288</v>
      </c>
      <c r="C118" t="s">
        <v>19</v>
      </c>
      <c r="D118" t="s">
        <v>31</v>
      </c>
      <c r="E118" t="s">
        <v>21</v>
      </c>
      <c r="F118" t="s">
        <v>22</v>
      </c>
      <c r="G118" s="1">
        <v>45117</v>
      </c>
      <c r="H118" s="1">
        <v>45120</v>
      </c>
      <c r="I118" s="1">
        <v>45129</v>
      </c>
      <c r="J118">
        <v>12</v>
      </c>
      <c r="K118">
        <v>3</v>
      </c>
      <c r="L118">
        <v>3</v>
      </c>
      <c r="M118">
        <v>628.05999999999995</v>
      </c>
      <c r="N118">
        <v>1884.18</v>
      </c>
      <c r="O118">
        <v>0.09</v>
      </c>
      <c r="P118">
        <v>169.58</v>
      </c>
      <c r="Q118">
        <v>1714.6</v>
      </c>
      <c r="R118">
        <v>1073.98</v>
      </c>
      <c r="S118">
        <v>640.62</v>
      </c>
    </row>
    <row r="119" spans="1:19" x14ac:dyDescent="0.35">
      <c r="A119">
        <v>100117</v>
      </c>
      <c r="B119">
        <v>4103</v>
      </c>
      <c r="C119" t="s">
        <v>23</v>
      </c>
      <c r="D119" t="s">
        <v>31</v>
      </c>
      <c r="E119" t="s">
        <v>34</v>
      </c>
      <c r="F119" t="s">
        <v>40</v>
      </c>
      <c r="G119" s="1">
        <v>45141</v>
      </c>
      <c r="H119" s="1">
        <v>45146</v>
      </c>
      <c r="I119" s="1">
        <v>45165</v>
      </c>
      <c r="J119">
        <v>24</v>
      </c>
      <c r="K119">
        <v>5</v>
      </c>
      <c r="L119">
        <v>2</v>
      </c>
      <c r="M119">
        <v>229.87</v>
      </c>
      <c r="N119">
        <v>459.74</v>
      </c>
      <c r="O119">
        <v>0.1</v>
      </c>
      <c r="P119">
        <v>45.97</v>
      </c>
      <c r="Q119">
        <v>413.77</v>
      </c>
      <c r="R119">
        <v>289.64</v>
      </c>
      <c r="S119">
        <v>124.13</v>
      </c>
    </row>
    <row r="120" spans="1:19" x14ac:dyDescent="0.35">
      <c r="A120">
        <v>100118</v>
      </c>
      <c r="B120">
        <v>2161</v>
      </c>
      <c r="C120" t="s">
        <v>19</v>
      </c>
      <c r="D120" t="s">
        <v>29</v>
      </c>
      <c r="E120" t="s">
        <v>26</v>
      </c>
      <c r="F120" t="s">
        <v>37</v>
      </c>
      <c r="G120" s="1">
        <v>45153</v>
      </c>
      <c r="H120" s="1">
        <v>45157</v>
      </c>
      <c r="I120" s="1">
        <v>45167</v>
      </c>
      <c r="J120">
        <v>14</v>
      </c>
      <c r="K120">
        <v>4</v>
      </c>
      <c r="L120">
        <v>7</v>
      </c>
      <c r="M120">
        <v>710.94</v>
      </c>
      <c r="N120">
        <v>4976.58</v>
      </c>
      <c r="O120">
        <v>7.0000000000000007E-2</v>
      </c>
      <c r="P120">
        <v>348.36</v>
      </c>
      <c r="Q120">
        <v>4628.22</v>
      </c>
      <c r="R120">
        <v>2687.35</v>
      </c>
      <c r="S120">
        <v>1940.87</v>
      </c>
    </row>
    <row r="121" spans="1:19" x14ac:dyDescent="0.35">
      <c r="A121">
        <v>100119</v>
      </c>
      <c r="B121">
        <v>3234</v>
      </c>
      <c r="C121" t="s">
        <v>19</v>
      </c>
      <c r="D121" t="s">
        <v>29</v>
      </c>
      <c r="E121" t="s">
        <v>24</v>
      </c>
      <c r="F121" t="s">
        <v>42</v>
      </c>
      <c r="G121" s="1">
        <v>44939</v>
      </c>
      <c r="H121" s="1">
        <v>44942</v>
      </c>
      <c r="I121" s="1">
        <v>44960</v>
      </c>
      <c r="J121">
        <v>21</v>
      </c>
      <c r="K121">
        <v>3</v>
      </c>
      <c r="L121">
        <v>6</v>
      </c>
      <c r="M121">
        <v>348.85</v>
      </c>
      <c r="N121">
        <v>2093.1</v>
      </c>
      <c r="O121">
        <v>0.06</v>
      </c>
      <c r="P121">
        <v>125.59</v>
      </c>
      <c r="Q121">
        <v>1967.51</v>
      </c>
      <c r="R121">
        <v>1214</v>
      </c>
      <c r="S121">
        <v>753.51</v>
      </c>
    </row>
    <row r="122" spans="1:19" x14ac:dyDescent="0.35">
      <c r="A122">
        <v>100120</v>
      </c>
      <c r="B122">
        <v>3889</v>
      </c>
      <c r="C122" t="s">
        <v>23</v>
      </c>
      <c r="D122" t="s">
        <v>31</v>
      </c>
      <c r="E122" t="s">
        <v>34</v>
      </c>
      <c r="F122" t="s">
        <v>43</v>
      </c>
      <c r="G122" s="1">
        <v>45061</v>
      </c>
      <c r="H122" s="1">
        <v>45062</v>
      </c>
      <c r="I122" s="1">
        <v>45067</v>
      </c>
      <c r="J122">
        <v>6</v>
      </c>
      <c r="K122">
        <v>1</v>
      </c>
      <c r="L122">
        <v>14</v>
      </c>
      <c r="M122">
        <v>724.21</v>
      </c>
      <c r="N122">
        <v>10138.94</v>
      </c>
      <c r="O122">
        <v>0.04</v>
      </c>
      <c r="P122">
        <v>405.56</v>
      </c>
      <c r="Q122">
        <v>9733.3799999999992</v>
      </c>
      <c r="R122">
        <v>5576.42</v>
      </c>
      <c r="S122">
        <v>4156.96</v>
      </c>
    </row>
    <row r="123" spans="1:19" x14ac:dyDescent="0.35">
      <c r="A123">
        <v>100121</v>
      </c>
      <c r="B123">
        <v>1508</v>
      </c>
      <c r="C123" t="s">
        <v>23</v>
      </c>
      <c r="D123" t="s">
        <v>29</v>
      </c>
      <c r="E123" t="s">
        <v>34</v>
      </c>
      <c r="F123" t="s">
        <v>35</v>
      </c>
      <c r="G123" s="1">
        <v>45033</v>
      </c>
      <c r="H123" s="1">
        <v>45035</v>
      </c>
      <c r="I123" s="1">
        <v>45052</v>
      </c>
      <c r="J123">
        <v>19</v>
      </c>
      <c r="K123">
        <v>2</v>
      </c>
      <c r="L123">
        <v>2</v>
      </c>
      <c r="M123">
        <v>166.74</v>
      </c>
      <c r="N123">
        <v>333.48</v>
      </c>
      <c r="O123">
        <v>0.08</v>
      </c>
      <c r="P123">
        <v>26.68</v>
      </c>
      <c r="Q123">
        <v>306.8</v>
      </c>
      <c r="R123">
        <v>183.41</v>
      </c>
      <c r="S123">
        <v>123.39</v>
      </c>
    </row>
    <row r="124" spans="1:19" x14ac:dyDescent="0.35">
      <c r="A124">
        <v>100122</v>
      </c>
      <c r="B124">
        <v>1382</v>
      </c>
      <c r="C124" t="s">
        <v>33</v>
      </c>
      <c r="D124" t="s">
        <v>31</v>
      </c>
      <c r="E124" t="s">
        <v>21</v>
      </c>
      <c r="F124" t="s">
        <v>41</v>
      </c>
      <c r="G124" s="1">
        <v>45037</v>
      </c>
      <c r="H124" s="1">
        <v>45038</v>
      </c>
      <c r="I124" s="1">
        <v>45056</v>
      </c>
      <c r="J124">
        <v>19</v>
      </c>
      <c r="K124">
        <v>1</v>
      </c>
      <c r="L124">
        <v>3</v>
      </c>
      <c r="M124">
        <v>690.16</v>
      </c>
      <c r="N124">
        <v>2070.48</v>
      </c>
      <c r="O124">
        <v>0.1</v>
      </c>
      <c r="P124">
        <v>207.05</v>
      </c>
      <c r="Q124">
        <v>1863.43</v>
      </c>
      <c r="R124">
        <v>1200.8800000000001</v>
      </c>
      <c r="S124">
        <v>662.55</v>
      </c>
    </row>
    <row r="125" spans="1:19" x14ac:dyDescent="0.35">
      <c r="A125">
        <v>100123</v>
      </c>
      <c r="B125">
        <v>4952</v>
      </c>
      <c r="C125" t="s">
        <v>23</v>
      </c>
      <c r="D125" t="s">
        <v>20</v>
      </c>
      <c r="E125" t="s">
        <v>21</v>
      </c>
      <c r="F125" t="s">
        <v>39</v>
      </c>
      <c r="G125" s="1">
        <v>45276</v>
      </c>
      <c r="H125" s="1">
        <v>45277</v>
      </c>
      <c r="I125" s="1">
        <v>45279</v>
      </c>
      <c r="J125">
        <v>3</v>
      </c>
      <c r="K125">
        <v>1</v>
      </c>
      <c r="L125">
        <v>7</v>
      </c>
      <c r="M125">
        <v>515.23</v>
      </c>
      <c r="N125">
        <v>3606.61</v>
      </c>
      <c r="O125">
        <v>7.0000000000000007E-2</v>
      </c>
      <c r="P125">
        <v>252.46</v>
      </c>
      <c r="Q125">
        <v>3354.15</v>
      </c>
      <c r="R125">
        <v>1983.64</v>
      </c>
      <c r="S125">
        <v>1370.51</v>
      </c>
    </row>
    <row r="126" spans="1:19" x14ac:dyDescent="0.35">
      <c r="A126">
        <v>100124</v>
      </c>
      <c r="B126">
        <v>1425</v>
      </c>
      <c r="C126" t="s">
        <v>23</v>
      </c>
      <c r="D126" t="s">
        <v>20</v>
      </c>
      <c r="E126" t="s">
        <v>34</v>
      </c>
      <c r="F126" t="s">
        <v>35</v>
      </c>
      <c r="G126" s="1">
        <v>45161</v>
      </c>
      <c r="H126" s="1">
        <v>45164</v>
      </c>
      <c r="I126" s="1">
        <v>45170</v>
      </c>
      <c r="J126">
        <v>9</v>
      </c>
      <c r="K126">
        <v>3</v>
      </c>
      <c r="L126">
        <v>2</v>
      </c>
      <c r="M126">
        <v>716.5</v>
      </c>
      <c r="N126">
        <v>1433</v>
      </c>
      <c r="O126">
        <v>0.13</v>
      </c>
      <c r="P126">
        <v>186.29</v>
      </c>
      <c r="Q126">
        <v>1246.71</v>
      </c>
      <c r="R126">
        <v>931.45</v>
      </c>
      <c r="S126">
        <v>315.26</v>
      </c>
    </row>
    <row r="127" spans="1:19" x14ac:dyDescent="0.35">
      <c r="A127">
        <v>100125</v>
      </c>
      <c r="B127">
        <v>2645</v>
      </c>
      <c r="C127" t="s">
        <v>33</v>
      </c>
      <c r="D127" t="s">
        <v>31</v>
      </c>
      <c r="E127" t="s">
        <v>26</v>
      </c>
      <c r="F127" t="s">
        <v>27</v>
      </c>
      <c r="G127" s="1">
        <v>44944</v>
      </c>
      <c r="H127" s="1">
        <v>44948</v>
      </c>
      <c r="I127" s="1">
        <v>44967</v>
      </c>
      <c r="J127">
        <v>23</v>
      </c>
      <c r="K127">
        <v>4</v>
      </c>
      <c r="L127">
        <v>14</v>
      </c>
      <c r="M127">
        <v>791.8</v>
      </c>
      <c r="N127">
        <v>11085.2</v>
      </c>
      <c r="O127">
        <v>0</v>
      </c>
      <c r="P127">
        <v>0</v>
      </c>
      <c r="Q127">
        <v>11085.2</v>
      </c>
      <c r="R127">
        <v>7427.08</v>
      </c>
      <c r="S127">
        <v>3658.12</v>
      </c>
    </row>
    <row r="128" spans="1:19" x14ac:dyDescent="0.35">
      <c r="A128">
        <v>100126</v>
      </c>
      <c r="B128">
        <v>3209</v>
      </c>
      <c r="C128" t="s">
        <v>28</v>
      </c>
      <c r="D128" t="s">
        <v>29</v>
      </c>
      <c r="E128" t="s">
        <v>34</v>
      </c>
      <c r="F128" t="s">
        <v>45</v>
      </c>
      <c r="G128" s="1">
        <v>44932</v>
      </c>
      <c r="H128" s="1">
        <v>44934</v>
      </c>
      <c r="I128" s="1">
        <v>44960</v>
      </c>
      <c r="J128">
        <v>28</v>
      </c>
      <c r="K128">
        <v>2</v>
      </c>
      <c r="L128">
        <v>5</v>
      </c>
      <c r="M128">
        <v>629.17999999999995</v>
      </c>
      <c r="N128">
        <v>3145.9</v>
      </c>
      <c r="O128">
        <v>0.06</v>
      </c>
      <c r="P128">
        <v>188.75</v>
      </c>
      <c r="Q128">
        <v>2957.15</v>
      </c>
      <c r="R128">
        <v>2233.59</v>
      </c>
      <c r="S128">
        <v>723.56</v>
      </c>
    </row>
    <row r="129" spans="1:19" x14ac:dyDescent="0.35">
      <c r="A129">
        <v>100127</v>
      </c>
      <c r="B129">
        <v>2621</v>
      </c>
      <c r="C129" t="s">
        <v>19</v>
      </c>
      <c r="D129" t="s">
        <v>31</v>
      </c>
      <c r="E129" t="s">
        <v>26</v>
      </c>
      <c r="F129" t="s">
        <v>37</v>
      </c>
      <c r="G129" s="1">
        <v>45262</v>
      </c>
      <c r="H129" s="1">
        <v>45265</v>
      </c>
      <c r="I129" s="1">
        <v>45266</v>
      </c>
      <c r="J129">
        <v>4</v>
      </c>
      <c r="K129">
        <v>3</v>
      </c>
      <c r="L129">
        <v>2</v>
      </c>
      <c r="M129">
        <v>765.89</v>
      </c>
      <c r="N129">
        <v>1531.78</v>
      </c>
      <c r="O129">
        <v>0.01</v>
      </c>
      <c r="P129">
        <v>15.32</v>
      </c>
      <c r="Q129">
        <v>1516.46</v>
      </c>
      <c r="R129">
        <v>1102.8800000000001</v>
      </c>
      <c r="S129">
        <v>413.58</v>
      </c>
    </row>
    <row r="130" spans="1:19" x14ac:dyDescent="0.35">
      <c r="A130">
        <v>100128</v>
      </c>
      <c r="B130">
        <v>1723</v>
      </c>
      <c r="C130" t="s">
        <v>23</v>
      </c>
      <c r="D130" t="s">
        <v>31</v>
      </c>
      <c r="E130" t="s">
        <v>24</v>
      </c>
      <c r="F130" t="s">
        <v>42</v>
      </c>
      <c r="G130" s="1">
        <v>44976</v>
      </c>
      <c r="H130" s="1">
        <v>44977</v>
      </c>
      <c r="I130" s="1">
        <v>44978</v>
      </c>
      <c r="J130">
        <v>2</v>
      </c>
      <c r="K130">
        <v>1</v>
      </c>
      <c r="L130">
        <v>12</v>
      </c>
      <c r="M130">
        <v>319.27</v>
      </c>
      <c r="N130">
        <v>3831.24</v>
      </c>
      <c r="O130">
        <v>0.05</v>
      </c>
      <c r="P130">
        <v>191.56</v>
      </c>
      <c r="Q130">
        <v>3639.68</v>
      </c>
      <c r="R130">
        <v>2796.81</v>
      </c>
      <c r="S130">
        <v>842.87</v>
      </c>
    </row>
    <row r="131" spans="1:19" x14ac:dyDescent="0.35">
      <c r="A131">
        <v>100129</v>
      </c>
      <c r="B131">
        <v>2618</v>
      </c>
      <c r="C131" t="s">
        <v>23</v>
      </c>
      <c r="D131" t="s">
        <v>29</v>
      </c>
      <c r="E131" t="s">
        <v>24</v>
      </c>
      <c r="F131" t="s">
        <v>42</v>
      </c>
      <c r="G131" s="1">
        <v>45259</v>
      </c>
      <c r="H131" s="1">
        <v>45261</v>
      </c>
      <c r="I131" s="1">
        <v>45280</v>
      </c>
      <c r="J131">
        <v>21</v>
      </c>
      <c r="K131">
        <v>2</v>
      </c>
      <c r="L131">
        <v>8</v>
      </c>
      <c r="M131">
        <v>501.79</v>
      </c>
      <c r="N131">
        <v>4014.32</v>
      </c>
      <c r="O131">
        <v>0.05</v>
      </c>
      <c r="P131">
        <v>200.72</v>
      </c>
      <c r="Q131">
        <v>3813.6</v>
      </c>
      <c r="R131">
        <v>2649.45</v>
      </c>
      <c r="S131">
        <v>1164.1500000000001</v>
      </c>
    </row>
    <row r="132" spans="1:19" x14ac:dyDescent="0.35">
      <c r="A132">
        <v>100130</v>
      </c>
      <c r="B132">
        <v>1407</v>
      </c>
      <c r="C132" t="s">
        <v>33</v>
      </c>
      <c r="D132" t="s">
        <v>20</v>
      </c>
      <c r="E132" t="s">
        <v>34</v>
      </c>
      <c r="F132" t="s">
        <v>45</v>
      </c>
      <c r="G132" s="1">
        <v>45032</v>
      </c>
      <c r="H132" s="1">
        <v>45037</v>
      </c>
      <c r="I132" s="1">
        <v>45044</v>
      </c>
      <c r="J132">
        <v>12</v>
      </c>
      <c r="K132">
        <v>5</v>
      </c>
      <c r="L132">
        <v>8</v>
      </c>
      <c r="M132">
        <v>455.37</v>
      </c>
      <c r="N132">
        <v>3642.96</v>
      </c>
      <c r="O132">
        <v>7.0000000000000007E-2</v>
      </c>
      <c r="P132">
        <v>255.01</v>
      </c>
      <c r="Q132">
        <v>3387.95</v>
      </c>
      <c r="R132">
        <v>1967.2</v>
      </c>
      <c r="S132">
        <v>1420.75</v>
      </c>
    </row>
    <row r="133" spans="1:19" x14ac:dyDescent="0.35">
      <c r="A133">
        <v>100131</v>
      </c>
      <c r="B133">
        <v>1266</v>
      </c>
      <c r="C133" t="s">
        <v>33</v>
      </c>
      <c r="D133" t="s">
        <v>29</v>
      </c>
      <c r="E133" t="s">
        <v>24</v>
      </c>
      <c r="F133" t="s">
        <v>25</v>
      </c>
      <c r="G133" s="1">
        <v>45109</v>
      </c>
      <c r="H133" s="1">
        <v>45111</v>
      </c>
      <c r="I133" s="1">
        <v>45129</v>
      </c>
      <c r="J133">
        <v>20</v>
      </c>
      <c r="K133">
        <v>2</v>
      </c>
      <c r="L133">
        <v>2</v>
      </c>
      <c r="M133">
        <v>140.16999999999999</v>
      </c>
      <c r="N133">
        <v>280.33999999999997</v>
      </c>
      <c r="O133">
        <v>7.0000000000000007E-2</v>
      </c>
      <c r="P133">
        <v>19.62</v>
      </c>
      <c r="Q133">
        <v>260.72000000000003</v>
      </c>
      <c r="R133">
        <v>168.2</v>
      </c>
      <c r="S133">
        <v>92.52</v>
      </c>
    </row>
    <row r="134" spans="1:19" x14ac:dyDescent="0.35">
      <c r="A134">
        <v>100132</v>
      </c>
      <c r="B134">
        <v>3266</v>
      </c>
      <c r="C134" t="s">
        <v>33</v>
      </c>
      <c r="D134" t="s">
        <v>20</v>
      </c>
      <c r="E134" t="s">
        <v>24</v>
      </c>
      <c r="F134" t="s">
        <v>25</v>
      </c>
      <c r="G134" s="1">
        <v>45102</v>
      </c>
      <c r="H134" s="1">
        <v>45106</v>
      </c>
      <c r="I134" s="1">
        <v>45121</v>
      </c>
      <c r="J134">
        <v>19</v>
      </c>
      <c r="K134">
        <v>4</v>
      </c>
      <c r="L134">
        <v>2</v>
      </c>
      <c r="M134">
        <v>438.48</v>
      </c>
      <c r="N134">
        <v>876.96</v>
      </c>
      <c r="O134">
        <v>0.02</v>
      </c>
      <c r="P134">
        <v>17.54</v>
      </c>
      <c r="Q134">
        <v>859.42</v>
      </c>
      <c r="R134">
        <v>578.79</v>
      </c>
      <c r="S134">
        <v>280.63</v>
      </c>
    </row>
    <row r="135" spans="1:19" x14ac:dyDescent="0.35">
      <c r="A135">
        <v>100133</v>
      </c>
      <c r="B135">
        <v>1641</v>
      </c>
      <c r="C135" t="s">
        <v>33</v>
      </c>
      <c r="D135" t="s">
        <v>20</v>
      </c>
      <c r="E135" t="s">
        <v>24</v>
      </c>
      <c r="F135" t="s">
        <v>30</v>
      </c>
      <c r="G135" s="1">
        <v>45014</v>
      </c>
      <c r="H135" s="1">
        <v>45015</v>
      </c>
      <c r="I135" s="1">
        <v>45042</v>
      </c>
      <c r="J135">
        <v>28</v>
      </c>
      <c r="K135">
        <v>1</v>
      </c>
      <c r="L135">
        <v>4</v>
      </c>
      <c r="M135">
        <v>35.69</v>
      </c>
      <c r="N135">
        <v>142.76</v>
      </c>
      <c r="O135">
        <v>0.1</v>
      </c>
      <c r="P135">
        <v>14.28</v>
      </c>
      <c r="Q135">
        <v>128.47999999999999</v>
      </c>
      <c r="R135">
        <v>87.08</v>
      </c>
      <c r="S135">
        <v>41.4</v>
      </c>
    </row>
    <row r="136" spans="1:19" x14ac:dyDescent="0.35">
      <c r="A136">
        <v>100134</v>
      </c>
      <c r="B136">
        <v>2487</v>
      </c>
      <c r="C136" t="s">
        <v>19</v>
      </c>
      <c r="D136" t="s">
        <v>31</v>
      </c>
      <c r="E136" t="s">
        <v>26</v>
      </c>
      <c r="F136" t="s">
        <v>36</v>
      </c>
      <c r="G136" s="1">
        <v>45076</v>
      </c>
      <c r="H136" s="1">
        <v>45079</v>
      </c>
      <c r="I136" s="1">
        <v>45104</v>
      </c>
      <c r="J136">
        <v>28</v>
      </c>
      <c r="K136">
        <v>3</v>
      </c>
      <c r="L136">
        <v>10</v>
      </c>
      <c r="M136">
        <v>540.37</v>
      </c>
      <c r="N136">
        <v>5403.7</v>
      </c>
      <c r="O136">
        <v>0.06</v>
      </c>
      <c r="P136">
        <v>324.22000000000003</v>
      </c>
      <c r="Q136">
        <v>5079.4799999999996</v>
      </c>
      <c r="R136">
        <v>3134.15</v>
      </c>
      <c r="S136">
        <v>1945.33</v>
      </c>
    </row>
    <row r="137" spans="1:19" x14ac:dyDescent="0.35">
      <c r="A137">
        <v>100135</v>
      </c>
      <c r="B137">
        <v>2370</v>
      </c>
      <c r="C137" t="s">
        <v>23</v>
      </c>
      <c r="D137" t="s">
        <v>31</v>
      </c>
      <c r="E137" t="s">
        <v>34</v>
      </c>
      <c r="F137" t="s">
        <v>43</v>
      </c>
      <c r="G137" s="1">
        <v>45187</v>
      </c>
      <c r="H137" s="1">
        <v>45190</v>
      </c>
      <c r="I137" s="1">
        <v>45197</v>
      </c>
      <c r="J137">
        <v>10</v>
      </c>
      <c r="K137">
        <v>3</v>
      </c>
      <c r="L137">
        <v>13</v>
      </c>
      <c r="M137">
        <v>31.92</v>
      </c>
      <c r="N137">
        <v>414.96</v>
      </c>
      <c r="O137">
        <v>0.06</v>
      </c>
      <c r="P137">
        <v>24.9</v>
      </c>
      <c r="Q137">
        <v>390.06</v>
      </c>
      <c r="R137">
        <v>253.13</v>
      </c>
      <c r="S137">
        <v>136.93</v>
      </c>
    </row>
    <row r="138" spans="1:19" x14ac:dyDescent="0.35">
      <c r="A138">
        <v>100136</v>
      </c>
      <c r="B138">
        <v>4184</v>
      </c>
      <c r="C138" t="s">
        <v>23</v>
      </c>
      <c r="D138" t="s">
        <v>20</v>
      </c>
      <c r="E138" t="s">
        <v>24</v>
      </c>
      <c r="F138" t="s">
        <v>25</v>
      </c>
      <c r="G138" s="1">
        <v>45003</v>
      </c>
      <c r="H138" s="1">
        <v>45007</v>
      </c>
      <c r="I138" s="1">
        <v>45026</v>
      </c>
      <c r="J138">
        <v>23</v>
      </c>
      <c r="K138">
        <v>4</v>
      </c>
      <c r="L138">
        <v>12</v>
      </c>
      <c r="M138">
        <v>643.29</v>
      </c>
      <c r="N138">
        <v>7719.48</v>
      </c>
      <c r="O138">
        <v>0.16</v>
      </c>
      <c r="P138">
        <v>1235.1199999999999</v>
      </c>
      <c r="Q138">
        <v>6484.36</v>
      </c>
      <c r="R138">
        <v>4940.47</v>
      </c>
      <c r="S138">
        <v>1543.89</v>
      </c>
    </row>
    <row r="139" spans="1:19" x14ac:dyDescent="0.35">
      <c r="A139">
        <v>100137</v>
      </c>
      <c r="B139">
        <v>1390</v>
      </c>
      <c r="C139" t="s">
        <v>19</v>
      </c>
      <c r="D139" t="s">
        <v>20</v>
      </c>
      <c r="E139" t="s">
        <v>21</v>
      </c>
      <c r="F139" t="s">
        <v>39</v>
      </c>
      <c r="G139" s="1">
        <v>45160</v>
      </c>
      <c r="H139" s="1">
        <v>45162</v>
      </c>
      <c r="I139" s="1">
        <v>45162</v>
      </c>
      <c r="J139">
        <v>2</v>
      </c>
      <c r="K139">
        <v>2</v>
      </c>
      <c r="L139">
        <v>9</v>
      </c>
      <c r="M139">
        <v>578.17999999999995</v>
      </c>
      <c r="N139">
        <v>5203.62</v>
      </c>
      <c r="O139">
        <v>0.09</v>
      </c>
      <c r="P139">
        <v>468.33</v>
      </c>
      <c r="Q139">
        <v>4735.29</v>
      </c>
      <c r="R139">
        <v>3278.28</v>
      </c>
      <c r="S139">
        <v>1457.01</v>
      </c>
    </row>
    <row r="140" spans="1:19" x14ac:dyDescent="0.35">
      <c r="A140">
        <v>100138</v>
      </c>
      <c r="B140">
        <v>2584</v>
      </c>
      <c r="C140" t="s">
        <v>33</v>
      </c>
      <c r="D140" t="s">
        <v>20</v>
      </c>
      <c r="E140" t="s">
        <v>26</v>
      </c>
      <c r="F140" t="s">
        <v>36</v>
      </c>
      <c r="G140" s="1">
        <v>45258</v>
      </c>
      <c r="H140" s="1">
        <v>45263</v>
      </c>
      <c r="I140" s="1">
        <v>45283</v>
      </c>
      <c r="J140">
        <v>25</v>
      </c>
      <c r="K140">
        <v>5</v>
      </c>
      <c r="L140">
        <v>10</v>
      </c>
      <c r="M140">
        <v>407.23</v>
      </c>
      <c r="N140">
        <v>4072.3</v>
      </c>
      <c r="O140">
        <v>0</v>
      </c>
      <c r="P140">
        <v>0</v>
      </c>
      <c r="Q140">
        <v>4072.3</v>
      </c>
      <c r="R140">
        <v>2565.5500000000002</v>
      </c>
      <c r="S140">
        <v>1506.75</v>
      </c>
    </row>
    <row r="141" spans="1:19" x14ac:dyDescent="0.35">
      <c r="A141">
        <v>100139</v>
      </c>
      <c r="B141">
        <v>4777</v>
      </c>
      <c r="C141" t="s">
        <v>19</v>
      </c>
      <c r="D141" t="s">
        <v>20</v>
      </c>
      <c r="E141" t="s">
        <v>26</v>
      </c>
      <c r="F141" t="s">
        <v>27</v>
      </c>
      <c r="G141" s="1">
        <v>45189</v>
      </c>
      <c r="H141" s="1">
        <v>45193</v>
      </c>
      <c r="I141" s="1">
        <v>45191</v>
      </c>
      <c r="J141">
        <v>2</v>
      </c>
      <c r="K141">
        <v>4</v>
      </c>
      <c r="L141">
        <v>6</v>
      </c>
      <c r="M141">
        <v>207.24</v>
      </c>
      <c r="N141">
        <v>1243.44</v>
      </c>
      <c r="O141">
        <v>0</v>
      </c>
      <c r="P141">
        <v>0</v>
      </c>
      <c r="Q141">
        <v>1243.44</v>
      </c>
      <c r="R141">
        <v>708.76</v>
      </c>
      <c r="S141">
        <v>534.67999999999995</v>
      </c>
    </row>
    <row r="142" spans="1:19" x14ac:dyDescent="0.35">
      <c r="A142">
        <v>100140</v>
      </c>
      <c r="B142">
        <v>1097</v>
      </c>
      <c r="C142" t="s">
        <v>19</v>
      </c>
      <c r="D142" t="s">
        <v>20</v>
      </c>
      <c r="E142" t="s">
        <v>24</v>
      </c>
      <c r="F142" t="s">
        <v>32</v>
      </c>
      <c r="G142" s="1">
        <v>45152</v>
      </c>
      <c r="H142" s="1">
        <v>45153</v>
      </c>
      <c r="I142" s="1">
        <v>45176</v>
      </c>
      <c r="J142">
        <v>24</v>
      </c>
      <c r="K142">
        <v>1</v>
      </c>
      <c r="L142">
        <v>12</v>
      </c>
      <c r="M142">
        <v>769.29</v>
      </c>
      <c r="N142">
        <v>9231.48</v>
      </c>
      <c r="O142">
        <v>0.06</v>
      </c>
      <c r="P142">
        <v>553.89</v>
      </c>
      <c r="Q142">
        <v>8677.59</v>
      </c>
      <c r="R142">
        <v>4708.05</v>
      </c>
      <c r="S142">
        <v>3969.54</v>
      </c>
    </row>
    <row r="143" spans="1:19" x14ac:dyDescent="0.35">
      <c r="A143">
        <v>100141</v>
      </c>
      <c r="B143">
        <v>2826</v>
      </c>
      <c r="C143" t="s">
        <v>19</v>
      </c>
      <c r="D143" t="s">
        <v>29</v>
      </c>
      <c r="E143" t="s">
        <v>24</v>
      </c>
      <c r="F143" t="s">
        <v>42</v>
      </c>
      <c r="G143" s="1">
        <v>45012</v>
      </c>
      <c r="H143" s="1">
        <v>45017</v>
      </c>
      <c r="I143" s="1">
        <v>45039</v>
      </c>
      <c r="J143">
        <v>27</v>
      </c>
      <c r="K143">
        <v>5</v>
      </c>
      <c r="L143">
        <v>1</v>
      </c>
      <c r="M143">
        <v>111.91</v>
      </c>
      <c r="N143">
        <v>111.91</v>
      </c>
      <c r="O143">
        <v>0.12</v>
      </c>
      <c r="P143">
        <v>13.43</v>
      </c>
      <c r="Q143">
        <v>98.48</v>
      </c>
      <c r="R143">
        <v>68.27</v>
      </c>
      <c r="S143">
        <v>30.21</v>
      </c>
    </row>
    <row r="144" spans="1:19" x14ac:dyDescent="0.35">
      <c r="A144">
        <v>100142</v>
      </c>
      <c r="B144">
        <v>4192</v>
      </c>
      <c r="C144" t="s">
        <v>28</v>
      </c>
      <c r="D144" t="s">
        <v>31</v>
      </c>
      <c r="E144" t="s">
        <v>26</v>
      </c>
      <c r="F144" t="s">
        <v>37</v>
      </c>
      <c r="G144" s="1">
        <v>45085</v>
      </c>
      <c r="H144" s="1">
        <v>45086</v>
      </c>
      <c r="I144" s="1">
        <v>45105</v>
      </c>
      <c r="J144">
        <v>20</v>
      </c>
      <c r="K144">
        <v>1</v>
      </c>
      <c r="L144">
        <v>13</v>
      </c>
      <c r="M144">
        <v>642.91</v>
      </c>
      <c r="N144">
        <v>8357.83</v>
      </c>
      <c r="O144">
        <v>0.13</v>
      </c>
      <c r="P144">
        <v>1086.52</v>
      </c>
      <c r="Q144">
        <v>7271.31</v>
      </c>
      <c r="R144">
        <v>4680.38</v>
      </c>
      <c r="S144">
        <v>2590.9299999999998</v>
      </c>
    </row>
    <row r="145" spans="1:19" x14ac:dyDescent="0.35">
      <c r="A145">
        <v>100143</v>
      </c>
      <c r="B145">
        <v>3886</v>
      </c>
      <c r="C145" t="s">
        <v>28</v>
      </c>
      <c r="D145" t="s">
        <v>29</v>
      </c>
      <c r="E145" t="s">
        <v>21</v>
      </c>
      <c r="F145" t="s">
        <v>39</v>
      </c>
      <c r="G145" s="1">
        <v>45290</v>
      </c>
      <c r="H145" s="1">
        <v>45295</v>
      </c>
      <c r="I145" s="1">
        <v>45303</v>
      </c>
      <c r="J145">
        <v>13</v>
      </c>
      <c r="K145">
        <v>5</v>
      </c>
      <c r="L145">
        <v>12</v>
      </c>
      <c r="M145">
        <v>709.48</v>
      </c>
      <c r="N145">
        <v>8513.76</v>
      </c>
      <c r="O145">
        <v>0.01</v>
      </c>
      <c r="P145">
        <v>85.14</v>
      </c>
      <c r="Q145">
        <v>8428.6200000000008</v>
      </c>
      <c r="R145">
        <v>4767.71</v>
      </c>
      <c r="S145">
        <v>3660.91</v>
      </c>
    </row>
    <row r="146" spans="1:19" x14ac:dyDescent="0.35">
      <c r="A146">
        <v>100144</v>
      </c>
      <c r="B146">
        <v>4337</v>
      </c>
      <c r="C146" t="s">
        <v>28</v>
      </c>
      <c r="D146" t="s">
        <v>20</v>
      </c>
      <c r="E146" t="s">
        <v>26</v>
      </c>
      <c r="F146" t="s">
        <v>37</v>
      </c>
      <c r="G146" s="1">
        <v>45239</v>
      </c>
      <c r="H146" s="1">
        <v>45243</v>
      </c>
      <c r="I146" s="1">
        <v>45260</v>
      </c>
      <c r="J146">
        <v>21</v>
      </c>
      <c r="K146">
        <v>4</v>
      </c>
      <c r="L146">
        <v>4</v>
      </c>
      <c r="M146">
        <v>644.13</v>
      </c>
      <c r="N146">
        <v>2576.52</v>
      </c>
      <c r="O146">
        <v>0.04</v>
      </c>
      <c r="P146">
        <v>103.06</v>
      </c>
      <c r="Q146">
        <v>2473.46</v>
      </c>
      <c r="R146">
        <v>1520.15</v>
      </c>
      <c r="S146">
        <v>953.31</v>
      </c>
    </row>
    <row r="147" spans="1:19" x14ac:dyDescent="0.35">
      <c r="A147">
        <v>100145</v>
      </c>
      <c r="B147">
        <v>1693</v>
      </c>
      <c r="C147" t="s">
        <v>19</v>
      </c>
      <c r="D147" t="s">
        <v>20</v>
      </c>
      <c r="E147" t="s">
        <v>24</v>
      </c>
      <c r="F147" t="s">
        <v>25</v>
      </c>
      <c r="G147" s="1">
        <v>45234</v>
      </c>
      <c r="H147" s="1">
        <v>45239</v>
      </c>
      <c r="I147" s="1">
        <v>45261</v>
      </c>
      <c r="J147">
        <v>27</v>
      </c>
      <c r="K147">
        <v>5</v>
      </c>
      <c r="L147">
        <v>3</v>
      </c>
      <c r="M147">
        <v>402.48</v>
      </c>
      <c r="N147">
        <v>1207.44</v>
      </c>
      <c r="O147">
        <v>0.12</v>
      </c>
      <c r="P147">
        <v>144.88999999999999</v>
      </c>
      <c r="Q147">
        <v>1062.55</v>
      </c>
      <c r="R147">
        <v>712.39</v>
      </c>
      <c r="S147">
        <v>350.16</v>
      </c>
    </row>
    <row r="148" spans="1:19" x14ac:dyDescent="0.35">
      <c r="A148">
        <v>100146</v>
      </c>
      <c r="B148">
        <v>4257</v>
      </c>
      <c r="C148" t="s">
        <v>33</v>
      </c>
      <c r="D148" t="s">
        <v>29</v>
      </c>
      <c r="E148" t="s">
        <v>26</v>
      </c>
      <c r="F148" t="s">
        <v>36</v>
      </c>
      <c r="G148" s="1">
        <v>45174</v>
      </c>
      <c r="H148" s="1">
        <v>45178</v>
      </c>
      <c r="I148" s="1">
        <v>45176</v>
      </c>
      <c r="J148">
        <v>2</v>
      </c>
      <c r="K148">
        <v>4</v>
      </c>
      <c r="L148">
        <v>3</v>
      </c>
      <c r="M148">
        <v>142.31</v>
      </c>
      <c r="N148">
        <v>426.93</v>
      </c>
      <c r="O148">
        <v>0.04</v>
      </c>
      <c r="P148">
        <v>17.079999999999998</v>
      </c>
      <c r="Q148">
        <v>409.85</v>
      </c>
      <c r="R148">
        <v>256.16000000000003</v>
      </c>
      <c r="S148">
        <v>153.69</v>
      </c>
    </row>
    <row r="149" spans="1:19" x14ac:dyDescent="0.35">
      <c r="A149">
        <v>100147</v>
      </c>
      <c r="B149">
        <v>2987</v>
      </c>
      <c r="C149" t="s">
        <v>23</v>
      </c>
      <c r="D149" t="s">
        <v>29</v>
      </c>
      <c r="E149" t="s">
        <v>21</v>
      </c>
      <c r="F149" t="s">
        <v>39</v>
      </c>
      <c r="G149" s="1">
        <v>45110</v>
      </c>
      <c r="H149" s="1">
        <v>45111</v>
      </c>
      <c r="I149" s="1">
        <v>45122</v>
      </c>
      <c r="J149">
        <v>12</v>
      </c>
      <c r="K149">
        <v>1</v>
      </c>
      <c r="L149">
        <v>2</v>
      </c>
      <c r="M149">
        <v>84.05</v>
      </c>
      <c r="N149">
        <v>168.1</v>
      </c>
      <c r="O149">
        <v>0.06</v>
      </c>
      <c r="P149">
        <v>10.09</v>
      </c>
      <c r="Q149">
        <v>158.01</v>
      </c>
      <c r="R149">
        <v>95.82</v>
      </c>
      <c r="S149">
        <v>62.19</v>
      </c>
    </row>
    <row r="150" spans="1:19" x14ac:dyDescent="0.35">
      <c r="A150">
        <v>100148</v>
      </c>
      <c r="B150">
        <v>1263</v>
      </c>
      <c r="C150" t="s">
        <v>19</v>
      </c>
      <c r="D150" t="s">
        <v>29</v>
      </c>
      <c r="E150" t="s">
        <v>21</v>
      </c>
      <c r="F150" t="s">
        <v>39</v>
      </c>
      <c r="G150" s="1">
        <v>45048</v>
      </c>
      <c r="H150" s="1">
        <v>45049</v>
      </c>
      <c r="I150" s="1">
        <v>45078</v>
      </c>
      <c r="J150">
        <v>30</v>
      </c>
      <c r="K150">
        <v>1</v>
      </c>
      <c r="L150">
        <v>6</v>
      </c>
      <c r="M150">
        <v>733.74</v>
      </c>
      <c r="N150">
        <v>4402.4399999999996</v>
      </c>
      <c r="O150">
        <v>0.11</v>
      </c>
      <c r="P150">
        <v>484.27</v>
      </c>
      <c r="Q150">
        <v>3918.17</v>
      </c>
      <c r="R150">
        <v>2817.56</v>
      </c>
      <c r="S150">
        <v>1100.6099999999999</v>
      </c>
    </row>
    <row r="151" spans="1:19" x14ac:dyDescent="0.35">
      <c r="A151">
        <v>100149</v>
      </c>
      <c r="B151">
        <v>3121</v>
      </c>
      <c r="C151" t="s">
        <v>19</v>
      </c>
      <c r="D151" t="s">
        <v>20</v>
      </c>
      <c r="E151" t="s">
        <v>21</v>
      </c>
      <c r="F151" t="s">
        <v>38</v>
      </c>
      <c r="G151" s="1">
        <v>45003</v>
      </c>
      <c r="H151" s="1">
        <v>45006</v>
      </c>
      <c r="I151" s="1">
        <v>45020</v>
      </c>
      <c r="J151">
        <v>17</v>
      </c>
      <c r="K151">
        <v>3</v>
      </c>
      <c r="L151">
        <v>5</v>
      </c>
      <c r="M151">
        <v>257.55</v>
      </c>
      <c r="N151">
        <v>1287.75</v>
      </c>
      <c r="O151">
        <v>0.19</v>
      </c>
      <c r="P151">
        <v>244.67</v>
      </c>
      <c r="Q151">
        <v>1043.08</v>
      </c>
      <c r="R151">
        <v>837.04</v>
      </c>
      <c r="S151">
        <v>206.04</v>
      </c>
    </row>
    <row r="152" spans="1:19" x14ac:dyDescent="0.35">
      <c r="A152">
        <v>100150</v>
      </c>
      <c r="B152">
        <v>1954</v>
      </c>
      <c r="C152" t="s">
        <v>19</v>
      </c>
      <c r="D152" t="s">
        <v>29</v>
      </c>
      <c r="E152" t="s">
        <v>34</v>
      </c>
      <c r="F152" t="s">
        <v>43</v>
      </c>
      <c r="G152" s="1">
        <v>45126</v>
      </c>
      <c r="H152" s="1">
        <v>45130</v>
      </c>
      <c r="I152" s="1">
        <v>45128</v>
      </c>
      <c r="J152">
        <v>2</v>
      </c>
      <c r="K152">
        <v>4</v>
      </c>
      <c r="L152">
        <v>4</v>
      </c>
      <c r="M152">
        <v>790.14</v>
      </c>
      <c r="N152">
        <v>3160.56</v>
      </c>
      <c r="O152">
        <v>7.0000000000000007E-2</v>
      </c>
      <c r="P152">
        <v>221.24</v>
      </c>
      <c r="Q152">
        <v>2939.32</v>
      </c>
      <c r="R152">
        <v>2180.79</v>
      </c>
      <c r="S152">
        <v>758.53</v>
      </c>
    </row>
    <row r="153" spans="1:19" x14ac:dyDescent="0.35">
      <c r="A153">
        <v>100151</v>
      </c>
      <c r="B153">
        <v>3057</v>
      </c>
      <c r="C153" t="s">
        <v>33</v>
      </c>
      <c r="D153" t="s">
        <v>29</v>
      </c>
      <c r="E153" t="s">
        <v>34</v>
      </c>
      <c r="F153" t="s">
        <v>43</v>
      </c>
      <c r="G153" s="1">
        <v>45012</v>
      </c>
      <c r="H153" s="1">
        <v>45015</v>
      </c>
      <c r="I153" s="1">
        <v>45020</v>
      </c>
      <c r="J153">
        <v>8</v>
      </c>
      <c r="K153">
        <v>3</v>
      </c>
      <c r="L153">
        <v>13</v>
      </c>
      <c r="M153">
        <v>708.82</v>
      </c>
      <c r="N153">
        <v>9214.66</v>
      </c>
      <c r="O153">
        <v>0</v>
      </c>
      <c r="P153">
        <v>0</v>
      </c>
      <c r="Q153">
        <v>9214.66</v>
      </c>
      <c r="R153">
        <v>5989.53</v>
      </c>
      <c r="S153">
        <v>3225.13</v>
      </c>
    </row>
    <row r="154" spans="1:19" x14ac:dyDescent="0.35">
      <c r="A154">
        <v>100152</v>
      </c>
      <c r="B154">
        <v>3102</v>
      </c>
      <c r="C154" t="s">
        <v>28</v>
      </c>
      <c r="D154" t="s">
        <v>29</v>
      </c>
      <c r="E154" t="s">
        <v>34</v>
      </c>
      <c r="F154" t="s">
        <v>35</v>
      </c>
      <c r="G154" s="1">
        <v>45113</v>
      </c>
      <c r="H154" s="1">
        <v>45116</v>
      </c>
      <c r="I154" s="1">
        <v>45136</v>
      </c>
      <c r="J154">
        <v>23</v>
      </c>
      <c r="K154">
        <v>3</v>
      </c>
      <c r="L154">
        <v>10</v>
      </c>
      <c r="M154">
        <v>745.43</v>
      </c>
      <c r="N154">
        <v>7454.3</v>
      </c>
      <c r="O154">
        <v>0.17</v>
      </c>
      <c r="P154">
        <v>1267.23</v>
      </c>
      <c r="Q154">
        <v>6187.07</v>
      </c>
      <c r="R154">
        <v>4248.95</v>
      </c>
      <c r="S154">
        <v>1938.12</v>
      </c>
    </row>
    <row r="155" spans="1:19" x14ac:dyDescent="0.35">
      <c r="A155">
        <v>100153</v>
      </c>
      <c r="B155">
        <v>2834</v>
      </c>
      <c r="C155" t="s">
        <v>33</v>
      </c>
      <c r="D155" t="s">
        <v>20</v>
      </c>
      <c r="E155" t="s">
        <v>26</v>
      </c>
      <c r="F155" t="s">
        <v>36</v>
      </c>
      <c r="G155" s="1">
        <v>45224</v>
      </c>
      <c r="H155" s="1">
        <v>45229</v>
      </c>
      <c r="I155" s="1">
        <v>45247</v>
      </c>
      <c r="J155">
        <v>23</v>
      </c>
      <c r="K155">
        <v>5</v>
      </c>
      <c r="L155">
        <v>8</v>
      </c>
      <c r="M155">
        <v>308.64999999999998</v>
      </c>
      <c r="N155">
        <v>2469.1999999999998</v>
      </c>
      <c r="O155">
        <v>0.02</v>
      </c>
      <c r="P155">
        <v>49.38</v>
      </c>
      <c r="Q155">
        <v>2419.8200000000002</v>
      </c>
      <c r="R155">
        <v>1456.83</v>
      </c>
      <c r="S155">
        <v>962.99</v>
      </c>
    </row>
    <row r="156" spans="1:19" x14ac:dyDescent="0.35">
      <c r="A156">
        <v>100154</v>
      </c>
      <c r="B156">
        <v>1958</v>
      </c>
      <c r="C156" t="s">
        <v>33</v>
      </c>
      <c r="D156" t="s">
        <v>29</v>
      </c>
      <c r="E156" t="s">
        <v>34</v>
      </c>
      <c r="F156" t="s">
        <v>35</v>
      </c>
      <c r="G156" s="1">
        <v>45157</v>
      </c>
      <c r="H156" s="1">
        <v>45159</v>
      </c>
      <c r="I156" s="1">
        <v>45185</v>
      </c>
      <c r="J156">
        <v>28</v>
      </c>
      <c r="K156">
        <v>2</v>
      </c>
      <c r="L156">
        <v>12</v>
      </c>
      <c r="M156">
        <v>285.37</v>
      </c>
      <c r="N156">
        <v>3424.44</v>
      </c>
      <c r="O156">
        <v>0.17</v>
      </c>
      <c r="P156">
        <v>582.15</v>
      </c>
      <c r="Q156">
        <v>2842.29</v>
      </c>
      <c r="R156">
        <v>2088.91</v>
      </c>
      <c r="S156">
        <v>753.38</v>
      </c>
    </row>
    <row r="157" spans="1:19" x14ac:dyDescent="0.35">
      <c r="A157">
        <v>100155</v>
      </c>
      <c r="B157">
        <v>3904</v>
      </c>
      <c r="C157" t="s">
        <v>28</v>
      </c>
      <c r="D157" t="s">
        <v>31</v>
      </c>
      <c r="E157" t="s">
        <v>21</v>
      </c>
      <c r="F157" t="s">
        <v>41</v>
      </c>
      <c r="G157" s="1">
        <v>45226</v>
      </c>
      <c r="H157" s="1">
        <v>45231</v>
      </c>
      <c r="I157" s="1">
        <v>45250</v>
      </c>
      <c r="J157">
        <v>24</v>
      </c>
      <c r="K157">
        <v>5</v>
      </c>
      <c r="L157">
        <v>6</v>
      </c>
      <c r="M157">
        <v>396.68</v>
      </c>
      <c r="N157">
        <v>2380.08</v>
      </c>
      <c r="O157">
        <v>0</v>
      </c>
      <c r="P157">
        <v>0</v>
      </c>
      <c r="Q157">
        <v>2380.08</v>
      </c>
      <c r="R157">
        <v>1428.05</v>
      </c>
      <c r="S157">
        <v>952.03</v>
      </c>
    </row>
    <row r="158" spans="1:19" x14ac:dyDescent="0.35">
      <c r="A158">
        <v>100156</v>
      </c>
      <c r="B158">
        <v>4853</v>
      </c>
      <c r="C158" t="s">
        <v>23</v>
      </c>
      <c r="D158" t="s">
        <v>20</v>
      </c>
      <c r="E158" t="s">
        <v>34</v>
      </c>
      <c r="F158" t="s">
        <v>40</v>
      </c>
      <c r="G158" s="1">
        <v>45242</v>
      </c>
      <c r="H158" s="1">
        <v>45244</v>
      </c>
      <c r="I158" s="1">
        <v>45268</v>
      </c>
      <c r="J158">
        <v>26</v>
      </c>
      <c r="K158">
        <v>2</v>
      </c>
      <c r="L158">
        <v>5</v>
      </c>
      <c r="M158">
        <v>740.94</v>
      </c>
      <c r="N158">
        <v>3704.7</v>
      </c>
      <c r="O158">
        <v>0.08</v>
      </c>
      <c r="P158">
        <v>296.38</v>
      </c>
      <c r="Q158">
        <v>3408.32</v>
      </c>
      <c r="R158">
        <v>2148.73</v>
      </c>
      <c r="S158">
        <v>1259.5899999999999</v>
      </c>
    </row>
    <row r="159" spans="1:19" x14ac:dyDescent="0.35">
      <c r="A159">
        <v>100157</v>
      </c>
      <c r="B159">
        <v>1688</v>
      </c>
      <c r="C159" t="s">
        <v>23</v>
      </c>
      <c r="D159" t="s">
        <v>29</v>
      </c>
      <c r="E159" t="s">
        <v>26</v>
      </c>
      <c r="F159" t="s">
        <v>44</v>
      </c>
      <c r="G159" s="1">
        <v>45265</v>
      </c>
      <c r="H159" s="1">
        <v>45266</v>
      </c>
      <c r="I159" s="1">
        <v>45289</v>
      </c>
      <c r="J159">
        <v>24</v>
      </c>
      <c r="K159">
        <v>1</v>
      </c>
      <c r="L159">
        <v>11</v>
      </c>
      <c r="M159">
        <v>782.51</v>
      </c>
      <c r="N159">
        <v>8607.61</v>
      </c>
      <c r="O159">
        <v>0.1</v>
      </c>
      <c r="P159">
        <v>860.76</v>
      </c>
      <c r="Q159">
        <v>7746.85</v>
      </c>
      <c r="R159">
        <v>3959.5</v>
      </c>
      <c r="S159">
        <v>3787.35</v>
      </c>
    </row>
    <row r="160" spans="1:19" x14ac:dyDescent="0.35">
      <c r="A160">
        <v>100158</v>
      </c>
      <c r="B160">
        <v>1684</v>
      </c>
      <c r="C160" t="s">
        <v>33</v>
      </c>
      <c r="D160" t="s">
        <v>31</v>
      </c>
      <c r="E160" t="s">
        <v>21</v>
      </c>
      <c r="F160" t="s">
        <v>38</v>
      </c>
      <c r="G160" s="1">
        <v>44990</v>
      </c>
      <c r="H160" s="1">
        <v>44993</v>
      </c>
      <c r="I160" s="1">
        <v>45008</v>
      </c>
      <c r="J160">
        <v>18</v>
      </c>
      <c r="K160">
        <v>3</v>
      </c>
      <c r="L160">
        <v>4</v>
      </c>
      <c r="M160">
        <v>288.99</v>
      </c>
      <c r="N160">
        <v>1155.96</v>
      </c>
      <c r="O160">
        <v>0.2</v>
      </c>
      <c r="P160">
        <v>231.19</v>
      </c>
      <c r="Q160">
        <v>924.77</v>
      </c>
      <c r="R160">
        <v>716.7</v>
      </c>
      <c r="S160">
        <v>208.07</v>
      </c>
    </row>
    <row r="161" spans="1:19" x14ac:dyDescent="0.35">
      <c r="A161">
        <v>100159</v>
      </c>
      <c r="B161">
        <v>2175</v>
      </c>
      <c r="C161" t="s">
        <v>33</v>
      </c>
      <c r="D161" t="s">
        <v>29</v>
      </c>
      <c r="E161" t="s">
        <v>24</v>
      </c>
      <c r="F161" t="s">
        <v>42</v>
      </c>
      <c r="G161" s="1">
        <v>44962</v>
      </c>
      <c r="H161" s="1">
        <v>44963</v>
      </c>
      <c r="I161" s="1">
        <v>44987</v>
      </c>
      <c r="J161">
        <v>25</v>
      </c>
      <c r="K161">
        <v>1</v>
      </c>
      <c r="L161">
        <v>7</v>
      </c>
      <c r="M161">
        <v>86.52</v>
      </c>
      <c r="N161">
        <v>605.64</v>
      </c>
      <c r="O161">
        <v>7.0000000000000007E-2</v>
      </c>
      <c r="P161">
        <v>42.39</v>
      </c>
      <c r="Q161">
        <v>563.25</v>
      </c>
      <c r="R161">
        <v>357.33</v>
      </c>
      <c r="S161">
        <v>205.92</v>
      </c>
    </row>
    <row r="162" spans="1:19" x14ac:dyDescent="0.35">
      <c r="A162">
        <v>100160</v>
      </c>
      <c r="B162">
        <v>4096</v>
      </c>
      <c r="C162" t="s">
        <v>19</v>
      </c>
      <c r="D162" t="s">
        <v>31</v>
      </c>
      <c r="E162" t="s">
        <v>34</v>
      </c>
      <c r="F162" t="s">
        <v>45</v>
      </c>
      <c r="G162" s="1">
        <v>45004</v>
      </c>
      <c r="H162" s="1">
        <v>45005</v>
      </c>
      <c r="I162" s="1">
        <v>45026</v>
      </c>
      <c r="J162">
        <v>22</v>
      </c>
      <c r="K162">
        <v>1</v>
      </c>
      <c r="L162">
        <v>2</v>
      </c>
      <c r="M162">
        <v>141.37</v>
      </c>
      <c r="N162">
        <v>282.74</v>
      </c>
      <c r="O162">
        <v>0.1</v>
      </c>
      <c r="P162">
        <v>28.27</v>
      </c>
      <c r="Q162">
        <v>254.47</v>
      </c>
      <c r="R162">
        <v>172.47</v>
      </c>
      <c r="S162">
        <v>82</v>
      </c>
    </row>
    <row r="163" spans="1:19" x14ac:dyDescent="0.35">
      <c r="A163">
        <v>100161</v>
      </c>
      <c r="B163">
        <v>2811</v>
      </c>
      <c r="C163" t="s">
        <v>19</v>
      </c>
      <c r="D163" t="s">
        <v>20</v>
      </c>
      <c r="E163" t="s">
        <v>34</v>
      </c>
      <c r="F163" t="s">
        <v>40</v>
      </c>
      <c r="G163" s="1">
        <v>45215</v>
      </c>
      <c r="H163" s="1">
        <v>45218</v>
      </c>
      <c r="I163" s="1">
        <v>45227</v>
      </c>
      <c r="J163">
        <v>12</v>
      </c>
      <c r="K163">
        <v>3</v>
      </c>
      <c r="L163">
        <v>13</v>
      </c>
      <c r="M163">
        <v>284.83</v>
      </c>
      <c r="N163">
        <v>3702.79</v>
      </c>
      <c r="O163">
        <v>0</v>
      </c>
      <c r="P163">
        <v>0</v>
      </c>
      <c r="Q163">
        <v>3702.79</v>
      </c>
      <c r="R163">
        <v>2295.73</v>
      </c>
      <c r="S163">
        <v>1407.06</v>
      </c>
    </row>
    <row r="164" spans="1:19" x14ac:dyDescent="0.35">
      <c r="A164">
        <v>100162</v>
      </c>
      <c r="B164">
        <v>4733</v>
      </c>
      <c r="C164" t="s">
        <v>19</v>
      </c>
      <c r="D164" t="s">
        <v>29</v>
      </c>
      <c r="E164" t="s">
        <v>34</v>
      </c>
      <c r="F164" t="s">
        <v>35</v>
      </c>
      <c r="G164" s="1">
        <v>45044</v>
      </c>
      <c r="H164" s="1">
        <v>45045</v>
      </c>
      <c r="I164" s="1">
        <v>45069</v>
      </c>
      <c r="J164">
        <v>25</v>
      </c>
      <c r="K164">
        <v>1</v>
      </c>
      <c r="L164">
        <v>5</v>
      </c>
      <c r="M164">
        <v>497.62</v>
      </c>
      <c r="N164">
        <v>2488.1</v>
      </c>
      <c r="O164">
        <v>0.13</v>
      </c>
      <c r="P164">
        <v>323.45</v>
      </c>
      <c r="Q164">
        <v>2164.65</v>
      </c>
      <c r="R164">
        <v>1492.86</v>
      </c>
      <c r="S164">
        <v>671.79</v>
      </c>
    </row>
    <row r="165" spans="1:19" x14ac:dyDescent="0.35">
      <c r="A165">
        <v>100163</v>
      </c>
      <c r="B165">
        <v>1820</v>
      </c>
      <c r="C165" t="s">
        <v>33</v>
      </c>
      <c r="D165" t="s">
        <v>29</v>
      </c>
      <c r="E165" t="s">
        <v>21</v>
      </c>
      <c r="F165" t="s">
        <v>22</v>
      </c>
      <c r="G165" s="1">
        <v>45142</v>
      </c>
      <c r="H165" s="1">
        <v>45147</v>
      </c>
      <c r="I165" s="1">
        <v>45148</v>
      </c>
      <c r="J165">
        <v>6</v>
      </c>
      <c r="K165">
        <v>5</v>
      </c>
      <c r="L165">
        <v>11</v>
      </c>
      <c r="M165">
        <v>148.22</v>
      </c>
      <c r="N165">
        <v>1630.42</v>
      </c>
      <c r="O165">
        <v>7.0000000000000007E-2</v>
      </c>
      <c r="P165">
        <v>114.13</v>
      </c>
      <c r="Q165">
        <v>1516.29</v>
      </c>
      <c r="R165">
        <v>978.25</v>
      </c>
      <c r="S165">
        <v>538.04</v>
      </c>
    </row>
    <row r="166" spans="1:19" x14ac:dyDescent="0.35">
      <c r="A166">
        <v>100164</v>
      </c>
      <c r="B166">
        <v>2055</v>
      </c>
      <c r="C166" t="s">
        <v>28</v>
      </c>
      <c r="D166" t="s">
        <v>31</v>
      </c>
      <c r="E166" t="s">
        <v>21</v>
      </c>
      <c r="F166" t="s">
        <v>22</v>
      </c>
      <c r="G166" s="1">
        <v>45088</v>
      </c>
      <c r="H166" s="1">
        <v>45092</v>
      </c>
      <c r="I166" s="1">
        <v>45104</v>
      </c>
      <c r="J166">
        <v>16</v>
      </c>
      <c r="K166">
        <v>4</v>
      </c>
      <c r="L166">
        <v>8</v>
      </c>
      <c r="M166">
        <v>637.91</v>
      </c>
      <c r="N166">
        <v>5103.28</v>
      </c>
      <c r="O166">
        <v>0.05</v>
      </c>
      <c r="P166">
        <v>255.16</v>
      </c>
      <c r="Q166">
        <v>4848.12</v>
      </c>
      <c r="R166">
        <v>3419.2</v>
      </c>
      <c r="S166">
        <v>1428.92</v>
      </c>
    </row>
    <row r="167" spans="1:19" x14ac:dyDescent="0.35">
      <c r="A167">
        <v>100165</v>
      </c>
      <c r="B167">
        <v>1346</v>
      </c>
      <c r="C167" t="s">
        <v>33</v>
      </c>
      <c r="D167" t="s">
        <v>31</v>
      </c>
      <c r="E167" t="s">
        <v>24</v>
      </c>
      <c r="F167" t="s">
        <v>30</v>
      </c>
      <c r="G167" s="1">
        <v>44972</v>
      </c>
      <c r="H167" s="1">
        <v>44975</v>
      </c>
      <c r="I167" s="1">
        <v>44977</v>
      </c>
      <c r="J167">
        <v>5</v>
      </c>
      <c r="K167">
        <v>3</v>
      </c>
      <c r="L167">
        <v>12</v>
      </c>
      <c r="M167">
        <v>659.5</v>
      </c>
      <c r="N167">
        <v>7914</v>
      </c>
      <c r="O167">
        <v>0.12</v>
      </c>
      <c r="P167">
        <v>949.68</v>
      </c>
      <c r="Q167">
        <v>6964.32</v>
      </c>
      <c r="R167">
        <v>5144.1000000000004</v>
      </c>
      <c r="S167">
        <v>1820.22</v>
      </c>
    </row>
    <row r="168" spans="1:19" x14ac:dyDescent="0.35">
      <c r="A168">
        <v>100166</v>
      </c>
      <c r="B168">
        <v>3607</v>
      </c>
      <c r="C168" t="s">
        <v>28</v>
      </c>
      <c r="D168" t="s">
        <v>29</v>
      </c>
      <c r="E168" t="s">
        <v>26</v>
      </c>
      <c r="F168" t="s">
        <v>37</v>
      </c>
      <c r="G168" s="1">
        <v>45043</v>
      </c>
      <c r="H168" s="1">
        <v>45046</v>
      </c>
      <c r="I168" s="1">
        <v>45063</v>
      </c>
      <c r="J168">
        <v>20</v>
      </c>
      <c r="K168">
        <v>3</v>
      </c>
      <c r="L168">
        <v>8</v>
      </c>
      <c r="M168">
        <v>466.35</v>
      </c>
      <c r="N168">
        <v>3730.8</v>
      </c>
      <c r="O168">
        <v>0.05</v>
      </c>
      <c r="P168">
        <v>186.54</v>
      </c>
      <c r="Q168">
        <v>3544.26</v>
      </c>
      <c r="R168">
        <v>2238.48</v>
      </c>
      <c r="S168">
        <v>1305.78</v>
      </c>
    </row>
    <row r="169" spans="1:19" x14ac:dyDescent="0.35">
      <c r="A169">
        <v>100167</v>
      </c>
      <c r="B169">
        <v>2459</v>
      </c>
      <c r="C169" t="s">
        <v>33</v>
      </c>
      <c r="D169" t="s">
        <v>29</v>
      </c>
      <c r="E169" t="s">
        <v>34</v>
      </c>
      <c r="F169" t="s">
        <v>35</v>
      </c>
      <c r="G169" s="1">
        <v>44972</v>
      </c>
      <c r="H169" s="1">
        <v>44977</v>
      </c>
      <c r="I169" s="1">
        <v>44995</v>
      </c>
      <c r="J169">
        <v>23</v>
      </c>
      <c r="K169">
        <v>5</v>
      </c>
      <c r="L169">
        <v>5</v>
      </c>
      <c r="M169">
        <v>744.09</v>
      </c>
      <c r="N169">
        <v>3720.45</v>
      </c>
      <c r="O169">
        <v>0.06</v>
      </c>
      <c r="P169">
        <v>223.23</v>
      </c>
      <c r="Q169">
        <v>3497.22</v>
      </c>
      <c r="R169">
        <v>2381.09</v>
      </c>
      <c r="S169">
        <v>1116.1300000000001</v>
      </c>
    </row>
    <row r="170" spans="1:19" x14ac:dyDescent="0.35">
      <c r="A170">
        <v>100168</v>
      </c>
      <c r="B170">
        <v>1430</v>
      </c>
      <c r="C170" t="s">
        <v>33</v>
      </c>
      <c r="D170" t="s">
        <v>29</v>
      </c>
      <c r="E170" t="s">
        <v>21</v>
      </c>
      <c r="F170" t="s">
        <v>38</v>
      </c>
      <c r="G170" s="1">
        <v>45288</v>
      </c>
      <c r="H170" s="1">
        <v>45293</v>
      </c>
      <c r="I170" s="1">
        <v>45295</v>
      </c>
      <c r="J170">
        <v>7</v>
      </c>
      <c r="K170">
        <v>5</v>
      </c>
      <c r="L170">
        <v>4</v>
      </c>
      <c r="M170">
        <v>660.26</v>
      </c>
      <c r="N170">
        <v>2641.04</v>
      </c>
      <c r="O170">
        <v>7.0000000000000007E-2</v>
      </c>
      <c r="P170">
        <v>184.87</v>
      </c>
      <c r="Q170">
        <v>2456.17</v>
      </c>
      <c r="R170">
        <v>1584.62</v>
      </c>
      <c r="S170">
        <v>871.55</v>
      </c>
    </row>
    <row r="171" spans="1:19" x14ac:dyDescent="0.35">
      <c r="A171">
        <v>100169</v>
      </c>
      <c r="B171">
        <v>1525</v>
      </c>
      <c r="C171" t="s">
        <v>19</v>
      </c>
      <c r="D171" t="s">
        <v>20</v>
      </c>
      <c r="E171" t="s">
        <v>24</v>
      </c>
      <c r="F171" t="s">
        <v>25</v>
      </c>
      <c r="G171" s="1">
        <v>44969</v>
      </c>
      <c r="H171" s="1">
        <v>44971</v>
      </c>
      <c r="I171" s="1">
        <v>44979</v>
      </c>
      <c r="J171">
        <v>10</v>
      </c>
      <c r="K171">
        <v>2</v>
      </c>
      <c r="L171">
        <v>11</v>
      </c>
      <c r="M171">
        <v>477.77</v>
      </c>
      <c r="N171">
        <v>5255.47</v>
      </c>
      <c r="O171">
        <v>0.09</v>
      </c>
      <c r="P171">
        <v>472.99</v>
      </c>
      <c r="Q171">
        <v>4782.4799999999996</v>
      </c>
      <c r="R171">
        <v>3416.06</v>
      </c>
      <c r="S171">
        <v>1366.42</v>
      </c>
    </row>
    <row r="172" spans="1:19" x14ac:dyDescent="0.35">
      <c r="A172">
        <v>100170</v>
      </c>
      <c r="B172">
        <v>3364</v>
      </c>
      <c r="C172" t="s">
        <v>23</v>
      </c>
      <c r="D172" t="s">
        <v>31</v>
      </c>
      <c r="E172" t="s">
        <v>21</v>
      </c>
      <c r="F172" t="s">
        <v>38</v>
      </c>
      <c r="G172" s="1">
        <v>45279</v>
      </c>
      <c r="H172" s="1">
        <v>45283</v>
      </c>
      <c r="I172" s="1">
        <v>45309</v>
      </c>
      <c r="J172">
        <v>30</v>
      </c>
      <c r="K172">
        <v>4</v>
      </c>
      <c r="L172">
        <v>12</v>
      </c>
      <c r="M172">
        <v>324.77</v>
      </c>
      <c r="N172">
        <v>3897.24</v>
      </c>
      <c r="O172">
        <v>0.14000000000000001</v>
      </c>
      <c r="P172">
        <v>545.61</v>
      </c>
      <c r="Q172">
        <v>3351.63</v>
      </c>
      <c r="R172">
        <v>2182.4499999999998</v>
      </c>
      <c r="S172">
        <v>1169.18</v>
      </c>
    </row>
    <row r="173" spans="1:19" x14ac:dyDescent="0.35">
      <c r="A173">
        <v>100171</v>
      </c>
      <c r="B173">
        <v>3807</v>
      </c>
      <c r="C173" t="s">
        <v>23</v>
      </c>
      <c r="D173" t="s">
        <v>29</v>
      </c>
      <c r="E173" t="s">
        <v>26</v>
      </c>
      <c r="F173" t="s">
        <v>27</v>
      </c>
      <c r="G173" s="1">
        <v>45217</v>
      </c>
      <c r="H173" s="1">
        <v>45218</v>
      </c>
      <c r="I173" s="1">
        <v>45222</v>
      </c>
      <c r="J173">
        <v>5</v>
      </c>
      <c r="K173">
        <v>1</v>
      </c>
      <c r="L173">
        <v>1</v>
      </c>
      <c r="M173">
        <v>631.52</v>
      </c>
      <c r="N173">
        <v>631.52</v>
      </c>
      <c r="O173">
        <v>7.0000000000000007E-2</v>
      </c>
      <c r="P173">
        <v>44.21</v>
      </c>
      <c r="Q173">
        <v>587.30999999999995</v>
      </c>
      <c r="R173">
        <v>429.43</v>
      </c>
      <c r="S173">
        <v>157.88</v>
      </c>
    </row>
    <row r="174" spans="1:19" x14ac:dyDescent="0.35">
      <c r="A174">
        <v>100172</v>
      </c>
      <c r="B174">
        <v>3233</v>
      </c>
      <c r="C174" t="s">
        <v>33</v>
      </c>
      <c r="D174" t="s">
        <v>20</v>
      </c>
      <c r="E174" t="s">
        <v>21</v>
      </c>
      <c r="F174" t="s">
        <v>38</v>
      </c>
      <c r="G174" s="1">
        <v>45022</v>
      </c>
      <c r="H174" s="1">
        <v>45024</v>
      </c>
      <c r="I174" s="1">
        <v>45031</v>
      </c>
      <c r="J174">
        <v>9</v>
      </c>
      <c r="K174">
        <v>2</v>
      </c>
      <c r="L174">
        <v>9</v>
      </c>
      <c r="M174">
        <v>515.62</v>
      </c>
      <c r="N174">
        <v>4640.58</v>
      </c>
      <c r="O174">
        <v>0.03</v>
      </c>
      <c r="P174">
        <v>139.22</v>
      </c>
      <c r="Q174">
        <v>4501.3599999999997</v>
      </c>
      <c r="R174">
        <v>3016.38</v>
      </c>
      <c r="S174">
        <v>1484.98</v>
      </c>
    </row>
    <row r="175" spans="1:19" x14ac:dyDescent="0.35">
      <c r="A175">
        <v>100173</v>
      </c>
      <c r="B175">
        <v>3625</v>
      </c>
      <c r="C175" t="s">
        <v>19</v>
      </c>
      <c r="D175" t="s">
        <v>20</v>
      </c>
      <c r="E175" t="s">
        <v>24</v>
      </c>
      <c r="F175" t="s">
        <v>30</v>
      </c>
      <c r="G175" s="1">
        <v>45110</v>
      </c>
      <c r="H175" s="1">
        <v>45112</v>
      </c>
      <c r="I175" s="1">
        <v>45112</v>
      </c>
      <c r="J175">
        <v>2</v>
      </c>
      <c r="K175">
        <v>2</v>
      </c>
      <c r="L175">
        <v>1</v>
      </c>
      <c r="M175">
        <v>558.51</v>
      </c>
      <c r="N175">
        <v>558.51</v>
      </c>
      <c r="O175">
        <v>0.09</v>
      </c>
      <c r="P175">
        <v>50.27</v>
      </c>
      <c r="Q175">
        <v>508.24</v>
      </c>
      <c r="R175">
        <v>363.03</v>
      </c>
      <c r="S175">
        <v>145.21</v>
      </c>
    </row>
    <row r="176" spans="1:19" x14ac:dyDescent="0.35">
      <c r="A176">
        <v>100174</v>
      </c>
      <c r="B176">
        <v>3952</v>
      </c>
      <c r="C176" t="s">
        <v>19</v>
      </c>
      <c r="D176" t="s">
        <v>31</v>
      </c>
      <c r="E176" t="s">
        <v>24</v>
      </c>
      <c r="F176" t="s">
        <v>25</v>
      </c>
      <c r="G176" s="1">
        <v>45157</v>
      </c>
      <c r="H176" s="1">
        <v>45162</v>
      </c>
      <c r="I176" s="1">
        <v>45181</v>
      </c>
      <c r="J176">
        <v>24</v>
      </c>
      <c r="K176">
        <v>5</v>
      </c>
      <c r="L176">
        <v>3</v>
      </c>
      <c r="M176">
        <v>655.4</v>
      </c>
      <c r="N176">
        <v>1966.2</v>
      </c>
      <c r="O176">
        <v>0.05</v>
      </c>
      <c r="P176">
        <v>98.31</v>
      </c>
      <c r="Q176">
        <v>1867.89</v>
      </c>
      <c r="R176">
        <v>1258.3699999999999</v>
      </c>
      <c r="S176">
        <v>609.52</v>
      </c>
    </row>
    <row r="177" spans="1:19" x14ac:dyDescent="0.35">
      <c r="A177">
        <v>100175</v>
      </c>
      <c r="B177">
        <v>4948</v>
      </c>
      <c r="C177" t="s">
        <v>19</v>
      </c>
      <c r="D177" t="s">
        <v>29</v>
      </c>
      <c r="E177" t="s">
        <v>21</v>
      </c>
      <c r="F177" t="s">
        <v>41</v>
      </c>
      <c r="G177" s="1">
        <v>45192</v>
      </c>
      <c r="H177" s="1">
        <v>45197</v>
      </c>
      <c r="I177" s="1">
        <v>45219</v>
      </c>
      <c r="J177">
        <v>27</v>
      </c>
      <c r="K177">
        <v>5</v>
      </c>
      <c r="L177">
        <v>9</v>
      </c>
      <c r="M177">
        <v>463.58</v>
      </c>
      <c r="N177">
        <v>4172.22</v>
      </c>
      <c r="O177">
        <v>0.09</v>
      </c>
      <c r="P177">
        <v>375.5</v>
      </c>
      <c r="Q177">
        <v>3796.72</v>
      </c>
      <c r="R177">
        <v>2711.94</v>
      </c>
      <c r="S177">
        <v>1084.78</v>
      </c>
    </row>
    <row r="178" spans="1:19" x14ac:dyDescent="0.35">
      <c r="A178">
        <v>100176</v>
      </c>
      <c r="B178">
        <v>3596</v>
      </c>
      <c r="C178" t="s">
        <v>23</v>
      </c>
      <c r="D178" t="s">
        <v>20</v>
      </c>
      <c r="E178" t="s">
        <v>34</v>
      </c>
      <c r="F178" t="s">
        <v>40</v>
      </c>
      <c r="G178" s="1">
        <v>45196</v>
      </c>
      <c r="H178" s="1">
        <v>45201</v>
      </c>
      <c r="I178" s="1">
        <v>45220</v>
      </c>
      <c r="J178">
        <v>24</v>
      </c>
      <c r="K178">
        <v>5</v>
      </c>
      <c r="L178">
        <v>8</v>
      </c>
      <c r="M178">
        <v>252</v>
      </c>
      <c r="N178">
        <v>2016</v>
      </c>
      <c r="O178">
        <v>7.0000000000000007E-2</v>
      </c>
      <c r="P178">
        <v>141.12</v>
      </c>
      <c r="Q178">
        <v>1874.88</v>
      </c>
      <c r="R178">
        <v>1431.36</v>
      </c>
      <c r="S178">
        <v>443.52</v>
      </c>
    </row>
    <row r="179" spans="1:19" x14ac:dyDescent="0.35">
      <c r="A179">
        <v>100177</v>
      </c>
      <c r="B179">
        <v>3885</v>
      </c>
      <c r="C179" t="s">
        <v>28</v>
      </c>
      <c r="D179" t="s">
        <v>20</v>
      </c>
      <c r="E179" t="s">
        <v>24</v>
      </c>
      <c r="F179" t="s">
        <v>25</v>
      </c>
      <c r="G179" s="1">
        <v>45268</v>
      </c>
      <c r="H179" s="1">
        <v>45272</v>
      </c>
      <c r="I179" s="1">
        <v>45285</v>
      </c>
      <c r="J179">
        <v>17</v>
      </c>
      <c r="K179">
        <v>4</v>
      </c>
      <c r="L179">
        <v>4</v>
      </c>
      <c r="M179">
        <v>661.28</v>
      </c>
      <c r="N179">
        <v>2645.12</v>
      </c>
      <c r="O179">
        <v>0.12</v>
      </c>
      <c r="P179">
        <v>317.41000000000003</v>
      </c>
      <c r="Q179">
        <v>2327.71</v>
      </c>
      <c r="R179">
        <v>1639.97</v>
      </c>
      <c r="S179">
        <v>687.74</v>
      </c>
    </row>
    <row r="180" spans="1:19" x14ac:dyDescent="0.35">
      <c r="A180">
        <v>100178</v>
      </c>
      <c r="B180">
        <v>2842</v>
      </c>
      <c r="C180" t="s">
        <v>28</v>
      </c>
      <c r="D180" t="s">
        <v>31</v>
      </c>
      <c r="E180" t="s">
        <v>34</v>
      </c>
      <c r="F180" t="s">
        <v>40</v>
      </c>
      <c r="G180" s="1">
        <v>44928</v>
      </c>
      <c r="H180" s="1">
        <v>44929</v>
      </c>
      <c r="I180" s="1">
        <v>44945</v>
      </c>
      <c r="J180">
        <v>17</v>
      </c>
      <c r="K180">
        <v>1</v>
      </c>
      <c r="L180">
        <v>4</v>
      </c>
      <c r="M180">
        <v>662.64</v>
      </c>
      <c r="N180">
        <v>2650.56</v>
      </c>
      <c r="O180">
        <v>0.05</v>
      </c>
      <c r="P180">
        <v>132.53</v>
      </c>
      <c r="Q180">
        <v>2518.0300000000002</v>
      </c>
      <c r="R180">
        <v>1934.91</v>
      </c>
      <c r="S180">
        <v>583.12</v>
      </c>
    </row>
    <row r="181" spans="1:19" x14ac:dyDescent="0.35">
      <c r="A181">
        <v>100179</v>
      </c>
      <c r="B181">
        <v>1045</v>
      </c>
      <c r="C181" t="s">
        <v>28</v>
      </c>
      <c r="D181" t="s">
        <v>29</v>
      </c>
      <c r="E181" t="s">
        <v>34</v>
      </c>
      <c r="F181" t="s">
        <v>35</v>
      </c>
      <c r="G181" s="1">
        <v>45214</v>
      </c>
      <c r="H181" s="1">
        <v>45215</v>
      </c>
      <c r="I181" s="1">
        <v>45226</v>
      </c>
      <c r="J181">
        <v>12</v>
      </c>
      <c r="K181">
        <v>1</v>
      </c>
      <c r="L181">
        <v>12</v>
      </c>
      <c r="M181">
        <v>408.72</v>
      </c>
      <c r="N181">
        <v>4904.6400000000003</v>
      </c>
      <c r="O181">
        <v>0.12</v>
      </c>
      <c r="P181">
        <v>588.55999999999995</v>
      </c>
      <c r="Q181">
        <v>4316.08</v>
      </c>
      <c r="R181">
        <v>2795.64</v>
      </c>
      <c r="S181">
        <v>1520.44</v>
      </c>
    </row>
    <row r="182" spans="1:19" x14ac:dyDescent="0.35">
      <c r="A182">
        <v>100180</v>
      </c>
      <c r="B182">
        <v>4429</v>
      </c>
      <c r="C182" t="s">
        <v>28</v>
      </c>
      <c r="D182" t="s">
        <v>20</v>
      </c>
      <c r="E182" t="s">
        <v>24</v>
      </c>
      <c r="F182" t="s">
        <v>30</v>
      </c>
      <c r="G182" s="1">
        <v>45135</v>
      </c>
      <c r="H182" s="1">
        <v>45139</v>
      </c>
      <c r="I182" s="1">
        <v>45158</v>
      </c>
      <c r="J182">
        <v>23</v>
      </c>
      <c r="K182">
        <v>4</v>
      </c>
      <c r="L182">
        <v>9</v>
      </c>
      <c r="M182">
        <v>248.48</v>
      </c>
      <c r="N182">
        <v>2236.3200000000002</v>
      </c>
      <c r="O182">
        <v>0.04</v>
      </c>
      <c r="P182">
        <v>89.45</v>
      </c>
      <c r="Q182">
        <v>2146.87</v>
      </c>
      <c r="R182">
        <v>1475.97</v>
      </c>
      <c r="S182">
        <v>670.9</v>
      </c>
    </row>
    <row r="183" spans="1:19" x14ac:dyDescent="0.35">
      <c r="A183">
        <v>100181</v>
      </c>
      <c r="B183">
        <v>4203</v>
      </c>
      <c r="C183" t="s">
        <v>28</v>
      </c>
      <c r="D183" t="s">
        <v>31</v>
      </c>
      <c r="E183" t="s">
        <v>24</v>
      </c>
      <c r="F183" t="s">
        <v>30</v>
      </c>
      <c r="G183" s="1">
        <v>44975</v>
      </c>
      <c r="H183" s="1">
        <v>44980</v>
      </c>
      <c r="I183" s="1">
        <v>45002</v>
      </c>
      <c r="J183">
        <v>27</v>
      </c>
      <c r="K183">
        <v>5</v>
      </c>
      <c r="L183">
        <v>13</v>
      </c>
      <c r="M183">
        <v>33.18</v>
      </c>
      <c r="N183">
        <v>431.34</v>
      </c>
      <c r="O183">
        <v>0.13</v>
      </c>
      <c r="P183">
        <v>56.07</v>
      </c>
      <c r="Q183">
        <v>375.27</v>
      </c>
      <c r="R183">
        <v>215.67</v>
      </c>
      <c r="S183">
        <v>159.6</v>
      </c>
    </row>
    <row r="184" spans="1:19" x14ac:dyDescent="0.35">
      <c r="A184">
        <v>100182</v>
      </c>
      <c r="B184">
        <v>4659</v>
      </c>
      <c r="C184" t="s">
        <v>23</v>
      </c>
      <c r="D184" t="s">
        <v>31</v>
      </c>
      <c r="E184" t="s">
        <v>26</v>
      </c>
      <c r="F184" t="s">
        <v>36</v>
      </c>
      <c r="G184" s="1">
        <v>45080</v>
      </c>
      <c r="H184" s="1">
        <v>45082</v>
      </c>
      <c r="I184" s="1">
        <v>45088</v>
      </c>
      <c r="J184">
        <v>8</v>
      </c>
      <c r="K184">
        <v>2</v>
      </c>
      <c r="L184">
        <v>12</v>
      </c>
      <c r="M184">
        <v>194.57</v>
      </c>
      <c r="N184">
        <v>2334.84</v>
      </c>
      <c r="O184">
        <v>0.14000000000000001</v>
      </c>
      <c r="P184">
        <v>326.88</v>
      </c>
      <c r="Q184">
        <v>2007.96</v>
      </c>
      <c r="R184">
        <v>1564.34</v>
      </c>
      <c r="S184">
        <v>443.62</v>
      </c>
    </row>
    <row r="185" spans="1:19" x14ac:dyDescent="0.35">
      <c r="A185">
        <v>100183</v>
      </c>
      <c r="B185">
        <v>1094</v>
      </c>
      <c r="C185" t="s">
        <v>19</v>
      </c>
      <c r="D185" t="s">
        <v>29</v>
      </c>
      <c r="E185" t="s">
        <v>34</v>
      </c>
      <c r="F185" t="s">
        <v>40</v>
      </c>
      <c r="G185" s="1">
        <v>45088</v>
      </c>
      <c r="H185" s="1">
        <v>45090</v>
      </c>
      <c r="I185" s="1">
        <v>45104</v>
      </c>
      <c r="J185">
        <v>16</v>
      </c>
      <c r="K185">
        <v>2</v>
      </c>
      <c r="L185">
        <v>9</v>
      </c>
      <c r="M185">
        <v>788.99</v>
      </c>
      <c r="N185">
        <v>7100.91</v>
      </c>
      <c r="O185">
        <v>0.03</v>
      </c>
      <c r="P185">
        <v>213.03</v>
      </c>
      <c r="Q185">
        <v>6887.88</v>
      </c>
      <c r="R185">
        <v>4686.6000000000004</v>
      </c>
      <c r="S185">
        <v>2201.2800000000002</v>
      </c>
    </row>
    <row r="186" spans="1:19" x14ac:dyDescent="0.35">
      <c r="A186">
        <v>100184</v>
      </c>
      <c r="B186">
        <v>1826</v>
      </c>
      <c r="C186" t="s">
        <v>33</v>
      </c>
      <c r="D186" t="s">
        <v>20</v>
      </c>
      <c r="E186" t="s">
        <v>21</v>
      </c>
      <c r="F186" t="s">
        <v>22</v>
      </c>
      <c r="G186" s="1">
        <v>45182</v>
      </c>
      <c r="H186" s="1">
        <v>45185</v>
      </c>
      <c r="I186" s="1">
        <v>45195</v>
      </c>
      <c r="J186">
        <v>13</v>
      </c>
      <c r="K186">
        <v>3</v>
      </c>
      <c r="L186">
        <v>4</v>
      </c>
      <c r="M186">
        <v>744.86</v>
      </c>
      <c r="N186">
        <v>2979.44</v>
      </c>
      <c r="O186">
        <v>0.08</v>
      </c>
      <c r="P186">
        <v>238.36</v>
      </c>
      <c r="Q186">
        <v>2741.08</v>
      </c>
      <c r="R186">
        <v>2026.02</v>
      </c>
      <c r="S186">
        <v>715.06</v>
      </c>
    </row>
    <row r="187" spans="1:19" x14ac:dyDescent="0.35">
      <c r="A187">
        <v>100185</v>
      </c>
      <c r="B187">
        <v>4347</v>
      </c>
      <c r="C187" t="s">
        <v>33</v>
      </c>
      <c r="D187" t="s">
        <v>20</v>
      </c>
      <c r="E187" t="s">
        <v>24</v>
      </c>
      <c r="F187" t="s">
        <v>30</v>
      </c>
      <c r="G187" s="1">
        <v>45265</v>
      </c>
      <c r="H187" s="1">
        <v>45267</v>
      </c>
      <c r="I187" s="1">
        <v>45290</v>
      </c>
      <c r="J187">
        <v>25</v>
      </c>
      <c r="K187">
        <v>2</v>
      </c>
      <c r="L187">
        <v>7</v>
      </c>
      <c r="M187">
        <v>762.56</v>
      </c>
      <c r="N187">
        <v>5337.92</v>
      </c>
      <c r="O187">
        <v>0.08</v>
      </c>
      <c r="P187">
        <v>427.03</v>
      </c>
      <c r="Q187">
        <v>4910.8900000000003</v>
      </c>
      <c r="R187">
        <v>3523.03</v>
      </c>
      <c r="S187">
        <v>1387.86</v>
      </c>
    </row>
    <row r="188" spans="1:19" x14ac:dyDescent="0.35">
      <c r="A188">
        <v>100186</v>
      </c>
      <c r="B188">
        <v>1896</v>
      </c>
      <c r="C188" t="s">
        <v>33</v>
      </c>
      <c r="D188" t="s">
        <v>29</v>
      </c>
      <c r="E188" t="s">
        <v>34</v>
      </c>
      <c r="F188" t="s">
        <v>35</v>
      </c>
      <c r="G188" s="1">
        <v>44991</v>
      </c>
      <c r="H188" s="1">
        <v>44994</v>
      </c>
      <c r="I188" s="1">
        <v>45004</v>
      </c>
      <c r="J188">
        <v>13</v>
      </c>
      <c r="K188">
        <v>3</v>
      </c>
      <c r="L188">
        <v>2</v>
      </c>
      <c r="M188">
        <v>325.73</v>
      </c>
      <c r="N188">
        <v>651.46</v>
      </c>
      <c r="O188">
        <v>0.08</v>
      </c>
      <c r="P188">
        <v>52.12</v>
      </c>
      <c r="Q188">
        <v>599.34</v>
      </c>
      <c r="R188">
        <v>390.88</v>
      </c>
      <c r="S188">
        <v>208.46</v>
      </c>
    </row>
    <row r="189" spans="1:19" x14ac:dyDescent="0.35">
      <c r="A189">
        <v>100187</v>
      </c>
      <c r="B189">
        <v>3323</v>
      </c>
      <c r="C189" t="s">
        <v>33</v>
      </c>
      <c r="D189" t="s">
        <v>31</v>
      </c>
      <c r="E189" t="s">
        <v>21</v>
      </c>
      <c r="F189" t="s">
        <v>22</v>
      </c>
      <c r="G189" s="1">
        <v>45241</v>
      </c>
      <c r="H189" s="1">
        <v>45244</v>
      </c>
      <c r="I189" s="1">
        <v>45264</v>
      </c>
      <c r="J189">
        <v>23</v>
      </c>
      <c r="K189">
        <v>3</v>
      </c>
      <c r="L189">
        <v>14</v>
      </c>
      <c r="M189">
        <v>597.87</v>
      </c>
      <c r="N189">
        <v>8370.18</v>
      </c>
      <c r="O189">
        <v>0.19</v>
      </c>
      <c r="P189">
        <v>1590.33</v>
      </c>
      <c r="Q189">
        <v>6779.85</v>
      </c>
      <c r="R189">
        <v>5608.02</v>
      </c>
      <c r="S189">
        <v>1171.83</v>
      </c>
    </row>
    <row r="190" spans="1:19" x14ac:dyDescent="0.35">
      <c r="A190">
        <v>100188</v>
      </c>
      <c r="B190">
        <v>3953</v>
      </c>
      <c r="C190" t="s">
        <v>19</v>
      </c>
      <c r="D190" t="s">
        <v>20</v>
      </c>
      <c r="E190" t="s">
        <v>24</v>
      </c>
      <c r="F190" t="s">
        <v>25</v>
      </c>
      <c r="G190" s="1">
        <v>45193</v>
      </c>
      <c r="H190" s="1">
        <v>45196</v>
      </c>
      <c r="I190" s="1">
        <v>45203</v>
      </c>
      <c r="J190">
        <v>10</v>
      </c>
      <c r="K190">
        <v>3</v>
      </c>
      <c r="L190">
        <v>5</v>
      </c>
      <c r="M190">
        <v>501.82</v>
      </c>
      <c r="N190">
        <v>2509.1</v>
      </c>
      <c r="O190">
        <v>0.05</v>
      </c>
      <c r="P190">
        <v>125.46</v>
      </c>
      <c r="Q190">
        <v>2383.64</v>
      </c>
      <c r="R190">
        <v>1656.01</v>
      </c>
      <c r="S190">
        <v>727.63</v>
      </c>
    </row>
    <row r="191" spans="1:19" x14ac:dyDescent="0.35">
      <c r="A191">
        <v>100189</v>
      </c>
      <c r="B191">
        <v>4443</v>
      </c>
      <c r="C191" t="s">
        <v>23</v>
      </c>
      <c r="D191" t="s">
        <v>20</v>
      </c>
      <c r="E191" t="s">
        <v>24</v>
      </c>
      <c r="F191" t="s">
        <v>42</v>
      </c>
      <c r="G191" s="1">
        <v>44954</v>
      </c>
      <c r="H191" s="1">
        <v>44959</v>
      </c>
      <c r="I191" s="1">
        <v>44959</v>
      </c>
      <c r="J191">
        <v>5</v>
      </c>
      <c r="K191">
        <v>5</v>
      </c>
      <c r="L191">
        <v>7</v>
      </c>
      <c r="M191">
        <v>706.64</v>
      </c>
      <c r="N191">
        <v>4946.4799999999996</v>
      </c>
      <c r="O191">
        <v>0.12</v>
      </c>
      <c r="P191">
        <v>593.58000000000004</v>
      </c>
      <c r="Q191">
        <v>4352.8999999999996</v>
      </c>
      <c r="R191">
        <v>3413.07</v>
      </c>
      <c r="S191">
        <v>939.83</v>
      </c>
    </row>
    <row r="192" spans="1:19" x14ac:dyDescent="0.35">
      <c r="A192">
        <v>100190</v>
      </c>
      <c r="B192">
        <v>3955</v>
      </c>
      <c r="C192" t="s">
        <v>33</v>
      </c>
      <c r="D192" t="s">
        <v>29</v>
      </c>
      <c r="E192" t="s">
        <v>24</v>
      </c>
      <c r="F192" t="s">
        <v>32</v>
      </c>
      <c r="G192" s="1">
        <v>45083</v>
      </c>
      <c r="H192" s="1">
        <v>45087</v>
      </c>
      <c r="I192" s="1">
        <v>45091</v>
      </c>
      <c r="J192">
        <v>8</v>
      </c>
      <c r="K192">
        <v>4</v>
      </c>
      <c r="L192">
        <v>4</v>
      </c>
      <c r="M192">
        <v>121.97</v>
      </c>
      <c r="N192">
        <v>487.88</v>
      </c>
      <c r="O192">
        <v>0.11</v>
      </c>
      <c r="P192">
        <v>53.67</v>
      </c>
      <c r="Q192">
        <v>434.21</v>
      </c>
      <c r="R192">
        <v>297.61</v>
      </c>
      <c r="S192">
        <v>136.6</v>
      </c>
    </row>
    <row r="193" spans="1:19" x14ac:dyDescent="0.35">
      <c r="A193">
        <v>100191</v>
      </c>
      <c r="B193">
        <v>2326</v>
      </c>
      <c r="C193" t="s">
        <v>28</v>
      </c>
      <c r="D193" t="s">
        <v>20</v>
      </c>
      <c r="E193" t="s">
        <v>26</v>
      </c>
      <c r="F193" t="s">
        <v>36</v>
      </c>
      <c r="G193" s="1">
        <v>44935</v>
      </c>
      <c r="H193" s="1">
        <v>44940</v>
      </c>
      <c r="I193" s="1">
        <v>44946</v>
      </c>
      <c r="J193">
        <v>11</v>
      </c>
      <c r="K193">
        <v>5</v>
      </c>
      <c r="L193">
        <v>3</v>
      </c>
      <c r="M193">
        <v>773.75</v>
      </c>
      <c r="N193">
        <v>2321.25</v>
      </c>
      <c r="O193">
        <v>0.01</v>
      </c>
      <c r="P193">
        <v>23.21</v>
      </c>
      <c r="Q193">
        <v>2298.04</v>
      </c>
      <c r="R193">
        <v>1601.66</v>
      </c>
      <c r="S193">
        <v>696.38</v>
      </c>
    </row>
    <row r="194" spans="1:19" x14ac:dyDescent="0.35">
      <c r="A194">
        <v>100192</v>
      </c>
      <c r="B194">
        <v>1763</v>
      </c>
      <c r="C194" t="s">
        <v>19</v>
      </c>
      <c r="D194" t="s">
        <v>20</v>
      </c>
      <c r="E194" t="s">
        <v>24</v>
      </c>
      <c r="F194" t="s">
        <v>32</v>
      </c>
      <c r="G194" s="1">
        <v>45174</v>
      </c>
      <c r="H194" s="1">
        <v>45179</v>
      </c>
      <c r="I194" s="1">
        <v>45189</v>
      </c>
      <c r="J194">
        <v>15</v>
      </c>
      <c r="K194">
        <v>5</v>
      </c>
      <c r="L194">
        <v>13</v>
      </c>
      <c r="M194">
        <v>357.38</v>
      </c>
      <c r="N194">
        <v>4645.9399999999996</v>
      </c>
      <c r="O194">
        <v>0.1</v>
      </c>
      <c r="P194">
        <v>464.59</v>
      </c>
      <c r="Q194">
        <v>4181.3500000000004</v>
      </c>
      <c r="R194">
        <v>3159.24</v>
      </c>
      <c r="S194">
        <v>1022.11</v>
      </c>
    </row>
    <row r="195" spans="1:19" x14ac:dyDescent="0.35">
      <c r="A195">
        <v>100193</v>
      </c>
      <c r="B195">
        <v>1699</v>
      </c>
      <c r="C195" t="s">
        <v>33</v>
      </c>
      <c r="D195" t="s">
        <v>29</v>
      </c>
      <c r="E195" t="s">
        <v>34</v>
      </c>
      <c r="F195" t="s">
        <v>35</v>
      </c>
      <c r="G195" s="1">
        <v>45027</v>
      </c>
      <c r="H195" s="1">
        <v>45029</v>
      </c>
      <c r="I195" s="1">
        <v>45042</v>
      </c>
      <c r="J195">
        <v>15</v>
      </c>
      <c r="K195">
        <v>2</v>
      </c>
      <c r="L195">
        <v>3</v>
      </c>
      <c r="M195">
        <v>370.9</v>
      </c>
      <c r="N195">
        <v>1112.7</v>
      </c>
      <c r="O195">
        <v>0.11</v>
      </c>
      <c r="P195">
        <v>122.4</v>
      </c>
      <c r="Q195">
        <v>990.3</v>
      </c>
      <c r="R195">
        <v>645.37</v>
      </c>
      <c r="S195">
        <v>344.93</v>
      </c>
    </row>
    <row r="196" spans="1:19" x14ac:dyDescent="0.35">
      <c r="A196">
        <v>100194</v>
      </c>
      <c r="B196">
        <v>1488</v>
      </c>
      <c r="C196" t="s">
        <v>19</v>
      </c>
      <c r="D196" t="s">
        <v>31</v>
      </c>
      <c r="E196" t="s">
        <v>26</v>
      </c>
      <c r="F196" t="s">
        <v>27</v>
      </c>
      <c r="G196" s="1">
        <v>45181</v>
      </c>
      <c r="H196" s="1">
        <v>45186</v>
      </c>
      <c r="I196" s="1">
        <v>45205</v>
      </c>
      <c r="J196">
        <v>24</v>
      </c>
      <c r="K196">
        <v>5</v>
      </c>
      <c r="L196">
        <v>3</v>
      </c>
      <c r="M196">
        <v>184.91</v>
      </c>
      <c r="N196">
        <v>554.73</v>
      </c>
      <c r="O196">
        <v>0.09</v>
      </c>
      <c r="P196">
        <v>49.93</v>
      </c>
      <c r="Q196">
        <v>504.8</v>
      </c>
      <c r="R196">
        <v>321.74</v>
      </c>
      <c r="S196">
        <v>183.06</v>
      </c>
    </row>
    <row r="197" spans="1:19" x14ac:dyDescent="0.35">
      <c r="A197">
        <v>100195</v>
      </c>
      <c r="B197">
        <v>2435</v>
      </c>
      <c r="C197" t="s">
        <v>33</v>
      </c>
      <c r="D197" t="s">
        <v>20</v>
      </c>
      <c r="E197" t="s">
        <v>24</v>
      </c>
      <c r="F197" t="s">
        <v>32</v>
      </c>
      <c r="G197" s="1">
        <v>45237</v>
      </c>
      <c r="H197" s="1">
        <v>45238</v>
      </c>
      <c r="I197" s="1">
        <v>45253</v>
      </c>
      <c r="J197">
        <v>16</v>
      </c>
      <c r="K197">
        <v>1</v>
      </c>
      <c r="L197">
        <v>14</v>
      </c>
      <c r="M197">
        <v>140.13</v>
      </c>
      <c r="N197">
        <v>1961.82</v>
      </c>
      <c r="O197">
        <v>0.2</v>
      </c>
      <c r="P197">
        <v>392.36</v>
      </c>
      <c r="Q197">
        <v>1569.46</v>
      </c>
      <c r="R197">
        <v>1294.8</v>
      </c>
      <c r="S197">
        <v>274.66000000000003</v>
      </c>
    </row>
    <row r="198" spans="1:19" x14ac:dyDescent="0.35">
      <c r="A198">
        <v>100196</v>
      </c>
      <c r="B198">
        <v>1900</v>
      </c>
      <c r="C198" t="s">
        <v>19</v>
      </c>
      <c r="D198" t="s">
        <v>20</v>
      </c>
      <c r="E198" t="s">
        <v>26</v>
      </c>
      <c r="F198" t="s">
        <v>37</v>
      </c>
      <c r="G198" s="1">
        <v>45225</v>
      </c>
      <c r="H198" s="1">
        <v>45227</v>
      </c>
      <c r="I198" s="1">
        <v>45235</v>
      </c>
      <c r="J198">
        <v>10</v>
      </c>
      <c r="K198">
        <v>2</v>
      </c>
      <c r="L198">
        <v>11</v>
      </c>
      <c r="M198">
        <v>474.63</v>
      </c>
      <c r="N198">
        <v>5220.93</v>
      </c>
      <c r="O198">
        <v>0.03</v>
      </c>
      <c r="P198">
        <v>156.63</v>
      </c>
      <c r="Q198">
        <v>5064.3</v>
      </c>
      <c r="R198">
        <v>3445.81</v>
      </c>
      <c r="S198">
        <v>1618.49</v>
      </c>
    </row>
    <row r="199" spans="1:19" x14ac:dyDescent="0.35">
      <c r="A199">
        <v>100197</v>
      </c>
      <c r="B199">
        <v>1821</v>
      </c>
      <c r="C199" t="s">
        <v>23</v>
      </c>
      <c r="D199" t="s">
        <v>31</v>
      </c>
      <c r="E199" t="s">
        <v>34</v>
      </c>
      <c r="F199" t="s">
        <v>35</v>
      </c>
      <c r="G199" s="1">
        <v>45275</v>
      </c>
      <c r="H199" s="1">
        <v>45277</v>
      </c>
      <c r="I199" s="1">
        <v>45284</v>
      </c>
      <c r="J199">
        <v>9</v>
      </c>
      <c r="K199">
        <v>2</v>
      </c>
      <c r="L199">
        <v>14</v>
      </c>
      <c r="M199">
        <v>405.2</v>
      </c>
      <c r="N199">
        <v>5672.8</v>
      </c>
      <c r="O199">
        <v>0.04</v>
      </c>
      <c r="P199">
        <v>226.91</v>
      </c>
      <c r="Q199">
        <v>5445.89</v>
      </c>
      <c r="R199">
        <v>3914.23</v>
      </c>
      <c r="S199">
        <v>1531.66</v>
      </c>
    </row>
    <row r="200" spans="1:19" x14ac:dyDescent="0.35">
      <c r="A200">
        <v>100198</v>
      </c>
      <c r="B200">
        <v>2853</v>
      </c>
      <c r="C200" t="s">
        <v>23</v>
      </c>
      <c r="D200" t="s">
        <v>20</v>
      </c>
      <c r="E200" t="s">
        <v>24</v>
      </c>
      <c r="F200" t="s">
        <v>25</v>
      </c>
      <c r="G200" s="1">
        <v>44934</v>
      </c>
      <c r="H200" s="1">
        <v>44937</v>
      </c>
      <c r="I200" s="1">
        <v>44952</v>
      </c>
      <c r="J200">
        <v>18</v>
      </c>
      <c r="K200">
        <v>3</v>
      </c>
      <c r="L200">
        <v>2</v>
      </c>
      <c r="M200">
        <v>259.79000000000002</v>
      </c>
      <c r="N200">
        <v>519.58000000000004</v>
      </c>
      <c r="O200">
        <v>0</v>
      </c>
      <c r="P200">
        <v>0</v>
      </c>
      <c r="Q200">
        <v>519.58000000000004</v>
      </c>
      <c r="R200">
        <v>327.33999999999997</v>
      </c>
      <c r="S200">
        <v>192.24</v>
      </c>
    </row>
    <row r="201" spans="1:19" x14ac:dyDescent="0.35">
      <c r="A201">
        <v>100199</v>
      </c>
      <c r="B201">
        <v>1600</v>
      </c>
      <c r="C201" t="s">
        <v>19</v>
      </c>
      <c r="D201" t="s">
        <v>31</v>
      </c>
      <c r="E201" t="s">
        <v>26</v>
      </c>
      <c r="F201" t="s">
        <v>37</v>
      </c>
      <c r="G201" s="1">
        <v>45168</v>
      </c>
      <c r="H201" s="1">
        <v>45172</v>
      </c>
      <c r="I201" s="1">
        <v>45198</v>
      </c>
      <c r="J201">
        <v>30</v>
      </c>
      <c r="K201">
        <v>4</v>
      </c>
      <c r="L201">
        <v>4</v>
      </c>
      <c r="M201">
        <v>499.87</v>
      </c>
      <c r="N201">
        <v>1999.48</v>
      </c>
      <c r="O201">
        <v>0.06</v>
      </c>
      <c r="P201">
        <v>119.97</v>
      </c>
      <c r="Q201">
        <v>1879.51</v>
      </c>
      <c r="R201">
        <v>1319.66</v>
      </c>
      <c r="S201">
        <v>559.85</v>
      </c>
    </row>
    <row r="202" spans="1:19" x14ac:dyDescent="0.35">
      <c r="A202">
        <v>100200</v>
      </c>
      <c r="B202">
        <v>3802</v>
      </c>
      <c r="C202" t="s">
        <v>23</v>
      </c>
      <c r="D202" t="s">
        <v>31</v>
      </c>
      <c r="E202" t="s">
        <v>21</v>
      </c>
      <c r="F202" t="s">
        <v>39</v>
      </c>
      <c r="G202" s="1">
        <v>45070</v>
      </c>
      <c r="H202" s="1">
        <v>45072</v>
      </c>
      <c r="I202" s="1">
        <v>45094</v>
      </c>
      <c r="J202">
        <v>24</v>
      </c>
      <c r="K202">
        <v>2</v>
      </c>
      <c r="L202">
        <v>10</v>
      </c>
      <c r="M202">
        <v>274.45</v>
      </c>
      <c r="N202">
        <v>2744.5</v>
      </c>
      <c r="O202">
        <v>0.16</v>
      </c>
      <c r="P202">
        <v>439.12</v>
      </c>
      <c r="Q202">
        <v>2305.38</v>
      </c>
      <c r="R202">
        <v>2058.38</v>
      </c>
      <c r="S202">
        <v>247</v>
      </c>
    </row>
    <row r="203" spans="1:19" x14ac:dyDescent="0.35">
      <c r="A203">
        <v>100201</v>
      </c>
      <c r="B203">
        <v>2812</v>
      </c>
      <c r="C203" t="s">
        <v>33</v>
      </c>
      <c r="D203" t="s">
        <v>31</v>
      </c>
      <c r="E203" t="s">
        <v>34</v>
      </c>
      <c r="F203" t="s">
        <v>45</v>
      </c>
      <c r="G203" s="1">
        <v>45055</v>
      </c>
      <c r="H203" s="1">
        <v>45056</v>
      </c>
      <c r="I203" s="1">
        <v>45065</v>
      </c>
      <c r="J203">
        <v>10</v>
      </c>
      <c r="K203">
        <v>1</v>
      </c>
      <c r="L203">
        <v>3</v>
      </c>
      <c r="M203">
        <v>625.34</v>
      </c>
      <c r="N203">
        <v>1876.02</v>
      </c>
      <c r="O203">
        <v>0.09</v>
      </c>
      <c r="P203">
        <v>168.84</v>
      </c>
      <c r="Q203">
        <v>1707.18</v>
      </c>
      <c r="R203">
        <v>1163.1300000000001</v>
      </c>
      <c r="S203">
        <v>544.04999999999995</v>
      </c>
    </row>
    <row r="204" spans="1:19" x14ac:dyDescent="0.35">
      <c r="A204">
        <v>100202</v>
      </c>
      <c r="B204">
        <v>2503</v>
      </c>
      <c r="C204" t="s">
        <v>33</v>
      </c>
      <c r="D204" t="s">
        <v>29</v>
      </c>
      <c r="E204" t="s">
        <v>26</v>
      </c>
      <c r="F204" t="s">
        <v>27</v>
      </c>
      <c r="G204" s="1">
        <v>45137</v>
      </c>
      <c r="H204" s="1">
        <v>45139</v>
      </c>
      <c r="I204" s="1">
        <v>45167</v>
      </c>
      <c r="J204">
        <v>30</v>
      </c>
      <c r="K204">
        <v>2</v>
      </c>
      <c r="L204">
        <v>13</v>
      </c>
      <c r="M204">
        <v>696.49</v>
      </c>
      <c r="N204">
        <v>9054.3700000000008</v>
      </c>
      <c r="O204">
        <v>0.13</v>
      </c>
      <c r="P204">
        <v>1177.07</v>
      </c>
      <c r="Q204">
        <v>7877.3</v>
      </c>
      <c r="R204">
        <v>5885.34</v>
      </c>
      <c r="S204">
        <v>1991.96</v>
      </c>
    </row>
    <row r="205" spans="1:19" x14ac:dyDescent="0.35">
      <c r="A205">
        <v>100203</v>
      </c>
      <c r="B205">
        <v>1696</v>
      </c>
      <c r="C205" t="s">
        <v>28</v>
      </c>
      <c r="D205" t="s">
        <v>29</v>
      </c>
      <c r="E205" t="s">
        <v>21</v>
      </c>
      <c r="F205" t="s">
        <v>38</v>
      </c>
      <c r="G205" s="1">
        <v>45158</v>
      </c>
      <c r="H205" s="1">
        <v>45161</v>
      </c>
      <c r="I205" s="1">
        <v>45181</v>
      </c>
      <c r="J205">
        <v>23</v>
      </c>
      <c r="K205">
        <v>3</v>
      </c>
      <c r="L205">
        <v>9</v>
      </c>
      <c r="M205">
        <v>789.14</v>
      </c>
      <c r="N205">
        <v>7102.26</v>
      </c>
      <c r="O205">
        <v>0</v>
      </c>
      <c r="P205">
        <v>0</v>
      </c>
      <c r="Q205">
        <v>7102.26</v>
      </c>
      <c r="R205">
        <v>4261.3599999999997</v>
      </c>
      <c r="S205">
        <v>2840.9</v>
      </c>
    </row>
    <row r="206" spans="1:19" x14ac:dyDescent="0.35">
      <c r="A206">
        <v>100204</v>
      </c>
      <c r="B206">
        <v>1598</v>
      </c>
      <c r="C206" t="s">
        <v>28</v>
      </c>
      <c r="D206" t="s">
        <v>29</v>
      </c>
      <c r="E206" t="s">
        <v>21</v>
      </c>
      <c r="F206" t="s">
        <v>39</v>
      </c>
      <c r="G206" s="1">
        <v>45103</v>
      </c>
      <c r="H206" s="1">
        <v>45107</v>
      </c>
      <c r="I206" s="1">
        <v>45119</v>
      </c>
      <c r="J206">
        <v>16</v>
      </c>
      <c r="K206">
        <v>4</v>
      </c>
      <c r="L206">
        <v>1</v>
      </c>
      <c r="M206">
        <v>737.41</v>
      </c>
      <c r="N206">
        <v>737.41</v>
      </c>
      <c r="O206">
        <v>0.13</v>
      </c>
      <c r="P206">
        <v>95.86</v>
      </c>
      <c r="Q206">
        <v>641.54999999999995</v>
      </c>
      <c r="R206">
        <v>508.81</v>
      </c>
      <c r="S206">
        <v>132.74</v>
      </c>
    </row>
    <row r="207" spans="1:19" x14ac:dyDescent="0.35">
      <c r="A207">
        <v>100205</v>
      </c>
      <c r="B207">
        <v>3382</v>
      </c>
      <c r="C207" t="s">
        <v>19</v>
      </c>
      <c r="D207" t="s">
        <v>31</v>
      </c>
      <c r="E207" t="s">
        <v>26</v>
      </c>
      <c r="F207" t="s">
        <v>27</v>
      </c>
      <c r="G207" s="1">
        <v>44971</v>
      </c>
      <c r="H207" s="1">
        <v>44972</v>
      </c>
      <c r="I207" s="1">
        <v>44980</v>
      </c>
      <c r="J207">
        <v>9</v>
      </c>
      <c r="K207">
        <v>1</v>
      </c>
      <c r="L207">
        <v>13</v>
      </c>
      <c r="M207">
        <v>151.97999999999999</v>
      </c>
      <c r="N207">
        <v>1975.74</v>
      </c>
      <c r="O207">
        <v>0.05</v>
      </c>
      <c r="P207">
        <v>98.79</v>
      </c>
      <c r="Q207">
        <v>1876.95</v>
      </c>
      <c r="R207">
        <v>1284.23</v>
      </c>
      <c r="S207">
        <v>592.72</v>
      </c>
    </row>
    <row r="208" spans="1:19" x14ac:dyDescent="0.35">
      <c r="A208">
        <v>100206</v>
      </c>
      <c r="B208">
        <v>1988</v>
      </c>
      <c r="C208" t="s">
        <v>33</v>
      </c>
      <c r="D208" t="s">
        <v>29</v>
      </c>
      <c r="E208" t="s">
        <v>26</v>
      </c>
      <c r="F208" t="s">
        <v>37</v>
      </c>
      <c r="G208" s="1">
        <v>44936</v>
      </c>
      <c r="H208" s="1">
        <v>44937</v>
      </c>
      <c r="I208" s="1">
        <v>44950</v>
      </c>
      <c r="J208">
        <v>14</v>
      </c>
      <c r="K208">
        <v>1</v>
      </c>
      <c r="L208">
        <v>6</v>
      </c>
      <c r="M208">
        <v>253.62</v>
      </c>
      <c r="N208">
        <v>1521.72</v>
      </c>
      <c r="O208">
        <v>7.0000000000000007E-2</v>
      </c>
      <c r="P208">
        <v>106.52</v>
      </c>
      <c r="Q208">
        <v>1415.2</v>
      </c>
      <c r="R208">
        <v>928.25</v>
      </c>
      <c r="S208">
        <v>486.95</v>
      </c>
    </row>
    <row r="209" spans="1:19" x14ac:dyDescent="0.35">
      <c r="A209">
        <v>100207</v>
      </c>
      <c r="B209">
        <v>3011</v>
      </c>
      <c r="C209" t="s">
        <v>33</v>
      </c>
      <c r="D209" t="s">
        <v>31</v>
      </c>
      <c r="E209" t="s">
        <v>24</v>
      </c>
      <c r="F209" t="s">
        <v>25</v>
      </c>
      <c r="G209" s="1">
        <v>45229</v>
      </c>
      <c r="H209" s="1">
        <v>45233</v>
      </c>
      <c r="I209" s="1">
        <v>45247</v>
      </c>
      <c r="J209">
        <v>18</v>
      </c>
      <c r="K209">
        <v>4</v>
      </c>
      <c r="L209">
        <v>1</v>
      </c>
      <c r="M209">
        <v>494.47</v>
      </c>
      <c r="N209">
        <v>494.47</v>
      </c>
      <c r="O209">
        <v>0.09</v>
      </c>
      <c r="P209">
        <v>44.5</v>
      </c>
      <c r="Q209">
        <v>449.97</v>
      </c>
      <c r="R209">
        <v>306.57</v>
      </c>
      <c r="S209">
        <v>143.4</v>
      </c>
    </row>
    <row r="210" spans="1:19" x14ac:dyDescent="0.35">
      <c r="A210">
        <v>100208</v>
      </c>
      <c r="B210">
        <v>1342</v>
      </c>
      <c r="C210" t="s">
        <v>23</v>
      </c>
      <c r="D210" t="s">
        <v>31</v>
      </c>
      <c r="E210" t="s">
        <v>21</v>
      </c>
      <c r="F210" t="s">
        <v>22</v>
      </c>
      <c r="G210" s="1">
        <v>45103</v>
      </c>
      <c r="H210" s="1">
        <v>45105</v>
      </c>
      <c r="I210" s="1">
        <v>45118</v>
      </c>
      <c r="J210">
        <v>15</v>
      </c>
      <c r="K210">
        <v>2</v>
      </c>
      <c r="L210">
        <v>13</v>
      </c>
      <c r="M210">
        <v>110.91</v>
      </c>
      <c r="N210">
        <v>1441.83</v>
      </c>
      <c r="O210">
        <v>0.1</v>
      </c>
      <c r="P210">
        <v>144.18</v>
      </c>
      <c r="Q210">
        <v>1297.6500000000001</v>
      </c>
      <c r="R210">
        <v>879.52</v>
      </c>
      <c r="S210">
        <v>418.13</v>
      </c>
    </row>
    <row r="211" spans="1:19" x14ac:dyDescent="0.35">
      <c r="A211">
        <v>100209</v>
      </c>
      <c r="B211">
        <v>2365</v>
      </c>
      <c r="C211" t="s">
        <v>33</v>
      </c>
      <c r="D211" t="s">
        <v>31</v>
      </c>
      <c r="E211" t="s">
        <v>21</v>
      </c>
      <c r="F211" t="s">
        <v>38</v>
      </c>
      <c r="G211" s="1">
        <v>45054</v>
      </c>
      <c r="H211" s="1">
        <v>45055</v>
      </c>
      <c r="I211" s="1">
        <v>45065</v>
      </c>
      <c r="J211">
        <v>11</v>
      </c>
      <c r="K211">
        <v>1</v>
      </c>
      <c r="L211">
        <v>4</v>
      </c>
      <c r="M211">
        <v>524.65</v>
      </c>
      <c r="N211">
        <v>2098.6</v>
      </c>
      <c r="O211">
        <v>0.18</v>
      </c>
      <c r="P211">
        <v>377.75</v>
      </c>
      <c r="Q211">
        <v>1720.85</v>
      </c>
      <c r="R211">
        <v>1280.1500000000001</v>
      </c>
      <c r="S211">
        <v>440.7</v>
      </c>
    </row>
    <row r="212" spans="1:19" x14ac:dyDescent="0.35">
      <c r="A212">
        <v>100210</v>
      </c>
      <c r="B212">
        <v>1573</v>
      </c>
      <c r="C212" t="s">
        <v>28</v>
      </c>
      <c r="D212" t="s">
        <v>20</v>
      </c>
      <c r="E212" t="s">
        <v>24</v>
      </c>
      <c r="F212" t="s">
        <v>42</v>
      </c>
      <c r="G212" s="1">
        <v>44932</v>
      </c>
      <c r="H212" s="1">
        <v>44934</v>
      </c>
      <c r="I212" s="1">
        <v>44944</v>
      </c>
      <c r="J212">
        <v>12</v>
      </c>
      <c r="K212">
        <v>2</v>
      </c>
      <c r="L212">
        <v>8</v>
      </c>
      <c r="M212">
        <v>509.73</v>
      </c>
      <c r="N212">
        <v>4077.84</v>
      </c>
      <c r="O212">
        <v>0</v>
      </c>
      <c r="P212">
        <v>0</v>
      </c>
      <c r="Q212">
        <v>4077.84</v>
      </c>
      <c r="R212">
        <v>2446.6999999999998</v>
      </c>
      <c r="S212">
        <v>1631.14</v>
      </c>
    </row>
    <row r="213" spans="1:19" x14ac:dyDescent="0.35">
      <c r="A213">
        <v>100211</v>
      </c>
      <c r="B213">
        <v>4923</v>
      </c>
      <c r="C213" t="s">
        <v>33</v>
      </c>
      <c r="D213" t="s">
        <v>31</v>
      </c>
      <c r="E213" t="s">
        <v>26</v>
      </c>
      <c r="F213" t="s">
        <v>36</v>
      </c>
      <c r="G213" s="1">
        <v>45071</v>
      </c>
      <c r="H213" s="1">
        <v>45072</v>
      </c>
      <c r="I213" s="1">
        <v>45088</v>
      </c>
      <c r="J213">
        <v>17</v>
      </c>
      <c r="K213">
        <v>1</v>
      </c>
      <c r="L213">
        <v>12</v>
      </c>
      <c r="M213">
        <v>785.9</v>
      </c>
      <c r="N213">
        <v>9430.7999999999993</v>
      </c>
      <c r="O213">
        <v>0.06</v>
      </c>
      <c r="P213">
        <v>565.85</v>
      </c>
      <c r="Q213">
        <v>8864.9500000000007</v>
      </c>
      <c r="R213">
        <v>6130.02</v>
      </c>
      <c r="S213">
        <v>2734.93</v>
      </c>
    </row>
    <row r="214" spans="1:19" x14ac:dyDescent="0.35">
      <c r="A214">
        <v>100212</v>
      </c>
      <c r="B214">
        <v>3151</v>
      </c>
      <c r="C214" t="s">
        <v>33</v>
      </c>
      <c r="D214" t="s">
        <v>20</v>
      </c>
      <c r="E214" t="s">
        <v>24</v>
      </c>
      <c r="F214" t="s">
        <v>30</v>
      </c>
      <c r="G214" s="1">
        <v>44938</v>
      </c>
      <c r="H214" s="1">
        <v>44939</v>
      </c>
      <c r="I214" s="1">
        <v>44966</v>
      </c>
      <c r="J214">
        <v>28</v>
      </c>
      <c r="K214">
        <v>1</v>
      </c>
      <c r="L214">
        <v>7</v>
      </c>
      <c r="M214">
        <v>666.05</v>
      </c>
      <c r="N214">
        <v>4662.3500000000004</v>
      </c>
      <c r="O214">
        <v>0.13</v>
      </c>
      <c r="P214">
        <v>606.11</v>
      </c>
      <c r="Q214">
        <v>4056.24</v>
      </c>
      <c r="R214">
        <v>2704.16</v>
      </c>
      <c r="S214">
        <v>1352.08</v>
      </c>
    </row>
    <row r="215" spans="1:19" x14ac:dyDescent="0.35">
      <c r="A215">
        <v>100213</v>
      </c>
      <c r="B215">
        <v>3092</v>
      </c>
      <c r="C215" t="s">
        <v>33</v>
      </c>
      <c r="D215" t="s">
        <v>20</v>
      </c>
      <c r="E215" t="s">
        <v>24</v>
      </c>
      <c r="F215" t="s">
        <v>42</v>
      </c>
      <c r="G215" s="1">
        <v>45289</v>
      </c>
      <c r="H215" s="1">
        <v>45292</v>
      </c>
      <c r="I215" s="1">
        <v>45316</v>
      </c>
      <c r="J215">
        <v>27</v>
      </c>
      <c r="K215">
        <v>3</v>
      </c>
      <c r="L215">
        <v>10</v>
      </c>
      <c r="M215">
        <v>386.74</v>
      </c>
      <c r="N215">
        <v>3867.4</v>
      </c>
      <c r="O215">
        <v>0.2</v>
      </c>
      <c r="P215">
        <v>773.48</v>
      </c>
      <c r="Q215">
        <v>3093.92</v>
      </c>
      <c r="R215">
        <v>2629.83</v>
      </c>
      <c r="S215">
        <v>464.09</v>
      </c>
    </row>
    <row r="216" spans="1:19" x14ac:dyDescent="0.35">
      <c r="A216">
        <v>100214</v>
      </c>
      <c r="B216">
        <v>3523</v>
      </c>
      <c r="C216" t="s">
        <v>28</v>
      </c>
      <c r="D216" t="s">
        <v>31</v>
      </c>
      <c r="E216" t="s">
        <v>21</v>
      </c>
      <c r="F216" t="s">
        <v>22</v>
      </c>
      <c r="G216" s="1">
        <v>45087</v>
      </c>
      <c r="H216" s="1">
        <v>45090</v>
      </c>
      <c r="I216" s="1">
        <v>45094</v>
      </c>
      <c r="J216">
        <v>7</v>
      </c>
      <c r="K216">
        <v>3</v>
      </c>
      <c r="L216">
        <v>4</v>
      </c>
      <c r="M216">
        <v>120.09</v>
      </c>
      <c r="N216">
        <v>480.36</v>
      </c>
      <c r="O216">
        <v>0.12</v>
      </c>
      <c r="P216">
        <v>57.64</v>
      </c>
      <c r="Q216">
        <v>422.72</v>
      </c>
      <c r="R216">
        <v>302.63</v>
      </c>
      <c r="S216">
        <v>120.09</v>
      </c>
    </row>
    <row r="217" spans="1:19" x14ac:dyDescent="0.35">
      <c r="A217">
        <v>100215</v>
      </c>
      <c r="B217">
        <v>1075</v>
      </c>
      <c r="C217" t="s">
        <v>19</v>
      </c>
      <c r="D217" t="s">
        <v>20</v>
      </c>
      <c r="E217" t="s">
        <v>26</v>
      </c>
      <c r="F217" t="s">
        <v>44</v>
      </c>
      <c r="G217" s="1">
        <v>45223</v>
      </c>
      <c r="H217" s="1">
        <v>45226</v>
      </c>
      <c r="I217" s="1">
        <v>45227</v>
      </c>
      <c r="J217">
        <v>4</v>
      </c>
      <c r="K217">
        <v>3</v>
      </c>
      <c r="L217">
        <v>13</v>
      </c>
      <c r="M217">
        <v>634.65</v>
      </c>
      <c r="N217">
        <v>8250.4500000000007</v>
      </c>
      <c r="O217">
        <v>7.0000000000000007E-2</v>
      </c>
      <c r="P217">
        <v>577.53</v>
      </c>
      <c r="Q217">
        <v>7672.92</v>
      </c>
      <c r="R217">
        <v>5197.78</v>
      </c>
      <c r="S217">
        <v>2475.14</v>
      </c>
    </row>
    <row r="218" spans="1:19" x14ac:dyDescent="0.35">
      <c r="A218">
        <v>100216</v>
      </c>
      <c r="B218">
        <v>1264</v>
      </c>
      <c r="C218" t="s">
        <v>33</v>
      </c>
      <c r="D218" t="s">
        <v>31</v>
      </c>
      <c r="E218" t="s">
        <v>21</v>
      </c>
      <c r="F218" t="s">
        <v>38</v>
      </c>
      <c r="G218" s="1">
        <v>44963</v>
      </c>
      <c r="H218" s="1">
        <v>44968</v>
      </c>
      <c r="I218" s="1">
        <v>44978</v>
      </c>
      <c r="J218">
        <v>15</v>
      </c>
      <c r="K218">
        <v>5</v>
      </c>
      <c r="L218">
        <v>6</v>
      </c>
      <c r="M218">
        <v>169.32</v>
      </c>
      <c r="N218">
        <v>1015.92</v>
      </c>
      <c r="O218">
        <v>0.15</v>
      </c>
      <c r="P218">
        <v>152.38999999999999</v>
      </c>
      <c r="Q218">
        <v>863.53</v>
      </c>
      <c r="R218">
        <v>640.03</v>
      </c>
      <c r="S218">
        <v>223.5</v>
      </c>
    </row>
    <row r="219" spans="1:19" x14ac:dyDescent="0.35">
      <c r="A219">
        <v>100217</v>
      </c>
      <c r="B219">
        <v>3838</v>
      </c>
      <c r="C219" t="s">
        <v>28</v>
      </c>
      <c r="D219" t="s">
        <v>29</v>
      </c>
      <c r="E219" t="s">
        <v>21</v>
      </c>
      <c r="F219" t="s">
        <v>22</v>
      </c>
      <c r="G219" s="1">
        <v>44996</v>
      </c>
      <c r="H219" s="1">
        <v>45001</v>
      </c>
      <c r="I219" s="1">
        <v>45003</v>
      </c>
      <c r="J219">
        <v>7</v>
      </c>
      <c r="K219">
        <v>5</v>
      </c>
      <c r="L219">
        <v>2</v>
      </c>
      <c r="M219">
        <v>154.61000000000001</v>
      </c>
      <c r="N219">
        <v>309.22000000000003</v>
      </c>
      <c r="O219">
        <v>0.01</v>
      </c>
      <c r="P219">
        <v>3.09</v>
      </c>
      <c r="Q219">
        <v>306.13</v>
      </c>
      <c r="R219">
        <v>197.9</v>
      </c>
      <c r="S219">
        <v>108.23</v>
      </c>
    </row>
    <row r="220" spans="1:19" x14ac:dyDescent="0.35">
      <c r="A220">
        <v>100218</v>
      </c>
      <c r="B220">
        <v>2968</v>
      </c>
      <c r="C220" t="s">
        <v>33</v>
      </c>
      <c r="D220" t="s">
        <v>29</v>
      </c>
      <c r="E220" t="s">
        <v>21</v>
      </c>
      <c r="F220" t="s">
        <v>22</v>
      </c>
      <c r="G220" s="1">
        <v>45290</v>
      </c>
      <c r="H220" s="1">
        <v>45294</v>
      </c>
      <c r="I220" s="1">
        <v>45303</v>
      </c>
      <c r="J220">
        <v>13</v>
      </c>
      <c r="K220">
        <v>4</v>
      </c>
      <c r="L220">
        <v>2</v>
      </c>
      <c r="M220">
        <v>541.57000000000005</v>
      </c>
      <c r="N220">
        <v>1083.1400000000001</v>
      </c>
      <c r="O220">
        <v>0.08</v>
      </c>
      <c r="P220">
        <v>86.65</v>
      </c>
      <c r="Q220">
        <v>996.49</v>
      </c>
      <c r="R220">
        <v>606.55999999999995</v>
      </c>
      <c r="S220">
        <v>389.93</v>
      </c>
    </row>
    <row r="221" spans="1:19" x14ac:dyDescent="0.35">
      <c r="A221">
        <v>100219</v>
      </c>
      <c r="B221">
        <v>2622</v>
      </c>
      <c r="C221" t="s">
        <v>19</v>
      </c>
      <c r="D221" t="s">
        <v>20</v>
      </c>
      <c r="E221" t="s">
        <v>34</v>
      </c>
      <c r="F221" t="s">
        <v>35</v>
      </c>
      <c r="G221" s="1">
        <v>45020</v>
      </c>
      <c r="H221" s="1">
        <v>45025</v>
      </c>
      <c r="I221" s="1">
        <v>45036</v>
      </c>
      <c r="J221">
        <v>16</v>
      </c>
      <c r="K221">
        <v>5</v>
      </c>
      <c r="L221">
        <v>1</v>
      </c>
      <c r="M221">
        <v>601.08000000000004</v>
      </c>
      <c r="N221">
        <v>601.08000000000004</v>
      </c>
      <c r="O221">
        <v>7.0000000000000007E-2</v>
      </c>
      <c r="P221">
        <v>42.08</v>
      </c>
      <c r="Q221">
        <v>559</v>
      </c>
      <c r="R221">
        <v>378.68</v>
      </c>
      <c r="S221">
        <v>180.32</v>
      </c>
    </row>
    <row r="222" spans="1:19" x14ac:dyDescent="0.35">
      <c r="A222">
        <v>100220</v>
      </c>
      <c r="B222">
        <v>3321</v>
      </c>
      <c r="C222" t="s">
        <v>28</v>
      </c>
      <c r="D222" t="s">
        <v>31</v>
      </c>
      <c r="E222" t="s">
        <v>34</v>
      </c>
      <c r="F222" t="s">
        <v>35</v>
      </c>
      <c r="G222" s="1">
        <v>44976</v>
      </c>
      <c r="H222" s="1">
        <v>44979</v>
      </c>
      <c r="I222" s="1">
        <v>45004</v>
      </c>
      <c r="J222">
        <v>28</v>
      </c>
      <c r="K222">
        <v>3</v>
      </c>
      <c r="L222">
        <v>14</v>
      </c>
      <c r="M222">
        <v>211.45</v>
      </c>
      <c r="N222">
        <v>2960.3</v>
      </c>
      <c r="O222">
        <v>0.17</v>
      </c>
      <c r="P222">
        <v>503.25</v>
      </c>
      <c r="Q222">
        <v>2457.0500000000002</v>
      </c>
      <c r="R222">
        <v>1776.18</v>
      </c>
      <c r="S222">
        <v>680.87</v>
      </c>
    </row>
    <row r="223" spans="1:19" x14ac:dyDescent="0.35">
      <c r="A223">
        <v>100221</v>
      </c>
      <c r="B223">
        <v>1245</v>
      </c>
      <c r="C223" t="s">
        <v>33</v>
      </c>
      <c r="D223" t="s">
        <v>29</v>
      </c>
      <c r="E223" t="s">
        <v>26</v>
      </c>
      <c r="F223" t="s">
        <v>37</v>
      </c>
      <c r="G223" s="1">
        <v>45244</v>
      </c>
      <c r="H223" s="1">
        <v>45245</v>
      </c>
      <c r="I223" s="1">
        <v>45257</v>
      </c>
      <c r="J223">
        <v>13</v>
      </c>
      <c r="K223">
        <v>1</v>
      </c>
      <c r="L223">
        <v>6</v>
      </c>
      <c r="M223">
        <v>81.3</v>
      </c>
      <c r="N223">
        <v>487.8</v>
      </c>
      <c r="O223">
        <v>0.13</v>
      </c>
      <c r="P223">
        <v>63.41</v>
      </c>
      <c r="Q223">
        <v>424.39</v>
      </c>
      <c r="R223">
        <v>360.97</v>
      </c>
      <c r="S223">
        <v>63.42</v>
      </c>
    </row>
    <row r="224" spans="1:19" x14ac:dyDescent="0.35">
      <c r="A224">
        <v>100222</v>
      </c>
      <c r="B224">
        <v>2620</v>
      </c>
      <c r="C224" t="s">
        <v>23</v>
      </c>
      <c r="D224" t="s">
        <v>31</v>
      </c>
      <c r="E224" t="s">
        <v>21</v>
      </c>
      <c r="F224" t="s">
        <v>39</v>
      </c>
      <c r="G224" s="1">
        <v>45150</v>
      </c>
      <c r="H224" s="1">
        <v>45154</v>
      </c>
      <c r="I224" s="1">
        <v>45179</v>
      </c>
      <c r="J224">
        <v>29</v>
      </c>
      <c r="K224">
        <v>4</v>
      </c>
      <c r="L224">
        <v>14</v>
      </c>
      <c r="M224">
        <v>512.02</v>
      </c>
      <c r="N224">
        <v>7168.28</v>
      </c>
      <c r="O224">
        <v>0.11</v>
      </c>
      <c r="P224">
        <v>788.51</v>
      </c>
      <c r="Q224">
        <v>6379.77</v>
      </c>
      <c r="R224">
        <v>4731.0600000000004</v>
      </c>
      <c r="S224">
        <v>1648.71</v>
      </c>
    </row>
    <row r="225" spans="1:19" x14ac:dyDescent="0.35">
      <c r="A225">
        <v>100223</v>
      </c>
      <c r="B225">
        <v>4388</v>
      </c>
      <c r="C225" t="s">
        <v>19</v>
      </c>
      <c r="D225" t="s">
        <v>29</v>
      </c>
      <c r="E225" t="s">
        <v>26</v>
      </c>
      <c r="F225" t="s">
        <v>27</v>
      </c>
      <c r="G225" s="1">
        <v>45062</v>
      </c>
      <c r="H225" s="1">
        <v>45064</v>
      </c>
      <c r="I225" s="1">
        <v>45083</v>
      </c>
      <c r="J225">
        <v>21</v>
      </c>
      <c r="K225">
        <v>2</v>
      </c>
      <c r="L225">
        <v>10</v>
      </c>
      <c r="M225">
        <v>261.66000000000003</v>
      </c>
      <c r="N225">
        <v>2616.6</v>
      </c>
      <c r="O225">
        <v>0.02</v>
      </c>
      <c r="P225">
        <v>52.33</v>
      </c>
      <c r="Q225">
        <v>2564.27</v>
      </c>
      <c r="R225">
        <v>1648.46</v>
      </c>
      <c r="S225">
        <v>915.81</v>
      </c>
    </row>
    <row r="226" spans="1:19" x14ac:dyDescent="0.35">
      <c r="A226">
        <v>100224</v>
      </c>
      <c r="B226">
        <v>4384</v>
      </c>
      <c r="C226" t="s">
        <v>23</v>
      </c>
      <c r="D226" t="s">
        <v>29</v>
      </c>
      <c r="E226" t="s">
        <v>24</v>
      </c>
      <c r="F226" t="s">
        <v>32</v>
      </c>
      <c r="G226" s="1">
        <v>45019</v>
      </c>
      <c r="H226" s="1">
        <v>45020</v>
      </c>
      <c r="I226" s="1">
        <v>45045</v>
      </c>
      <c r="J226">
        <v>26</v>
      </c>
      <c r="K226">
        <v>1</v>
      </c>
      <c r="L226">
        <v>2</v>
      </c>
      <c r="M226">
        <v>236.21</v>
      </c>
      <c r="N226">
        <v>472.42</v>
      </c>
      <c r="O226">
        <v>0.14000000000000001</v>
      </c>
      <c r="P226">
        <v>66.14</v>
      </c>
      <c r="Q226">
        <v>406.28</v>
      </c>
      <c r="R226">
        <v>297.62</v>
      </c>
      <c r="S226">
        <v>108.66</v>
      </c>
    </row>
    <row r="227" spans="1:19" x14ac:dyDescent="0.35">
      <c r="A227">
        <v>100225</v>
      </c>
      <c r="B227">
        <v>4838</v>
      </c>
      <c r="C227" t="s">
        <v>28</v>
      </c>
      <c r="D227" t="s">
        <v>31</v>
      </c>
      <c r="E227" t="s">
        <v>21</v>
      </c>
      <c r="F227" t="s">
        <v>39</v>
      </c>
      <c r="G227" s="1">
        <v>45241</v>
      </c>
      <c r="H227" s="1">
        <v>45243</v>
      </c>
      <c r="I227" s="1">
        <v>45261</v>
      </c>
      <c r="J227">
        <v>20</v>
      </c>
      <c r="K227">
        <v>2</v>
      </c>
      <c r="L227">
        <v>11</v>
      </c>
      <c r="M227">
        <v>547.35</v>
      </c>
      <c r="N227">
        <v>6020.85</v>
      </c>
      <c r="O227">
        <v>7.0000000000000007E-2</v>
      </c>
      <c r="P227">
        <v>421.46</v>
      </c>
      <c r="Q227">
        <v>5599.39</v>
      </c>
      <c r="R227">
        <v>4455.43</v>
      </c>
      <c r="S227">
        <v>1143.96</v>
      </c>
    </row>
    <row r="228" spans="1:19" x14ac:dyDescent="0.35">
      <c r="A228">
        <v>100226</v>
      </c>
      <c r="B228">
        <v>1752</v>
      </c>
      <c r="C228" t="s">
        <v>23</v>
      </c>
      <c r="D228" t="s">
        <v>20</v>
      </c>
      <c r="E228" t="s">
        <v>21</v>
      </c>
      <c r="F228" t="s">
        <v>22</v>
      </c>
      <c r="G228" s="1">
        <v>45105</v>
      </c>
      <c r="H228" s="1">
        <v>45107</v>
      </c>
      <c r="I228" s="1">
        <v>45118</v>
      </c>
      <c r="J228">
        <v>13</v>
      </c>
      <c r="K228">
        <v>2</v>
      </c>
      <c r="L228">
        <v>10</v>
      </c>
      <c r="M228">
        <v>429.13</v>
      </c>
      <c r="N228">
        <v>4291.3</v>
      </c>
      <c r="O228">
        <v>0.08</v>
      </c>
      <c r="P228">
        <v>343.3</v>
      </c>
      <c r="Q228">
        <v>3948</v>
      </c>
      <c r="R228">
        <v>2231.48</v>
      </c>
      <c r="S228">
        <v>1716.52</v>
      </c>
    </row>
    <row r="229" spans="1:19" x14ac:dyDescent="0.35">
      <c r="A229">
        <v>100227</v>
      </c>
      <c r="B229">
        <v>1036</v>
      </c>
      <c r="C229" t="s">
        <v>28</v>
      </c>
      <c r="D229" t="s">
        <v>29</v>
      </c>
      <c r="E229" t="s">
        <v>24</v>
      </c>
      <c r="F229" t="s">
        <v>25</v>
      </c>
      <c r="G229" s="1">
        <v>45103</v>
      </c>
      <c r="H229" s="1">
        <v>45105</v>
      </c>
      <c r="I229" s="1">
        <v>45111</v>
      </c>
      <c r="J229">
        <v>8</v>
      </c>
      <c r="K229">
        <v>2</v>
      </c>
      <c r="L229">
        <v>4</v>
      </c>
      <c r="M229">
        <v>349.65</v>
      </c>
      <c r="N229">
        <v>1398.6</v>
      </c>
      <c r="O229">
        <v>0.06</v>
      </c>
      <c r="P229">
        <v>83.92</v>
      </c>
      <c r="Q229">
        <v>1314.68</v>
      </c>
      <c r="R229">
        <v>895.1</v>
      </c>
      <c r="S229">
        <v>419.58</v>
      </c>
    </row>
    <row r="230" spans="1:19" x14ac:dyDescent="0.35">
      <c r="A230">
        <v>100228</v>
      </c>
      <c r="B230">
        <v>4561</v>
      </c>
      <c r="C230" t="s">
        <v>19</v>
      </c>
      <c r="D230" t="s">
        <v>31</v>
      </c>
      <c r="E230" t="s">
        <v>24</v>
      </c>
      <c r="F230" t="s">
        <v>25</v>
      </c>
      <c r="G230" s="1">
        <v>45261</v>
      </c>
      <c r="H230" s="1">
        <v>45266</v>
      </c>
      <c r="I230" s="1">
        <v>45283</v>
      </c>
      <c r="J230">
        <v>22</v>
      </c>
      <c r="K230">
        <v>5</v>
      </c>
      <c r="L230">
        <v>2</v>
      </c>
      <c r="M230">
        <v>365.66</v>
      </c>
      <c r="N230">
        <v>731.32</v>
      </c>
      <c r="O230">
        <v>0</v>
      </c>
      <c r="P230">
        <v>0</v>
      </c>
      <c r="Q230">
        <v>731.32</v>
      </c>
      <c r="R230">
        <v>460.73</v>
      </c>
      <c r="S230">
        <v>270.58999999999997</v>
      </c>
    </row>
    <row r="231" spans="1:19" x14ac:dyDescent="0.35">
      <c r="A231">
        <v>100229</v>
      </c>
      <c r="B231">
        <v>3139</v>
      </c>
      <c r="C231" t="s">
        <v>23</v>
      </c>
      <c r="D231" t="s">
        <v>29</v>
      </c>
      <c r="E231" t="s">
        <v>24</v>
      </c>
      <c r="F231" t="s">
        <v>32</v>
      </c>
      <c r="G231" s="1">
        <v>44974</v>
      </c>
      <c r="H231" s="1">
        <v>44975</v>
      </c>
      <c r="I231" s="1">
        <v>44978</v>
      </c>
      <c r="J231">
        <v>4</v>
      </c>
      <c r="K231">
        <v>1</v>
      </c>
      <c r="L231">
        <v>8</v>
      </c>
      <c r="M231">
        <v>224.83</v>
      </c>
      <c r="N231">
        <v>1798.64</v>
      </c>
      <c r="O231">
        <v>7.0000000000000007E-2</v>
      </c>
      <c r="P231">
        <v>125.9</v>
      </c>
      <c r="Q231">
        <v>1672.74</v>
      </c>
      <c r="R231">
        <v>989.25</v>
      </c>
      <c r="S231">
        <v>683.49</v>
      </c>
    </row>
    <row r="232" spans="1:19" x14ac:dyDescent="0.35">
      <c r="A232">
        <v>100230</v>
      </c>
      <c r="B232">
        <v>1297</v>
      </c>
      <c r="C232" t="s">
        <v>19</v>
      </c>
      <c r="D232" t="s">
        <v>20</v>
      </c>
      <c r="E232" t="s">
        <v>26</v>
      </c>
      <c r="F232" t="s">
        <v>44</v>
      </c>
      <c r="G232" s="1">
        <v>45053</v>
      </c>
      <c r="H232" s="1">
        <v>45058</v>
      </c>
      <c r="I232" s="1">
        <v>45082</v>
      </c>
      <c r="J232">
        <v>29</v>
      </c>
      <c r="K232">
        <v>5</v>
      </c>
      <c r="L232">
        <v>12</v>
      </c>
      <c r="M232">
        <v>69.52</v>
      </c>
      <c r="N232">
        <v>834.24</v>
      </c>
      <c r="O232">
        <v>0.18</v>
      </c>
      <c r="P232">
        <v>150.16</v>
      </c>
      <c r="Q232">
        <v>684.08</v>
      </c>
      <c r="R232">
        <v>567.28</v>
      </c>
      <c r="S232">
        <v>116.8</v>
      </c>
    </row>
    <row r="233" spans="1:19" x14ac:dyDescent="0.35">
      <c r="A233">
        <v>100231</v>
      </c>
      <c r="B233">
        <v>1293</v>
      </c>
      <c r="C233" t="s">
        <v>23</v>
      </c>
      <c r="D233" t="s">
        <v>31</v>
      </c>
      <c r="E233" t="s">
        <v>21</v>
      </c>
      <c r="F233" t="s">
        <v>22</v>
      </c>
      <c r="G233" s="1">
        <v>45138</v>
      </c>
      <c r="H233" s="1">
        <v>45142</v>
      </c>
      <c r="I233" s="1">
        <v>45157</v>
      </c>
      <c r="J233">
        <v>19</v>
      </c>
      <c r="K233">
        <v>4</v>
      </c>
      <c r="L233">
        <v>6</v>
      </c>
      <c r="M233">
        <v>265.47000000000003</v>
      </c>
      <c r="N233">
        <v>1592.82</v>
      </c>
      <c r="O233">
        <v>0.12</v>
      </c>
      <c r="P233">
        <v>191.14</v>
      </c>
      <c r="Q233">
        <v>1401.68</v>
      </c>
      <c r="R233">
        <v>1003.48</v>
      </c>
      <c r="S233">
        <v>398.2</v>
      </c>
    </row>
    <row r="234" spans="1:19" x14ac:dyDescent="0.35">
      <c r="A234">
        <v>100232</v>
      </c>
      <c r="B234">
        <v>2038</v>
      </c>
      <c r="C234" t="s">
        <v>28</v>
      </c>
      <c r="D234" t="s">
        <v>20</v>
      </c>
      <c r="E234" t="s">
        <v>24</v>
      </c>
      <c r="F234" t="s">
        <v>25</v>
      </c>
      <c r="G234" s="1">
        <v>45032</v>
      </c>
      <c r="H234" s="1">
        <v>45036</v>
      </c>
      <c r="I234" s="1">
        <v>45061</v>
      </c>
      <c r="J234">
        <v>29</v>
      </c>
      <c r="K234">
        <v>4</v>
      </c>
      <c r="L234">
        <v>5</v>
      </c>
      <c r="M234">
        <v>98.15</v>
      </c>
      <c r="N234">
        <v>490.75</v>
      </c>
      <c r="O234">
        <v>0.1</v>
      </c>
      <c r="P234">
        <v>49.08</v>
      </c>
      <c r="Q234">
        <v>441.68</v>
      </c>
      <c r="R234">
        <v>387.69</v>
      </c>
      <c r="S234">
        <v>53.99</v>
      </c>
    </row>
    <row r="235" spans="1:19" x14ac:dyDescent="0.35">
      <c r="A235">
        <v>100233</v>
      </c>
      <c r="B235">
        <v>1927</v>
      </c>
      <c r="C235" t="s">
        <v>23</v>
      </c>
      <c r="D235" t="s">
        <v>31</v>
      </c>
      <c r="E235" t="s">
        <v>21</v>
      </c>
      <c r="F235" t="s">
        <v>22</v>
      </c>
      <c r="G235" s="1">
        <v>45004</v>
      </c>
      <c r="H235" s="1">
        <v>45006</v>
      </c>
      <c r="I235" s="1">
        <v>45029</v>
      </c>
      <c r="J235">
        <v>25</v>
      </c>
      <c r="K235">
        <v>2</v>
      </c>
      <c r="L235">
        <v>4</v>
      </c>
      <c r="M235">
        <v>309.57</v>
      </c>
      <c r="N235">
        <v>1238.28</v>
      </c>
      <c r="O235">
        <v>0.12</v>
      </c>
      <c r="P235">
        <v>148.59</v>
      </c>
      <c r="Q235">
        <v>1089.69</v>
      </c>
      <c r="R235">
        <v>755.35</v>
      </c>
      <c r="S235">
        <v>334.34</v>
      </c>
    </row>
    <row r="236" spans="1:19" x14ac:dyDescent="0.35">
      <c r="A236">
        <v>100234</v>
      </c>
      <c r="B236">
        <v>4431</v>
      </c>
      <c r="C236" t="s">
        <v>19</v>
      </c>
      <c r="D236" t="s">
        <v>29</v>
      </c>
      <c r="E236" t="s">
        <v>24</v>
      </c>
      <c r="F236" t="s">
        <v>32</v>
      </c>
      <c r="G236" s="1">
        <v>44951</v>
      </c>
      <c r="H236" s="1">
        <v>44954</v>
      </c>
      <c r="I236" s="1">
        <v>44970</v>
      </c>
      <c r="J236">
        <v>19</v>
      </c>
      <c r="K236">
        <v>3</v>
      </c>
      <c r="L236">
        <v>3</v>
      </c>
      <c r="M236">
        <v>309.58999999999997</v>
      </c>
      <c r="N236">
        <v>928.77</v>
      </c>
      <c r="O236">
        <v>0.08</v>
      </c>
      <c r="P236">
        <v>74.3</v>
      </c>
      <c r="Q236">
        <v>854.47</v>
      </c>
      <c r="R236">
        <v>650.14</v>
      </c>
      <c r="S236">
        <v>204.33</v>
      </c>
    </row>
    <row r="237" spans="1:19" x14ac:dyDescent="0.35">
      <c r="A237">
        <v>100235</v>
      </c>
      <c r="B237">
        <v>4023</v>
      </c>
      <c r="C237" t="s">
        <v>28</v>
      </c>
      <c r="D237" t="s">
        <v>29</v>
      </c>
      <c r="E237" t="s">
        <v>34</v>
      </c>
      <c r="F237" t="s">
        <v>45</v>
      </c>
      <c r="G237" s="1">
        <v>44994</v>
      </c>
      <c r="H237" s="1">
        <v>44998</v>
      </c>
      <c r="I237" s="1">
        <v>45020</v>
      </c>
      <c r="J237">
        <v>26</v>
      </c>
      <c r="K237">
        <v>4</v>
      </c>
      <c r="L237">
        <v>14</v>
      </c>
      <c r="M237">
        <v>750.09</v>
      </c>
      <c r="N237">
        <v>10501.26</v>
      </c>
      <c r="O237">
        <v>7.0000000000000007E-2</v>
      </c>
      <c r="P237">
        <v>735.09</v>
      </c>
      <c r="Q237">
        <v>9766.17</v>
      </c>
      <c r="R237">
        <v>6090.73</v>
      </c>
      <c r="S237">
        <v>3675.44</v>
      </c>
    </row>
    <row r="238" spans="1:19" x14ac:dyDescent="0.35">
      <c r="A238">
        <v>100236</v>
      </c>
      <c r="B238">
        <v>4007</v>
      </c>
      <c r="C238" t="s">
        <v>23</v>
      </c>
      <c r="D238" t="s">
        <v>29</v>
      </c>
      <c r="E238" t="s">
        <v>24</v>
      </c>
      <c r="F238" t="s">
        <v>25</v>
      </c>
      <c r="G238" s="1">
        <v>44976</v>
      </c>
      <c r="H238" s="1">
        <v>44978</v>
      </c>
      <c r="I238" s="1">
        <v>45003</v>
      </c>
      <c r="J238">
        <v>27</v>
      </c>
      <c r="K238">
        <v>2</v>
      </c>
      <c r="L238">
        <v>1</v>
      </c>
      <c r="M238">
        <v>478.26</v>
      </c>
      <c r="N238">
        <v>478.26</v>
      </c>
      <c r="O238">
        <v>0</v>
      </c>
      <c r="P238">
        <v>0</v>
      </c>
      <c r="Q238">
        <v>478.26</v>
      </c>
      <c r="R238">
        <v>320.43</v>
      </c>
      <c r="S238">
        <v>157.83000000000001</v>
      </c>
    </row>
    <row r="239" spans="1:19" x14ac:dyDescent="0.35">
      <c r="A239">
        <v>100237</v>
      </c>
      <c r="B239">
        <v>2050</v>
      </c>
      <c r="C239" t="s">
        <v>33</v>
      </c>
      <c r="D239" t="s">
        <v>31</v>
      </c>
      <c r="E239" t="s">
        <v>34</v>
      </c>
      <c r="F239" t="s">
        <v>45</v>
      </c>
      <c r="G239" s="1">
        <v>44960</v>
      </c>
      <c r="H239" s="1">
        <v>44964</v>
      </c>
      <c r="I239" s="1">
        <v>44972</v>
      </c>
      <c r="J239">
        <v>12</v>
      </c>
      <c r="K239">
        <v>4</v>
      </c>
      <c r="L239">
        <v>6</v>
      </c>
      <c r="M239">
        <v>585.12</v>
      </c>
      <c r="N239">
        <v>3510.72</v>
      </c>
      <c r="O239">
        <v>0.09</v>
      </c>
      <c r="P239">
        <v>315.95999999999998</v>
      </c>
      <c r="Q239">
        <v>3194.76</v>
      </c>
      <c r="R239">
        <v>2492.61</v>
      </c>
      <c r="S239">
        <v>702.15</v>
      </c>
    </row>
    <row r="240" spans="1:19" x14ac:dyDescent="0.35">
      <c r="A240">
        <v>100238</v>
      </c>
      <c r="B240">
        <v>2324</v>
      </c>
      <c r="C240" t="s">
        <v>23</v>
      </c>
      <c r="D240" t="s">
        <v>29</v>
      </c>
      <c r="E240" t="s">
        <v>34</v>
      </c>
      <c r="F240" t="s">
        <v>35</v>
      </c>
      <c r="G240" s="1">
        <v>45258</v>
      </c>
      <c r="H240" s="1">
        <v>45259</v>
      </c>
      <c r="I240" s="1">
        <v>45274</v>
      </c>
      <c r="J240">
        <v>16</v>
      </c>
      <c r="K240">
        <v>1</v>
      </c>
      <c r="L240">
        <v>6</v>
      </c>
      <c r="M240">
        <v>239.66</v>
      </c>
      <c r="N240">
        <v>1437.96</v>
      </c>
      <c r="O240">
        <v>0.1</v>
      </c>
      <c r="P240">
        <v>143.80000000000001</v>
      </c>
      <c r="Q240">
        <v>1294.1600000000001</v>
      </c>
      <c r="R240">
        <v>934.67</v>
      </c>
      <c r="S240">
        <v>359.49</v>
      </c>
    </row>
    <row r="241" spans="1:19" x14ac:dyDescent="0.35">
      <c r="A241">
        <v>100239</v>
      </c>
      <c r="B241">
        <v>3324</v>
      </c>
      <c r="C241" t="s">
        <v>28</v>
      </c>
      <c r="D241" t="s">
        <v>20</v>
      </c>
      <c r="E241" t="s">
        <v>34</v>
      </c>
      <c r="F241" t="s">
        <v>35</v>
      </c>
      <c r="G241" s="1">
        <v>45274</v>
      </c>
      <c r="H241" s="1">
        <v>45277</v>
      </c>
      <c r="I241" s="1">
        <v>45284</v>
      </c>
      <c r="J241">
        <v>10</v>
      </c>
      <c r="K241">
        <v>3</v>
      </c>
      <c r="L241">
        <v>13</v>
      </c>
      <c r="M241">
        <v>615.41</v>
      </c>
      <c r="N241">
        <v>8000.33</v>
      </c>
      <c r="O241">
        <v>0.1</v>
      </c>
      <c r="P241">
        <v>800.03</v>
      </c>
      <c r="Q241">
        <v>7200.3</v>
      </c>
      <c r="R241">
        <v>4720.1899999999996</v>
      </c>
      <c r="S241">
        <v>2480.11</v>
      </c>
    </row>
    <row r="242" spans="1:19" x14ac:dyDescent="0.35">
      <c r="A242">
        <v>100240</v>
      </c>
      <c r="B242">
        <v>4261</v>
      </c>
      <c r="C242" t="s">
        <v>28</v>
      </c>
      <c r="D242" t="s">
        <v>31</v>
      </c>
      <c r="E242" t="s">
        <v>24</v>
      </c>
      <c r="F242" t="s">
        <v>30</v>
      </c>
      <c r="G242" s="1">
        <v>44995</v>
      </c>
      <c r="H242" s="1">
        <v>44999</v>
      </c>
      <c r="I242" s="1">
        <v>45005</v>
      </c>
      <c r="J242">
        <v>10</v>
      </c>
      <c r="K242">
        <v>4</v>
      </c>
      <c r="L242">
        <v>9</v>
      </c>
      <c r="M242">
        <v>517.63</v>
      </c>
      <c r="N242">
        <v>4658.67</v>
      </c>
      <c r="O242">
        <v>0</v>
      </c>
      <c r="P242">
        <v>0</v>
      </c>
      <c r="Q242">
        <v>4658.67</v>
      </c>
      <c r="R242">
        <v>3167.9</v>
      </c>
      <c r="S242">
        <v>1490.77</v>
      </c>
    </row>
    <row r="243" spans="1:19" x14ac:dyDescent="0.35">
      <c r="A243">
        <v>100241</v>
      </c>
      <c r="B243">
        <v>4897</v>
      </c>
      <c r="C243" t="s">
        <v>23</v>
      </c>
      <c r="D243" t="s">
        <v>29</v>
      </c>
      <c r="E243" t="s">
        <v>21</v>
      </c>
      <c r="F243" t="s">
        <v>22</v>
      </c>
      <c r="G243" s="1">
        <v>45157</v>
      </c>
      <c r="H243" s="1">
        <v>45160</v>
      </c>
      <c r="I243" s="1">
        <v>45165</v>
      </c>
      <c r="J243">
        <v>8</v>
      </c>
      <c r="K243">
        <v>3</v>
      </c>
      <c r="L243">
        <v>7</v>
      </c>
      <c r="M243">
        <v>589.89</v>
      </c>
      <c r="N243">
        <v>4129.2299999999996</v>
      </c>
      <c r="O243">
        <v>0.04</v>
      </c>
      <c r="P243">
        <v>165.17</v>
      </c>
      <c r="Q243">
        <v>3964.06</v>
      </c>
      <c r="R243">
        <v>2601.41</v>
      </c>
      <c r="S243">
        <v>1362.65</v>
      </c>
    </row>
    <row r="244" spans="1:19" x14ac:dyDescent="0.35">
      <c r="A244">
        <v>100242</v>
      </c>
      <c r="B244">
        <v>1418</v>
      </c>
      <c r="C244" t="s">
        <v>23</v>
      </c>
      <c r="D244" t="s">
        <v>29</v>
      </c>
      <c r="E244" t="s">
        <v>26</v>
      </c>
      <c r="F244" t="s">
        <v>27</v>
      </c>
      <c r="G244" s="1">
        <v>45022</v>
      </c>
      <c r="H244" s="1">
        <v>45026</v>
      </c>
      <c r="I244" s="1">
        <v>45037</v>
      </c>
      <c r="J244">
        <v>15</v>
      </c>
      <c r="K244">
        <v>4</v>
      </c>
      <c r="L244">
        <v>14</v>
      </c>
      <c r="M244">
        <v>31.7</v>
      </c>
      <c r="N244">
        <v>443.8</v>
      </c>
      <c r="O244">
        <v>0.11</v>
      </c>
      <c r="P244">
        <v>48.82</v>
      </c>
      <c r="Q244">
        <v>394.98</v>
      </c>
      <c r="R244">
        <v>301.77999999999997</v>
      </c>
      <c r="S244">
        <v>93.2</v>
      </c>
    </row>
    <row r="245" spans="1:19" x14ac:dyDescent="0.35">
      <c r="A245">
        <v>100243</v>
      </c>
      <c r="B245">
        <v>2017</v>
      </c>
      <c r="C245" t="s">
        <v>33</v>
      </c>
      <c r="D245" t="s">
        <v>20</v>
      </c>
      <c r="E245" t="s">
        <v>21</v>
      </c>
      <c r="F245" t="s">
        <v>38</v>
      </c>
      <c r="G245" s="1">
        <v>45052</v>
      </c>
      <c r="H245" s="1">
        <v>45055</v>
      </c>
      <c r="I245" s="1">
        <v>45056</v>
      </c>
      <c r="J245">
        <v>4</v>
      </c>
      <c r="K245">
        <v>3</v>
      </c>
      <c r="L245">
        <v>9</v>
      </c>
      <c r="M245">
        <v>523.84</v>
      </c>
      <c r="N245">
        <v>4714.5600000000004</v>
      </c>
      <c r="O245">
        <v>0.02</v>
      </c>
      <c r="P245">
        <v>94.29</v>
      </c>
      <c r="Q245">
        <v>4620.2700000000004</v>
      </c>
      <c r="R245">
        <v>3583.07</v>
      </c>
      <c r="S245">
        <v>1037.2</v>
      </c>
    </row>
    <row r="246" spans="1:19" x14ac:dyDescent="0.35">
      <c r="A246">
        <v>100244</v>
      </c>
      <c r="B246">
        <v>4091</v>
      </c>
      <c r="C246" t="s">
        <v>28</v>
      </c>
      <c r="D246" t="s">
        <v>29</v>
      </c>
      <c r="E246" t="s">
        <v>21</v>
      </c>
      <c r="F246" t="s">
        <v>22</v>
      </c>
      <c r="G246" s="1">
        <v>45178</v>
      </c>
      <c r="H246" s="1">
        <v>45179</v>
      </c>
      <c r="I246" s="1">
        <v>45187</v>
      </c>
      <c r="J246">
        <v>9</v>
      </c>
      <c r="K246">
        <v>1</v>
      </c>
      <c r="L246">
        <v>8</v>
      </c>
      <c r="M246">
        <v>661.25</v>
      </c>
      <c r="N246">
        <v>5290</v>
      </c>
      <c r="O246">
        <v>0.02</v>
      </c>
      <c r="P246">
        <v>105.8</v>
      </c>
      <c r="Q246">
        <v>5184.2</v>
      </c>
      <c r="R246">
        <v>3015.3</v>
      </c>
      <c r="S246">
        <v>2168.9</v>
      </c>
    </row>
    <row r="247" spans="1:19" x14ac:dyDescent="0.35">
      <c r="A247">
        <v>100245</v>
      </c>
      <c r="B247">
        <v>2568</v>
      </c>
      <c r="C247" t="s">
        <v>28</v>
      </c>
      <c r="D247" t="s">
        <v>29</v>
      </c>
      <c r="E247" t="s">
        <v>24</v>
      </c>
      <c r="F247" t="s">
        <v>30</v>
      </c>
      <c r="G247" s="1">
        <v>44988</v>
      </c>
      <c r="H247" s="1">
        <v>44993</v>
      </c>
      <c r="I247" s="1">
        <v>45008</v>
      </c>
      <c r="J247">
        <v>20</v>
      </c>
      <c r="K247">
        <v>5</v>
      </c>
      <c r="L247">
        <v>3</v>
      </c>
      <c r="M247">
        <v>26.37</v>
      </c>
      <c r="N247">
        <v>79.11</v>
      </c>
      <c r="O247">
        <v>0.03</v>
      </c>
      <c r="P247">
        <v>2.37</v>
      </c>
      <c r="Q247">
        <v>76.739999999999995</v>
      </c>
      <c r="R247">
        <v>53</v>
      </c>
      <c r="S247">
        <v>23.74</v>
      </c>
    </row>
    <row r="248" spans="1:19" x14ac:dyDescent="0.35">
      <c r="A248">
        <v>100246</v>
      </c>
      <c r="B248">
        <v>3843</v>
      </c>
      <c r="C248" t="s">
        <v>33</v>
      </c>
      <c r="D248" t="s">
        <v>20</v>
      </c>
      <c r="E248" t="s">
        <v>24</v>
      </c>
      <c r="F248" t="s">
        <v>32</v>
      </c>
      <c r="G248" s="1">
        <v>45277</v>
      </c>
      <c r="H248" s="1">
        <v>45281</v>
      </c>
      <c r="I248" s="1">
        <v>45298</v>
      </c>
      <c r="J248">
        <v>21</v>
      </c>
      <c r="K248">
        <v>4</v>
      </c>
      <c r="L248">
        <v>1</v>
      </c>
      <c r="M248">
        <v>163.27000000000001</v>
      </c>
      <c r="N248">
        <v>163.27000000000001</v>
      </c>
      <c r="O248">
        <v>0.04</v>
      </c>
      <c r="P248">
        <v>6.53</v>
      </c>
      <c r="Q248">
        <v>156.74</v>
      </c>
      <c r="R248">
        <v>107.76</v>
      </c>
      <c r="S248">
        <v>48.98</v>
      </c>
    </row>
    <row r="249" spans="1:19" x14ac:dyDescent="0.35">
      <c r="A249">
        <v>100247</v>
      </c>
      <c r="B249">
        <v>2227</v>
      </c>
      <c r="C249" t="s">
        <v>19</v>
      </c>
      <c r="D249" t="s">
        <v>20</v>
      </c>
      <c r="E249" t="s">
        <v>26</v>
      </c>
      <c r="F249" t="s">
        <v>36</v>
      </c>
      <c r="G249" s="1">
        <v>45005</v>
      </c>
      <c r="H249" s="1">
        <v>45010</v>
      </c>
      <c r="I249" s="1">
        <v>45010</v>
      </c>
      <c r="J249">
        <v>5</v>
      </c>
      <c r="K249">
        <v>5</v>
      </c>
      <c r="L249">
        <v>2</v>
      </c>
      <c r="M249">
        <v>780.42</v>
      </c>
      <c r="N249">
        <v>1560.84</v>
      </c>
      <c r="O249">
        <v>0</v>
      </c>
      <c r="P249">
        <v>0</v>
      </c>
      <c r="Q249">
        <v>1560.84</v>
      </c>
      <c r="R249">
        <v>998.94</v>
      </c>
      <c r="S249">
        <v>561.9</v>
      </c>
    </row>
    <row r="250" spans="1:19" x14ac:dyDescent="0.35">
      <c r="A250">
        <v>100248</v>
      </c>
      <c r="B250">
        <v>1705</v>
      </c>
      <c r="C250" t="s">
        <v>33</v>
      </c>
      <c r="D250" t="s">
        <v>29</v>
      </c>
      <c r="E250" t="s">
        <v>21</v>
      </c>
      <c r="F250" t="s">
        <v>22</v>
      </c>
      <c r="G250" s="1">
        <v>45291</v>
      </c>
      <c r="H250" s="1">
        <v>45292</v>
      </c>
      <c r="I250" s="1">
        <v>45305</v>
      </c>
      <c r="J250">
        <v>14</v>
      </c>
      <c r="K250">
        <v>1</v>
      </c>
      <c r="L250">
        <v>4</v>
      </c>
      <c r="M250">
        <v>790.25</v>
      </c>
      <c r="N250">
        <v>3161</v>
      </c>
      <c r="O250">
        <v>0.05</v>
      </c>
      <c r="P250">
        <v>158.05000000000001</v>
      </c>
      <c r="Q250">
        <v>3002.95</v>
      </c>
      <c r="R250">
        <v>2086.2600000000002</v>
      </c>
      <c r="S250">
        <v>916.69</v>
      </c>
    </row>
    <row r="251" spans="1:19" x14ac:dyDescent="0.35">
      <c r="A251">
        <v>100249</v>
      </c>
      <c r="B251">
        <v>2358</v>
      </c>
      <c r="C251" t="s">
        <v>19</v>
      </c>
      <c r="D251" t="s">
        <v>29</v>
      </c>
      <c r="E251" t="s">
        <v>26</v>
      </c>
      <c r="F251" t="s">
        <v>27</v>
      </c>
      <c r="G251" s="1">
        <v>45003</v>
      </c>
      <c r="H251" s="1">
        <v>45006</v>
      </c>
      <c r="I251" s="1">
        <v>45006</v>
      </c>
      <c r="J251">
        <v>3</v>
      </c>
      <c r="K251">
        <v>3</v>
      </c>
      <c r="L251">
        <v>2</v>
      </c>
      <c r="M251">
        <v>453.25</v>
      </c>
      <c r="N251">
        <v>906.5</v>
      </c>
      <c r="O251">
        <v>0.03</v>
      </c>
      <c r="P251">
        <v>27.2</v>
      </c>
      <c r="Q251">
        <v>879.3</v>
      </c>
      <c r="R251">
        <v>480.45</v>
      </c>
      <c r="S251">
        <v>398.85</v>
      </c>
    </row>
    <row r="252" spans="1:19" x14ac:dyDescent="0.35">
      <c r="A252">
        <v>100250</v>
      </c>
      <c r="B252">
        <v>1338</v>
      </c>
      <c r="C252" t="s">
        <v>28</v>
      </c>
      <c r="D252" t="s">
        <v>20</v>
      </c>
      <c r="E252" t="s">
        <v>24</v>
      </c>
      <c r="F252" t="s">
        <v>32</v>
      </c>
      <c r="G252" s="1">
        <v>45049</v>
      </c>
      <c r="H252" s="1">
        <v>45050</v>
      </c>
      <c r="I252" s="1">
        <v>45071</v>
      </c>
      <c r="J252">
        <v>22</v>
      </c>
      <c r="K252">
        <v>1</v>
      </c>
      <c r="L252">
        <v>12</v>
      </c>
      <c r="M252">
        <v>488.7</v>
      </c>
      <c r="N252">
        <v>5864.4</v>
      </c>
      <c r="O252">
        <v>0.15</v>
      </c>
      <c r="P252">
        <v>879.66</v>
      </c>
      <c r="Q252">
        <v>4984.74</v>
      </c>
      <c r="R252">
        <v>3401.35</v>
      </c>
      <c r="S252">
        <v>1583.39</v>
      </c>
    </row>
    <row r="253" spans="1:19" x14ac:dyDescent="0.35">
      <c r="A253">
        <v>100251</v>
      </c>
      <c r="B253">
        <v>4972</v>
      </c>
      <c r="C253" t="s">
        <v>33</v>
      </c>
      <c r="D253" t="s">
        <v>31</v>
      </c>
      <c r="E253" t="s">
        <v>26</v>
      </c>
      <c r="F253" t="s">
        <v>44</v>
      </c>
      <c r="G253" s="1">
        <v>45280</v>
      </c>
      <c r="H253" s="1">
        <v>45283</v>
      </c>
      <c r="I253" s="1">
        <v>45299</v>
      </c>
      <c r="J253">
        <v>19</v>
      </c>
      <c r="K253">
        <v>3</v>
      </c>
      <c r="L253">
        <v>10</v>
      </c>
      <c r="M253">
        <v>611.09</v>
      </c>
      <c r="N253">
        <v>6110.9</v>
      </c>
      <c r="O253">
        <v>0.05</v>
      </c>
      <c r="P253">
        <v>305.54000000000002</v>
      </c>
      <c r="Q253">
        <v>5805.36</v>
      </c>
      <c r="R253">
        <v>3788.76</v>
      </c>
      <c r="S253">
        <v>2016.6</v>
      </c>
    </row>
    <row r="254" spans="1:19" x14ac:dyDescent="0.35">
      <c r="A254">
        <v>100252</v>
      </c>
      <c r="B254">
        <v>3385</v>
      </c>
      <c r="C254" t="s">
        <v>23</v>
      </c>
      <c r="D254" t="s">
        <v>29</v>
      </c>
      <c r="E254" t="s">
        <v>21</v>
      </c>
      <c r="F254" t="s">
        <v>38</v>
      </c>
      <c r="G254" s="1">
        <v>44935</v>
      </c>
      <c r="H254" s="1">
        <v>44939</v>
      </c>
      <c r="I254" s="1">
        <v>44944</v>
      </c>
      <c r="J254">
        <v>9</v>
      </c>
      <c r="K254">
        <v>4</v>
      </c>
      <c r="L254">
        <v>5</v>
      </c>
      <c r="M254">
        <v>218.42</v>
      </c>
      <c r="N254">
        <v>1092.0999999999999</v>
      </c>
      <c r="O254">
        <v>0.15</v>
      </c>
      <c r="P254">
        <v>163.81</v>
      </c>
      <c r="Q254">
        <v>928.28</v>
      </c>
      <c r="R254">
        <v>786.31</v>
      </c>
      <c r="S254">
        <v>141.97</v>
      </c>
    </row>
    <row r="255" spans="1:19" x14ac:dyDescent="0.35">
      <c r="A255">
        <v>100253</v>
      </c>
      <c r="B255">
        <v>1823</v>
      </c>
      <c r="C255" t="s">
        <v>19</v>
      </c>
      <c r="D255" t="s">
        <v>31</v>
      </c>
      <c r="E255" t="s">
        <v>24</v>
      </c>
      <c r="F255" t="s">
        <v>42</v>
      </c>
      <c r="G255" s="1">
        <v>45107</v>
      </c>
      <c r="H255" s="1">
        <v>45108</v>
      </c>
      <c r="I255" s="1">
        <v>45132</v>
      </c>
      <c r="J255">
        <v>25</v>
      </c>
      <c r="K255">
        <v>1</v>
      </c>
      <c r="L255">
        <v>14</v>
      </c>
      <c r="M255">
        <v>722.84</v>
      </c>
      <c r="N255">
        <v>10119.76</v>
      </c>
      <c r="O255">
        <v>0.06</v>
      </c>
      <c r="P255">
        <v>607.19000000000005</v>
      </c>
      <c r="Q255">
        <v>9512.57</v>
      </c>
      <c r="R255">
        <v>6071.86</v>
      </c>
      <c r="S255">
        <v>3440.71</v>
      </c>
    </row>
    <row r="256" spans="1:19" x14ac:dyDescent="0.35">
      <c r="A256">
        <v>100254</v>
      </c>
      <c r="B256">
        <v>2690</v>
      </c>
      <c r="C256" t="s">
        <v>33</v>
      </c>
      <c r="D256" t="s">
        <v>31</v>
      </c>
      <c r="E256" t="s">
        <v>21</v>
      </c>
      <c r="F256" t="s">
        <v>39</v>
      </c>
      <c r="G256" s="1">
        <v>45021</v>
      </c>
      <c r="H256" s="1">
        <v>45025</v>
      </c>
      <c r="I256" s="1">
        <v>45029</v>
      </c>
      <c r="J256">
        <v>8</v>
      </c>
      <c r="K256">
        <v>4</v>
      </c>
      <c r="L256">
        <v>13</v>
      </c>
      <c r="M256">
        <v>624.1</v>
      </c>
      <c r="N256">
        <v>8113.3</v>
      </c>
      <c r="O256">
        <v>0.08</v>
      </c>
      <c r="P256">
        <v>649.05999999999995</v>
      </c>
      <c r="Q256">
        <v>7464.24</v>
      </c>
      <c r="R256">
        <v>4949.1099999999997</v>
      </c>
      <c r="S256">
        <v>2515.13</v>
      </c>
    </row>
    <row r="257" spans="1:19" x14ac:dyDescent="0.35">
      <c r="A257">
        <v>100255</v>
      </c>
      <c r="B257">
        <v>4689</v>
      </c>
      <c r="C257" t="s">
        <v>33</v>
      </c>
      <c r="D257" t="s">
        <v>31</v>
      </c>
      <c r="E257" t="s">
        <v>34</v>
      </c>
      <c r="F257" t="s">
        <v>40</v>
      </c>
      <c r="G257" s="1">
        <v>45280</v>
      </c>
      <c r="H257" s="1">
        <v>45281</v>
      </c>
      <c r="I257" s="1">
        <v>45306</v>
      </c>
      <c r="J257">
        <v>26</v>
      </c>
      <c r="K257">
        <v>1</v>
      </c>
      <c r="L257">
        <v>14</v>
      </c>
      <c r="M257">
        <v>291.45</v>
      </c>
      <c r="N257">
        <v>4080.3</v>
      </c>
      <c r="O257">
        <v>7.0000000000000007E-2</v>
      </c>
      <c r="P257">
        <v>285.62</v>
      </c>
      <c r="Q257">
        <v>3794.68</v>
      </c>
      <c r="R257">
        <v>2570.59</v>
      </c>
      <c r="S257">
        <v>1224.0899999999999</v>
      </c>
    </row>
    <row r="258" spans="1:19" x14ac:dyDescent="0.35">
      <c r="A258">
        <v>100256</v>
      </c>
      <c r="B258">
        <v>1433</v>
      </c>
      <c r="C258" t="s">
        <v>19</v>
      </c>
      <c r="D258" t="s">
        <v>20</v>
      </c>
      <c r="E258" t="s">
        <v>26</v>
      </c>
      <c r="F258" t="s">
        <v>27</v>
      </c>
      <c r="G258" s="1">
        <v>45134</v>
      </c>
      <c r="H258" s="1">
        <v>45136</v>
      </c>
      <c r="I258" s="1">
        <v>45144</v>
      </c>
      <c r="J258">
        <v>10</v>
      </c>
      <c r="K258">
        <v>2</v>
      </c>
      <c r="L258">
        <v>7</v>
      </c>
      <c r="M258">
        <v>262.52</v>
      </c>
      <c r="N258">
        <v>1837.64</v>
      </c>
      <c r="O258">
        <v>0.08</v>
      </c>
      <c r="P258">
        <v>147.01</v>
      </c>
      <c r="Q258">
        <v>1690.63</v>
      </c>
      <c r="R258">
        <v>1029.08</v>
      </c>
      <c r="S258">
        <v>661.55</v>
      </c>
    </row>
    <row r="259" spans="1:19" x14ac:dyDescent="0.35">
      <c r="A259">
        <v>100257</v>
      </c>
      <c r="B259">
        <v>2700</v>
      </c>
      <c r="C259" t="s">
        <v>23</v>
      </c>
      <c r="D259" t="s">
        <v>29</v>
      </c>
      <c r="E259" t="s">
        <v>26</v>
      </c>
      <c r="F259" t="s">
        <v>36</v>
      </c>
      <c r="G259" s="1">
        <v>45111</v>
      </c>
      <c r="H259" s="1">
        <v>45115</v>
      </c>
      <c r="I259" s="1">
        <v>45118</v>
      </c>
      <c r="J259">
        <v>7</v>
      </c>
      <c r="K259">
        <v>4</v>
      </c>
      <c r="L259">
        <v>14</v>
      </c>
      <c r="M259">
        <v>340.16</v>
      </c>
      <c r="N259">
        <v>4762.24</v>
      </c>
      <c r="O259">
        <v>0</v>
      </c>
      <c r="P259">
        <v>0</v>
      </c>
      <c r="Q259">
        <v>4762.24</v>
      </c>
      <c r="R259">
        <v>2904.97</v>
      </c>
      <c r="S259">
        <v>1857.27</v>
      </c>
    </row>
    <row r="260" spans="1:19" x14ac:dyDescent="0.35">
      <c r="A260">
        <v>100258</v>
      </c>
      <c r="B260">
        <v>4791</v>
      </c>
      <c r="C260" t="s">
        <v>23</v>
      </c>
      <c r="D260" t="s">
        <v>20</v>
      </c>
      <c r="E260" t="s">
        <v>34</v>
      </c>
      <c r="F260" t="s">
        <v>43</v>
      </c>
      <c r="G260" s="1">
        <v>45108</v>
      </c>
      <c r="H260" s="1">
        <v>45111</v>
      </c>
      <c r="I260" s="1">
        <v>45129</v>
      </c>
      <c r="J260">
        <v>21</v>
      </c>
      <c r="K260">
        <v>3</v>
      </c>
      <c r="L260">
        <v>11</v>
      </c>
      <c r="M260">
        <v>183.67</v>
      </c>
      <c r="N260">
        <v>2020.37</v>
      </c>
      <c r="O260">
        <v>0.01</v>
      </c>
      <c r="P260">
        <v>20.2</v>
      </c>
      <c r="Q260">
        <v>2000.17</v>
      </c>
      <c r="R260">
        <v>1192.02</v>
      </c>
      <c r="S260">
        <v>808.15</v>
      </c>
    </row>
    <row r="261" spans="1:19" x14ac:dyDescent="0.35">
      <c r="A261">
        <v>100259</v>
      </c>
      <c r="B261">
        <v>2277</v>
      </c>
      <c r="C261" t="s">
        <v>28</v>
      </c>
      <c r="D261" t="s">
        <v>29</v>
      </c>
      <c r="E261" t="s">
        <v>21</v>
      </c>
      <c r="F261" t="s">
        <v>39</v>
      </c>
      <c r="G261" s="1">
        <v>44961</v>
      </c>
      <c r="H261" s="1">
        <v>44963</v>
      </c>
      <c r="I261" s="1">
        <v>44966</v>
      </c>
      <c r="J261">
        <v>5</v>
      </c>
      <c r="K261">
        <v>2</v>
      </c>
      <c r="L261">
        <v>1</v>
      </c>
      <c r="M261">
        <v>167.44</v>
      </c>
      <c r="N261">
        <v>167.44</v>
      </c>
      <c r="O261">
        <v>0.04</v>
      </c>
      <c r="P261">
        <v>6.7</v>
      </c>
      <c r="Q261">
        <v>160.74</v>
      </c>
      <c r="R261">
        <v>87.07</v>
      </c>
      <c r="S261">
        <v>73.67</v>
      </c>
    </row>
    <row r="262" spans="1:19" x14ac:dyDescent="0.35">
      <c r="A262">
        <v>100260</v>
      </c>
      <c r="B262">
        <v>1321</v>
      </c>
      <c r="C262" t="s">
        <v>23</v>
      </c>
      <c r="D262" t="s">
        <v>20</v>
      </c>
      <c r="E262" t="s">
        <v>34</v>
      </c>
      <c r="F262" t="s">
        <v>43</v>
      </c>
      <c r="G262" s="1">
        <v>45195</v>
      </c>
      <c r="H262" s="1">
        <v>45196</v>
      </c>
      <c r="I262" s="1">
        <v>45214</v>
      </c>
      <c r="J262">
        <v>19</v>
      </c>
      <c r="K262">
        <v>1</v>
      </c>
      <c r="L262">
        <v>11</v>
      </c>
      <c r="M262">
        <v>572.59</v>
      </c>
      <c r="N262">
        <v>6298.49</v>
      </c>
      <c r="O262">
        <v>0.15</v>
      </c>
      <c r="P262">
        <v>944.77</v>
      </c>
      <c r="Q262">
        <v>5353.72</v>
      </c>
      <c r="R262">
        <v>3149.25</v>
      </c>
      <c r="S262">
        <v>2204.4699999999998</v>
      </c>
    </row>
    <row r="263" spans="1:19" x14ac:dyDescent="0.35">
      <c r="A263">
        <v>100261</v>
      </c>
      <c r="B263">
        <v>1827</v>
      </c>
      <c r="C263" t="s">
        <v>19</v>
      </c>
      <c r="D263" t="s">
        <v>20</v>
      </c>
      <c r="E263" t="s">
        <v>21</v>
      </c>
      <c r="F263" t="s">
        <v>39</v>
      </c>
      <c r="G263" s="1">
        <v>45187</v>
      </c>
      <c r="H263" s="1">
        <v>45190</v>
      </c>
      <c r="I263" s="1">
        <v>45203</v>
      </c>
      <c r="J263">
        <v>16</v>
      </c>
      <c r="K263">
        <v>3</v>
      </c>
      <c r="L263">
        <v>5</v>
      </c>
      <c r="M263">
        <v>602.4</v>
      </c>
      <c r="N263">
        <v>3012</v>
      </c>
      <c r="O263">
        <v>0.16</v>
      </c>
      <c r="P263">
        <v>481.92</v>
      </c>
      <c r="Q263">
        <v>2530.08</v>
      </c>
      <c r="R263">
        <v>1837.32</v>
      </c>
      <c r="S263">
        <v>692.76</v>
      </c>
    </row>
    <row r="264" spans="1:19" x14ac:dyDescent="0.35">
      <c r="A264">
        <v>100262</v>
      </c>
      <c r="B264">
        <v>4303</v>
      </c>
      <c r="C264" t="s">
        <v>28</v>
      </c>
      <c r="D264" t="s">
        <v>31</v>
      </c>
      <c r="E264" t="s">
        <v>26</v>
      </c>
      <c r="F264" t="s">
        <v>27</v>
      </c>
      <c r="G264" s="1">
        <v>44971</v>
      </c>
      <c r="H264" s="1">
        <v>44973</v>
      </c>
      <c r="I264" s="1">
        <v>44991</v>
      </c>
      <c r="J264">
        <v>20</v>
      </c>
      <c r="K264">
        <v>2</v>
      </c>
      <c r="L264">
        <v>12</v>
      </c>
      <c r="M264">
        <v>142.22</v>
      </c>
      <c r="N264">
        <v>1706.64</v>
      </c>
      <c r="O264">
        <v>0.06</v>
      </c>
      <c r="P264">
        <v>102.4</v>
      </c>
      <c r="Q264">
        <v>1604.24</v>
      </c>
      <c r="R264">
        <v>1075.18</v>
      </c>
      <c r="S264">
        <v>529.05999999999995</v>
      </c>
    </row>
    <row r="265" spans="1:19" x14ac:dyDescent="0.35">
      <c r="A265">
        <v>100263</v>
      </c>
      <c r="B265">
        <v>4954</v>
      </c>
      <c r="C265" t="s">
        <v>19</v>
      </c>
      <c r="D265" t="s">
        <v>31</v>
      </c>
      <c r="E265" t="s">
        <v>26</v>
      </c>
      <c r="F265" t="s">
        <v>37</v>
      </c>
      <c r="G265" s="1">
        <v>45238</v>
      </c>
      <c r="H265" s="1">
        <v>45242</v>
      </c>
      <c r="I265" s="1">
        <v>45252</v>
      </c>
      <c r="J265">
        <v>14</v>
      </c>
      <c r="K265">
        <v>4</v>
      </c>
      <c r="L265">
        <v>2</v>
      </c>
      <c r="M265">
        <v>258.63</v>
      </c>
      <c r="N265">
        <v>517.26</v>
      </c>
      <c r="O265">
        <v>0.09</v>
      </c>
      <c r="P265">
        <v>46.55</v>
      </c>
      <c r="Q265">
        <v>470.71</v>
      </c>
      <c r="R265">
        <v>315.52999999999997</v>
      </c>
      <c r="S265">
        <v>155.18</v>
      </c>
    </row>
    <row r="266" spans="1:19" x14ac:dyDescent="0.35">
      <c r="A266">
        <v>100264</v>
      </c>
      <c r="B266">
        <v>2949</v>
      </c>
      <c r="C266" t="s">
        <v>19</v>
      </c>
      <c r="D266" t="s">
        <v>31</v>
      </c>
      <c r="E266" t="s">
        <v>26</v>
      </c>
      <c r="F266" t="s">
        <v>37</v>
      </c>
      <c r="G266" s="1">
        <v>45203</v>
      </c>
      <c r="H266" s="1">
        <v>45208</v>
      </c>
      <c r="I266" s="1">
        <v>45224</v>
      </c>
      <c r="J266">
        <v>21</v>
      </c>
      <c r="K266">
        <v>5</v>
      </c>
      <c r="L266">
        <v>7</v>
      </c>
      <c r="M266">
        <v>303.60000000000002</v>
      </c>
      <c r="N266">
        <v>2125.1999999999998</v>
      </c>
      <c r="O266">
        <v>0.11</v>
      </c>
      <c r="P266">
        <v>233.77</v>
      </c>
      <c r="Q266">
        <v>1891.43</v>
      </c>
      <c r="R266">
        <v>1211.3599999999999</v>
      </c>
      <c r="S266">
        <v>680.07</v>
      </c>
    </row>
    <row r="267" spans="1:19" x14ac:dyDescent="0.35">
      <c r="A267">
        <v>100265</v>
      </c>
      <c r="B267">
        <v>3496</v>
      </c>
      <c r="C267" t="s">
        <v>33</v>
      </c>
      <c r="D267" t="s">
        <v>29</v>
      </c>
      <c r="E267" t="s">
        <v>26</v>
      </c>
      <c r="F267" t="s">
        <v>36</v>
      </c>
      <c r="G267" s="1">
        <v>45226</v>
      </c>
      <c r="H267" s="1">
        <v>45230</v>
      </c>
      <c r="I267" s="1">
        <v>45235</v>
      </c>
      <c r="J267">
        <v>9</v>
      </c>
      <c r="K267">
        <v>4</v>
      </c>
      <c r="L267">
        <v>12</v>
      </c>
      <c r="M267">
        <v>595.51</v>
      </c>
      <c r="N267">
        <v>7146.12</v>
      </c>
      <c r="O267">
        <v>0.04</v>
      </c>
      <c r="P267">
        <v>285.83999999999997</v>
      </c>
      <c r="Q267">
        <v>6860.28</v>
      </c>
      <c r="R267">
        <v>4716.4399999999996</v>
      </c>
      <c r="S267">
        <v>2143.84</v>
      </c>
    </row>
    <row r="268" spans="1:19" x14ac:dyDescent="0.35">
      <c r="A268">
        <v>100266</v>
      </c>
      <c r="B268">
        <v>1156</v>
      </c>
      <c r="C268" t="s">
        <v>19</v>
      </c>
      <c r="D268" t="s">
        <v>29</v>
      </c>
      <c r="E268" t="s">
        <v>34</v>
      </c>
      <c r="F268" t="s">
        <v>35</v>
      </c>
      <c r="G268" s="1">
        <v>45201</v>
      </c>
      <c r="H268" s="1">
        <v>45204</v>
      </c>
      <c r="I268" s="1">
        <v>45207</v>
      </c>
      <c r="J268">
        <v>6</v>
      </c>
      <c r="K268">
        <v>3</v>
      </c>
      <c r="L268">
        <v>9</v>
      </c>
      <c r="M268">
        <v>507.6</v>
      </c>
      <c r="N268">
        <v>4568.3999999999996</v>
      </c>
      <c r="O268">
        <v>0</v>
      </c>
      <c r="P268">
        <v>0</v>
      </c>
      <c r="Q268">
        <v>4568.3999999999996</v>
      </c>
      <c r="R268">
        <v>2466.94</v>
      </c>
      <c r="S268">
        <v>2101.46</v>
      </c>
    </row>
    <row r="269" spans="1:19" x14ac:dyDescent="0.35">
      <c r="A269">
        <v>100267</v>
      </c>
      <c r="B269">
        <v>4462</v>
      </c>
      <c r="C269" t="s">
        <v>28</v>
      </c>
      <c r="D269" t="s">
        <v>29</v>
      </c>
      <c r="E269" t="s">
        <v>21</v>
      </c>
      <c r="F269" t="s">
        <v>41</v>
      </c>
      <c r="G269" s="1">
        <v>45111</v>
      </c>
      <c r="H269" s="1">
        <v>45112</v>
      </c>
      <c r="I269" s="1">
        <v>45117</v>
      </c>
      <c r="J269">
        <v>6</v>
      </c>
      <c r="K269">
        <v>1</v>
      </c>
      <c r="L269">
        <v>12</v>
      </c>
      <c r="M269">
        <v>196.71</v>
      </c>
      <c r="N269">
        <v>2360.52</v>
      </c>
      <c r="O269">
        <v>0.11</v>
      </c>
      <c r="P269">
        <v>259.66000000000003</v>
      </c>
      <c r="Q269">
        <v>2100.86</v>
      </c>
      <c r="R269">
        <v>1463.52</v>
      </c>
      <c r="S269">
        <v>637.34</v>
      </c>
    </row>
    <row r="270" spans="1:19" x14ac:dyDescent="0.35">
      <c r="A270">
        <v>100268</v>
      </c>
      <c r="B270">
        <v>1635</v>
      </c>
      <c r="C270" t="s">
        <v>33</v>
      </c>
      <c r="D270" t="s">
        <v>29</v>
      </c>
      <c r="E270" t="s">
        <v>21</v>
      </c>
      <c r="F270" t="s">
        <v>39</v>
      </c>
      <c r="G270" s="1">
        <v>45076</v>
      </c>
      <c r="H270" s="1">
        <v>45079</v>
      </c>
      <c r="I270" s="1">
        <v>45097</v>
      </c>
      <c r="J270">
        <v>21</v>
      </c>
      <c r="K270">
        <v>3</v>
      </c>
      <c r="L270">
        <v>3</v>
      </c>
      <c r="M270">
        <v>583.1</v>
      </c>
      <c r="N270">
        <v>1749.3</v>
      </c>
      <c r="O270">
        <v>0</v>
      </c>
      <c r="P270">
        <v>0</v>
      </c>
      <c r="Q270">
        <v>1749.3</v>
      </c>
      <c r="R270">
        <v>1049.58</v>
      </c>
      <c r="S270">
        <v>699.72</v>
      </c>
    </row>
    <row r="271" spans="1:19" x14ac:dyDescent="0.35">
      <c r="A271">
        <v>100269</v>
      </c>
      <c r="B271">
        <v>4670</v>
      </c>
      <c r="C271" t="s">
        <v>28</v>
      </c>
      <c r="D271" t="s">
        <v>20</v>
      </c>
      <c r="E271" t="s">
        <v>24</v>
      </c>
      <c r="F271" t="s">
        <v>42</v>
      </c>
      <c r="G271" s="1">
        <v>45048</v>
      </c>
      <c r="H271" s="1">
        <v>45050</v>
      </c>
      <c r="I271" s="1">
        <v>45078</v>
      </c>
      <c r="J271">
        <v>30</v>
      </c>
      <c r="K271">
        <v>2</v>
      </c>
      <c r="L271">
        <v>4</v>
      </c>
      <c r="M271">
        <v>142.71</v>
      </c>
      <c r="N271">
        <v>570.84</v>
      </c>
      <c r="O271">
        <v>0</v>
      </c>
      <c r="P271">
        <v>0</v>
      </c>
      <c r="Q271">
        <v>570.84</v>
      </c>
      <c r="R271">
        <v>336.8</v>
      </c>
      <c r="S271">
        <v>234.04</v>
      </c>
    </row>
    <row r="272" spans="1:19" x14ac:dyDescent="0.35">
      <c r="A272">
        <v>100270</v>
      </c>
      <c r="B272">
        <v>2168</v>
      </c>
      <c r="C272" t="s">
        <v>19</v>
      </c>
      <c r="D272" t="s">
        <v>31</v>
      </c>
      <c r="E272" t="s">
        <v>34</v>
      </c>
      <c r="F272" t="s">
        <v>35</v>
      </c>
      <c r="G272" s="1">
        <v>44945</v>
      </c>
      <c r="H272" s="1">
        <v>44950</v>
      </c>
      <c r="I272" s="1">
        <v>44970</v>
      </c>
      <c r="J272">
        <v>25</v>
      </c>
      <c r="K272">
        <v>5</v>
      </c>
      <c r="L272">
        <v>7</v>
      </c>
      <c r="M272">
        <v>521.59</v>
      </c>
      <c r="N272">
        <v>3651.13</v>
      </c>
      <c r="O272">
        <v>0.11</v>
      </c>
      <c r="P272">
        <v>401.62</v>
      </c>
      <c r="Q272">
        <v>3249.51</v>
      </c>
      <c r="R272">
        <v>2409.75</v>
      </c>
      <c r="S272">
        <v>839.76</v>
      </c>
    </row>
    <row r="273" spans="1:19" x14ac:dyDescent="0.35">
      <c r="A273">
        <v>100271</v>
      </c>
      <c r="B273">
        <v>2457</v>
      </c>
      <c r="C273" t="s">
        <v>28</v>
      </c>
      <c r="D273" t="s">
        <v>20</v>
      </c>
      <c r="E273" t="s">
        <v>34</v>
      </c>
      <c r="F273" t="s">
        <v>40</v>
      </c>
      <c r="G273" s="1">
        <v>45286</v>
      </c>
      <c r="H273" s="1">
        <v>45290</v>
      </c>
      <c r="I273" s="1">
        <v>45311</v>
      </c>
      <c r="J273">
        <v>25</v>
      </c>
      <c r="K273">
        <v>4</v>
      </c>
      <c r="L273">
        <v>12</v>
      </c>
      <c r="M273">
        <v>608.94000000000005</v>
      </c>
      <c r="N273">
        <v>7307.28</v>
      </c>
      <c r="O273">
        <v>0.06</v>
      </c>
      <c r="P273">
        <v>438.44</v>
      </c>
      <c r="Q273">
        <v>6868.84</v>
      </c>
      <c r="R273">
        <v>5188.17</v>
      </c>
      <c r="S273">
        <v>1680.67</v>
      </c>
    </row>
    <row r="274" spans="1:19" x14ac:dyDescent="0.35">
      <c r="A274">
        <v>100272</v>
      </c>
      <c r="B274">
        <v>4714</v>
      </c>
      <c r="C274" t="s">
        <v>19</v>
      </c>
      <c r="D274" t="s">
        <v>31</v>
      </c>
      <c r="E274" t="s">
        <v>21</v>
      </c>
      <c r="F274" t="s">
        <v>41</v>
      </c>
      <c r="G274" s="1">
        <v>45174</v>
      </c>
      <c r="H274" s="1">
        <v>45175</v>
      </c>
      <c r="I274" s="1">
        <v>45194</v>
      </c>
      <c r="J274">
        <v>20</v>
      </c>
      <c r="K274">
        <v>1</v>
      </c>
      <c r="L274">
        <v>9</v>
      </c>
      <c r="M274">
        <v>679.64</v>
      </c>
      <c r="N274">
        <v>6116.76</v>
      </c>
      <c r="O274">
        <v>0.11</v>
      </c>
      <c r="P274">
        <v>672.84</v>
      </c>
      <c r="Q274">
        <v>5443.92</v>
      </c>
      <c r="R274">
        <v>3486.55</v>
      </c>
      <c r="S274">
        <v>1957.37</v>
      </c>
    </row>
    <row r="275" spans="1:19" x14ac:dyDescent="0.35">
      <c r="A275">
        <v>100273</v>
      </c>
      <c r="B275">
        <v>4511</v>
      </c>
      <c r="C275" t="s">
        <v>33</v>
      </c>
      <c r="D275" t="s">
        <v>31</v>
      </c>
      <c r="E275" t="s">
        <v>21</v>
      </c>
      <c r="F275" t="s">
        <v>22</v>
      </c>
      <c r="G275" s="1">
        <v>44932</v>
      </c>
      <c r="H275" s="1">
        <v>44934</v>
      </c>
      <c r="I275" s="1">
        <v>44950</v>
      </c>
      <c r="J275">
        <v>18</v>
      </c>
      <c r="K275">
        <v>2</v>
      </c>
      <c r="L275">
        <v>10</v>
      </c>
      <c r="M275">
        <v>195.03</v>
      </c>
      <c r="N275">
        <v>1950.3</v>
      </c>
      <c r="O275">
        <v>0.11</v>
      </c>
      <c r="P275">
        <v>214.53</v>
      </c>
      <c r="Q275">
        <v>1735.77</v>
      </c>
      <c r="R275">
        <v>1092.17</v>
      </c>
      <c r="S275">
        <v>643.6</v>
      </c>
    </row>
    <row r="276" spans="1:19" x14ac:dyDescent="0.35">
      <c r="A276">
        <v>100274</v>
      </c>
      <c r="B276">
        <v>1247</v>
      </c>
      <c r="C276" t="s">
        <v>23</v>
      </c>
      <c r="D276" t="s">
        <v>31</v>
      </c>
      <c r="E276" t="s">
        <v>34</v>
      </c>
      <c r="F276" t="s">
        <v>40</v>
      </c>
      <c r="G276" s="1">
        <v>45060</v>
      </c>
      <c r="H276" s="1">
        <v>45063</v>
      </c>
      <c r="I276" s="1">
        <v>45062</v>
      </c>
      <c r="J276">
        <v>2</v>
      </c>
      <c r="K276">
        <v>3</v>
      </c>
      <c r="L276">
        <v>6</v>
      </c>
      <c r="M276">
        <v>734.97</v>
      </c>
      <c r="N276">
        <v>4409.82</v>
      </c>
      <c r="O276">
        <v>0.06</v>
      </c>
      <c r="P276">
        <v>264.58999999999997</v>
      </c>
      <c r="Q276">
        <v>4145.2299999999996</v>
      </c>
      <c r="R276">
        <v>2689.99</v>
      </c>
      <c r="S276">
        <v>1455.24</v>
      </c>
    </row>
    <row r="277" spans="1:19" x14ac:dyDescent="0.35">
      <c r="A277">
        <v>100275</v>
      </c>
      <c r="B277">
        <v>4293</v>
      </c>
      <c r="C277" t="s">
        <v>33</v>
      </c>
      <c r="D277" t="s">
        <v>20</v>
      </c>
      <c r="E277" t="s">
        <v>24</v>
      </c>
      <c r="F277" t="s">
        <v>32</v>
      </c>
      <c r="G277" s="1">
        <v>45253</v>
      </c>
      <c r="H277" s="1">
        <v>45255</v>
      </c>
      <c r="I277" s="1">
        <v>45255</v>
      </c>
      <c r="J277">
        <v>2</v>
      </c>
      <c r="K277">
        <v>2</v>
      </c>
      <c r="L277">
        <v>1</v>
      </c>
      <c r="M277">
        <v>625.5</v>
      </c>
      <c r="N277">
        <v>625.5</v>
      </c>
      <c r="O277">
        <v>0.1</v>
      </c>
      <c r="P277">
        <v>62.55</v>
      </c>
      <c r="Q277">
        <v>562.95000000000005</v>
      </c>
      <c r="R277">
        <v>437.85</v>
      </c>
      <c r="S277">
        <v>125.1</v>
      </c>
    </row>
    <row r="278" spans="1:19" x14ac:dyDescent="0.35">
      <c r="A278">
        <v>100276</v>
      </c>
      <c r="B278">
        <v>1308</v>
      </c>
      <c r="C278" t="s">
        <v>23</v>
      </c>
      <c r="D278" t="s">
        <v>29</v>
      </c>
      <c r="E278" t="s">
        <v>26</v>
      </c>
      <c r="F278" t="s">
        <v>37</v>
      </c>
      <c r="G278" s="1">
        <v>45084</v>
      </c>
      <c r="H278" s="1">
        <v>45085</v>
      </c>
      <c r="I278" s="1">
        <v>45107</v>
      </c>
      <c r="J278">
        <v>23</v>
      </c>
      <c r="K278">
        <v>1</v>
      </c>
      <c r="L278">
        <v>7</v>
      </c>
      <c r="M278">
        <v>306.3</v>
      </c>
      <c r="N278">
        <v>2144.1</v>
      </c>
      <c r="O278">
        <v>7.0000000000000007E-2</v>
      </c>
      <c r="P278">
        <v>150.09</v>
      </c>
      <c r="Q278">
        <v>1994.01</v>
      </c>
      <c r="R278">
        <v>1286.46</v>
      </c>
      <c r="S278">
        <v>707.55</v>
      </c>
    </row>
    <row r="279" spans="1:19" x14ac:dyDescent="0.35">
      <c r="A279">
        <v>100277</v>
      </c>
      <c r="B279">
        <v>2856</v>
      </c>
      <c r="C279" t="s">
        <v>23</v>
      </c>
      <c r="D279" t="s">
        <v>31</v>
      </c>
      <c r="E279" t="s">
        <v>34</v>
      </c>
      <c r="F279" t="s">
        <v>43</v>
      </c>
      <c r="G279" s="1">
        <v>45173</v>
      </c>
      <c r="H279" s="1">
        <v>45177</v>
      </c>
      <c r="I279" s="1">
        <v>45199</v>
      </c>
      <c r="J279">
        <v>26</v>
      </c>
      <c r="K279">
        <v>4</v>
      </c>
      <c r="L279">
        <v>3</v>
      </c>
      <c r="M279">
        <v>75.37</v>
      </c>
      <c r="N279">
        <v>226.11</v>
      </c>
      <c r="O279">
        <v>0.13</v>
      </c>
      <c r="P279">
        <v>29.39</v>
      </c>
      <c r="Q279">
        <v>196.72</v>
      </c>
      <c r="R279">
        <v>158.28</v>
      </c>
      <c r="S279">
        <v>38.44</v>
      </c>
    </row>
    <row r="280" spans="1:19" x14ac:dyDescent="0.35">
      <c r="A280">
        <v>100278</v>
      </c>
      <c r="B280">
        <v>4451</v>
      </c>
      <c r="C280" t="s">
        <v>19</v>
      </c>
      <c r="D280" t="s">
        <v>29</v>
      </c>
      <c r="E280" t="s">
        <v>26</v>
      </c>
      <c r="F280" t="s">
        <v>27</v>
      </c>
      <c r="G280" s="1">
        <v>44995</v>
      </c>
      <c r="H280" s="1">
        <v>44997</v>
      </c>
      <c r="I280" s="1">
        <v>45015</v>
      </c>
      <c r="J280">
        <v>20</v>
      </c>
      <c r="K280">
        <v>2</v>
      </c>
      <c r="L280">
        <v>13</v>
      </c>
      <c r="M280">
        <v>331.74</v>
      </c>
      <c r="N280">
        <v>4312.62</v>
      </c>
      <c r="O280">
        <v>0.04</v>
      </c>
      <c r="P280">
        <v>172.5</v>
      </c>
      <c r="Q280">
        <v>4140.12</v>
      </c>
      <c r="R280">
        <v>2587.5700000000002</v>
      </c>
      <c r="S280">
        <v>1552.55</v>
      </c>
    </row>
    <row r="281" spans="1:19" x14ac:dyDescent="0.35">
      <c r="A281">
        <v>100279</v>
      </c>
      <c r="B281">
        <v>2641</v>
      </c>
      <c r="C281" t="s">
        <v>19</v>
      </c>
      <c r="D281" t="s">
        <v>29</v>
      </c>
      <c r="E281" t="s">
        <v>24</v>
      </c>
      <c r="F281" t="s">
        <v>42</v>
      </c>
      <c r="G281" s="1">
        <v>45165</v>
      </c>
      <c r="H281" s="1">
        <v>45170</v>
      </c>
      <c r="I281" s="1">
        <v>45194</v>
      </c>
      <c r="J281">
        <v>29</v>
      </c>
      <c r="K281">
        <v>5</v>
      </c>
      <c r="L281">
        <v>2</v>
      </c>
      <c r="M281">
        <v>780.41</v>
      </c>
      <c r="N281">
        <v>1560.82</v>
      </c>
      <c r="O281">
        <v>0.05</v>
      </c>
      <c r="P281">
        <v>78.040000000000006</v>
      </c>
      <c r="Q281">
        <v>1482.78</v>
      </c>
      <c r="R281">
        <v>983.32</v>
      </c>
      <c r="S281">
        <v>499.46</v>
      </c>
    </row>
    <row r="282" spans="1:19" x14ac:dyDescent="0.35">
      <c r="A282">
        <v>100280</v>
      </c>
      <c r="B282">
        <v>4039</v>
      </c>
      <c r="C282" t="s">
        <v>23</v>
      </c>
      <c r="D282" t="s">
        <v>31</v>
      </c>
      <c r="E282" t="s">
        <v>24</v>
      </c>
      <c r="F282" t="s">
        <v>30</v>
      </c>
      <c r="G282" s="1">
        <v>45029</v>
      </c>
      <c r="H282" s="1">
        <v>45032</v>
      </c>
      <c r="I282" s="1">
        <v>45051</v>
      </c>
      <c r="J282">
        <v>22</v>
      </c>
      <c r="K282">
        <v>3</v>
      </c>
      <c r="L282">
        <v>10</v>
      </c>
      <c r="M282">
        <v>478.92</v>
      </c>
      <c r="N282">
        <v>4789.2</v>
      </c>
      <c r="O282">
        <v>0.1</v>
      </c>
      <c r="P282">
        <v>478.92</v>
      </c>
      <c r="Q282">
        <v>4310.28</v>
      </c>
      <c r="R282">
        <v>2969.3</v>
      </c>
      <c r="S282">
        <v>1340.98</v>
      </c>
    </row>
    <row r="283" spans="1:19" x14ac:dyDescent="0.35">
      <c r="A283">
        <v>100281</v>
      </c>
      <c r="B283">
        <v>1621</v>
      </c>
      <c r="C283" t="s">
        <v>19</v>
      </c>
      <c r="D283" t="s">
        <v>31</v>
      </c>
      <c r="E283" t="s">
        <v>21</v>
      </c>
      <c r="F283" t="s">
        <v>41</v>
      </c>
      <c r="G283" s="1">
        <v>45132</v>
      </c>
      <c r="H283" s="1">
        <v>45135</v>
      </c>
      <c r="I283" s="1">
        <v>45160</v>
      </c>
      <c r="J283">
        <v>28</v>
      </c>
      <c r="K283">
        <v>3</v>
      </c>
      <c r="L283">
        <v>3</v>
      </c>
      <c r="M283">
        <v>754.92</v>
      </c>
      <c r="N283">
        <v>2264.7600000000002</v>
      </c>
      <c r="O283">
        <v>0</v>
      </c>
      <c r="P283">
        <v>0</v>
      </c>
      <c r="Q283">
        <v>2264.7600000000002</v>
      </c>
      <c r="R283">
        <v>1540.04</v>
      </c>
      <c r="S283">
        <v>724.72</v>
      </c>
    </row>
    <row r="284" spans="1:19" x14ac:dyDescent="0.35">
      <c r="A284">
        <v>100282</v>
      </c>
      <c r="B284">
        <v>4551</v>
      </c>
      <c r="C284" t="s">
        <v>33</v>
      </c>
      <c r="D284" t="s">
        <v>29</v>
      </c>
      <c r="E284" t="s">
        <v>21</v>
      </c>
      <c r="F284" t="s">
        <v>38</v>
      </c>
      <c r="G284" s="1">
        <v>45237</v>
      </c>
      <c r="H284" s="1">
        <v>45241</v>
      </c>
      <c r="I284" s="1">
        <v>45257</v>
      </c>
      <c r="J284">
        <v>20</v>
      </c>
      <c r="K284">
        <v>4</v>
      </c>
      <c r="L284">
        <v>3</v>
      </c>
      <c r="M284">
        <v>12.59</v>
      </c>
      <c r="N284">
        <v>37.770000000000003</v>
      </c>
      <c r="O284">
        <v>0.15</v>
      </c>
      <c r="P284">
        <v>5.67</v>
      </c>
      <c r="Q284">
        <v>32.1</v>
      </c>
      <c r="R284">
        <v>24.17</v>
      </c>
      <c r="S284">
        <v>7.93</v>
      </c>
    </row>
    <row r="285" spans="1:19" x14ac:dyDescent="0.35">
      <c r="A285">
        <v>100283</v>
      </c>
      <c r="B285">
        <v>2196</v>
      </c>
      <c r="C285" t="s">
        <v>28</v>
      </c>
      <c r="D285" t="s">
        <v>20</v>
      </c>
      <c r="E285" t="s">
        <v>24</v>
      </c>
      <c r="F285" t="s">
        <v>30</v>
      </c>
      <c r="G285" s="1">
        <v>45015</v>
      </c>
      <c r="H285" s="1">
        <v>45018</v>
      </c>
      <c r="I285" s="1">
        <v>45023</v>
      </c>
      <c r="J285">
        <v>8</v>
      </c>
      <c r="K285">
        <v>3</v>
      </c>
      <c r="L285">
        <v>7</v>
      </c>
      <c r="M285">
        <v>680.01</v>
      </c>
      <c r="N285">
        <v>4760.07</v>
      </c>
      <c r="O285">
        <v>0.03</v>
      </c>
      <c r="P285">
        <v>142.80000000000001</v>
      </c>
      <c r="Q285">
        <v>4617.2700000000004</v>
      </c>
      <c r="R285">
        <v>2998.84</v>
      </c>
      <c r="S285">
        <v>1618.43</v>
      </c>
    </row>
    <row r="286" spans="1:19" x14ac:dyDescent="0.35">
      <c r="A286">
        <v>100284</v>
      </c>
      <c r="B286">
        <v>1166</v>
      </c>
      <c r="C286" t="s">
        <v>28</v>
      </c>
      <c r="D286" t="s">
        <v>20</v>
      </c>
      <c r="E286" t="s">
        <v>24</v>
      </c>
      <c r="F286" t="s">
        <v>30</v>
      </c>
      <c r="G286" s="1">
        <v>45018</v>
      </c>
      <c r="H286" s="1">
        <v>45022</v>
      </c>
      <c r="I286" s="1">
        <v>45023</v>
      </c>
      <c r="J286">
        <v>5</v>
      </c>
      <c r="K286">
        <v>4</v>
      </c>
      <c r="L286">
        <v>11</v>
      </c>
      <c r="M286">
        <v>677.9</v>
      </c>
      <c r="N286">
        <v>7456.9</v>
      </c>
      <c r="O286">
        <v>0.08</v>
      </c>
      <c r="P286">
        <v>596.54999999999995</v>
      </c>
      <c r="Q286">
        <v>6860.35</v>
      </c>
      <c r="R286">
        <v>4325</v>
      </c>
      <c r="S286">
        <v>2535.35</v>
      </c>
    </row>
    <row r="287" spans="1:19" x14ac:dyDescent="0.35">
      <c r="A287">
        <v>100285</v>
      </c>
      <c r="B287">
        <v>4395</v>
      </c>
      <c r="C287" t="s">
        <v>19</v>
      </c>
      <c r="D287" t="s">
        <v>20</v>
      </c>
      <c r="E287" t="s">
        <v>26</v>
      </c>
      <c r="F287" t="s">
        <v>36</v>
      </c>
      <c r="G287" s="1">
        <v>44943</v>
      </c>
      <c r="H287" s="1">
        <v>44946</v>
      </c>
      <c r="I287" s="1">
        <v>44968</v>
      </c>
      <c r="J287">
        <v>25</v>
      </c>
      <c r="K287">
        <v>3</v>
      </c>
      <c r="L287">
        <v>12</v>
      </c>
      <c r="M287">
        <v>757.53</v>
      </c>
      <c r="N287">
        <v>9090.36</v>
      </c>
      <c r="O287">
        <v>7.0000000000000007E-2</v>
      </c>
      <c r="P287">
        <v>636.33000000000004</v>
      </c>
      <c r="Q287">
        <v>8454.0300000000007</v>
      </c>
      <c r="R287">
        <v>5090.6000000000004</v>
      </c>
      <c r="S287">
        <v>3363.43</v>
      </c>
    </row>
    <row r="288" spans="1:19" x14ac:dyDescent="0.35">
      <c r="A288">
        <v>100286</v>
      </c>
      <c r="B288">
        <v>1980</v>
      </c>
      <c r="C288" t="s">
        <v>23</v>
      </c>
      <c r="D288" t="s">
        <v>31</v>
      </c>
      <c r="E288" t="s">
        <v>24</v>
      </c>
      <c r="F288" t="s">
        <v>42</v>
      </c>
      <c r="G288" s="1">
        <v>45060</v>
      </c>
      <c r="H288" s="1">
        <v>45062</v>
      </c>
      <c r="I288" s="1">
        <v>45065</v>
      </c>
      <c r="J288">
        <v>5</v>
      </c>
      <c r="K288">
        <v>2</v>
      </c>
      <c r="L288">
        <v>7</v>
      </c>
      <c r="M288">
        <v>70.03</v>
      </c>
      <c r="N288">
        <v>490.21</v>
      </c>
      <c r="O288">
        <v>0.02</v>
      </c>
      <c r="P288">
        <v>9.8000000000000007</v>
      </c>
      <c r="Q288">
        <v>480.41</v>
      </c>
      <c r="R288">
        <v>303.93</v>
      </c>
      <c r="S288">
        <v>176.48</v>
      </c>
    </row>
    <row r="289" spans="1:19" x14ac:dyDescent="0.35">
      <c r="A289">
        <v>100287</v>
      </c>
      <c r="B289">
        <v>1464</v>
      </c>
      <c r="C289" t="s">
        <v>33</v>
      </c>
      <c r="D289" t="s">
        <v>20</v>
      </c>
      <c r="E289" t="s">
        <v>21</v>
      </c>
      <c r="F289" t="s">
        <v>39</v>
      </c>
      <c r="G289" s="1">
        <v>45031</v>
      </c>
      <c r="H289" s="1">
        <v>45034</v>
      </c>
      <c r="I289" s="1">
        <v>45040</v>
      </c>
      <c r="J289">
        <v>9</v>
      </c>
      <c r="K289">
        <v>3</v>
      </c>
      <c r="L289">
        <v>8</v>
      </c>
      <c r="M289">
        <v>346.18</v>
      </c>
      <c r="N289">
        <v>2769.44</v>
      </c>
      <c r="O289">
        <v>0.06</v>
      </c>
      <c r="P289">
        <v>166.17</v>
      </c>
      <c r="Q289">
        <v>2603.27</v>
      </c>
      <c r="R289">
        <v>1910.91</v>
      </c>
      <c r="S289">
        <v>692.36</v>
      </c>
    </row>
    <row r="290" spans="1:19" x14ac:dyDescent="0.35">
      <c r="A290">
        <v>100288</v>
      </c>
      <c r="B290">
        <v>4285</v>
      </c>
      <c r="C290" t="s">
        <v>23</v>
      </c>
      <c r="D290" t="s">
        <v>29</v>
      </c>
      <c r="E290" t="s">
        <v>21</v>
      </c>
      <c r="F290" t="s">
        <v>41</v>
      </c>
      <c r="G290" s="1">
        <v>45020</v>
      </c>
      <c r="H290" s="1">
        <v>45023</v>
      </c>
      <c r="I290" s="1">
        <v>45043</v>
      </c>
      <c r="J290">
        <v>23</v>
      </c>
      <c r="K290">
        <v>3</v>
      </c>
      <c r="L290">
        <v>11</v>
      </c>
      <c r="M290">
        <v>72.09</v>
      </c>
      <c r="N290">
        <v>792.99</v>
      </c>
      <c r="O290">
        <v>0.06</v>
      </c>
      <c r="P290">
        <v>47.58</v>
      </c>
      <c r="Q290">
        <v>745.41</v>
      </c>
      <c r="R290">
        <v>459.93</v>
      </c>
      <c r="S290">
        <v>285.48</v>
      </c>
    </row>
    <row r="291" spans="1:19" x14ac:dyDescent="0.35">
      <c r="A291">
        <v>100289</v>
      </c>
      <c r="B291">
        <v>1324</v>
      </c>
      <c r="C291" t="s">
        <v>33</v>
      </c>
      <c r="D291" t="s">
        <v>20</v>
      </c>
      <c r="E291" t="s">
        <v>26</v>
      </c>
      <c r="F291" t="s">
        <v>27</v>
      </c>
      <c r="G291" s="1">
        <v>45000</v>
      </c>
      <c r="H291" s="1">
        <v>45001</v>
      </c>
      <c r="I291" s="1">
        <v>45010</v>
      </c>
      <c r="J291">
        <v>10</v>
      </c>
      <c r="K291">
        <v>1</v>
      </c>
      <c r="L291">
        <v>2</v>
      </c>
      <c r="M291">
        <v>472.67</v>
      </c>
      <c r="N291">
        <v>945.34</v>
      </c>
      <c r="O291">
        <v>0.12</v>
      </c>
      <c r="P291">
        <v>113.44</v>
      </c>
      <c r="Q291">
        <v>831.9</v>
      </c>
      <c r="R291">
        <v>633.38</v>
      </c>
      <c r="S291">
        <v>198.52</v>
      </c>
    </row>
    <row r="292" spans="1:19" x14ac:dyDescent="0.35">
      <c r="A292">
        <v>100290</v>
      </c>
      <c r="B292">
        <v>3138</v>
      </c>
      <c r="C292" t="s">
        <v>19</v>
      </c>
      <c r="D292" t="s">
        <v>20</v>
      </c>
      <c r="E292" t="s">
        <v>24</v>
      </c>
      <c r="F292" t="s">
        <v>42</v>
      </c>
      <c r="G292" s="1">
        <v>45110</v>
      </c>
      <c r="H292" s="1">
        <v>45115</v>
      </c>
      <c r="I292" s="1">
        <v>45133</v>
      </c>
      <c r="J292">
        <v>23</v>
      </c>
      <c r="K292">
        <v>5</v>
      </c>
      <c r="L292">
        <v>9</v>
      </c>
      <c r="M292">
        <v>250.02</v>
      </c>
      <c r="N292">
        <v>2250.1799999999998</v>
      </c>
      <c r="O292">
        <v>0.08</v>
      </c>
      <c r="P292">
        <v>180.01</v>
      </c>
      <c r="Q292">
        <v>2070.17</v>
      </c>
      <c r="R292">
        <v>1395.11</v>
      </c>
      <c r="S292">
        <v>675.06</v>
      </c>
    </row>
    <row r="293" spans="1:19" x14ac:dyDescent="0.35">
      <c r="A293">
        <v>100291</v>
      </c>
      <c r="B293">
        <v>2770</v>
      </c>
      <c r="C293" t="s">
        <v>33</v>
      </c>
      <c r="D293" t="s">
        <v>31</v>
      </c>
      <c r="E293" t="s">
        <v>24</v>
      </c>
      <c r="F293" t="s">
        <v>32</v>
      </c>
      <c r="G293" s="1">
        <v>45222</v>
      </c>
      <c r="H293" s="1">
        <v>45224</v>
      </c>
      <c r="I293" s="1">
        <v>45242</v>
      </c>
      <c r="J293">
        <v>20</v>
      </c>
      <c r="K293">
        <v>2</v>
      </c>
      <c r="L293">
        <v>5</v>
      </c>
      <c r="M293">
        <v>784.88</v>
      </c>
      <c r="N293">
        <v>3924.4</v>
      </c>
      <c r="O293">
        <v>0</v>
      </c>
      <c r="P293">
        <v>0</v>
      </c>
      <c r="Q293">
        <v>3924.4</v>
      </c>
      <c r="R293">
        <v>2315.4</v>
      </c>
      <c r="S293">
        <v>1609</v>
      </c>
    </row>
    <row r="294" spans="1:19" x14ac:dyDescent="0.35">
      <c r="A294">
        <v>100292</v>
      </c>
      <c r="B294">
        <v>3796</v>
      </c>
      <c r="C294" t="s">
        <v>19</v>
      </c>
      <c r="D294" t="s">
        <v>20</v>
      </c>
      <c r="E294" t="s">
        <v>34</v>
      </c>
      <c r="F294" t="s">
        <v>35</v>
      </c>
      <c r="G294" s="1">
        <v>45133</v>
      </c>
      <c r="H294" s="1">
        <v>45136</v>
      </c>
      <c r="I294" s="1">
        <v>45140</v>
      </c>
      <c r="J294">
        <v>7</v>
      </c>
      <c r="K294">
        <v>3</v>
      </c>
      <c r="L294">
        <v>10</v>
      </c>
      <c r="M294">
        <v>451.75</v>
      </c>
      <c r="N294">
        <v>4517.5</v>
      </c>
      <c r="O294">
        <v>0.11</v>
      </c>
      <c r="P294">
        <v>496.92</v>
      </c>
      <c r="Q294">
        <v>4020.58</v>
      </c>
      <c r="R294">
        <v>2755.68</v>
      </c>
      <c r="S294">
        <v>1264.9000000000001</v>
      </c>
    </row>
    <row r="295" spans="1:19" x14ac:dyDescent="0.35">
      <c r="A295">
        <v>100293</v>
      </c>
      <c r="B295">
        <v>3305</v>
      </c>
      <c r="C295" t="s">
        <v>28</v>
      </c>
      <c r="D295" t="s">
        <v>20</v>
      </c>
      <c r="E295" t="s">
        <v>34</v>
      </c>
      <c r="F295" t="s">
        <v>40</v>
      </c>
      <c r="G295" s="1">
        <v>45117</v>
      </c>
      <c r="H295" s="1">
        <v>45122</v>
      </c>
      <c r="I295" s="1">
        <v>45132</v>
      </c>
      <c r="J295">
        <v>15</v>
      </c>
      <c r="K295">
        <v>5</v>
      </c>
      <c r="L295">
        <v>1</v>
      </c>
      <c r="M295">
        <v>33.22</v>
      </c>
      <c r="N295">
        <v>33.22</v>
      </c>
      <c r="O295">
        <v>0.02</v>
      </c>
      <c r="P295">
        <v>0.66</v>
      </c>
      <c r="Q295">
        <v>32.56</v>
      </c>
      <c r="R295">
        <v>23.59</v>
      </c>
      <c r="S295">
        <v>8.9700000000000006</v>
      </c>
    </row>
    <row r="296" spans="1:19" x14ac:dyDescent="0.35">
      <c r="A296">
        <v>100294</v>
      </c>
      <c r="B296">
        <v>1498</v>
      </c>
      <c r="C296" t="s">
        <v>33</v>
      </c>
      <c r="D296" t="s">
        <v>20</v>
      </c>
      <c r="E296" t="s">
        <v>26</v>
      </c>
      <c r="F296" t="s">
        <v>37</v>
      </c>
      <c r="G296" s="1">
        <v>44964</v>
      </c>
      <c r="H296" s="1">
        <v>44966</v>
      </c>
      <c r="I296" s="1">
        <v>44985</v>
      </c>
      <c r="J296">
        <v>21</v>
      </c>
      <c r="K296">
        <v>2</v>
      </c>
      <c r="L296">
        <v>9</v>
      </c>
      <c r="M296">
        <v>25.9</v>
      </c>
      <c r="N296">
        <v>233.1</v>
      </c>
      <c r="O296">
        <v>0.06</v>
      </c>
      <c r="P296">
        <v>13.99</v>
      </c>
      <c r="Q296">
        <v>219.11</v>
      </c>
      <c r="R296">
        <v>163.16999999999999</v>
      </c>
      <c r="S296">
        <v>55.94</v>
      </c>
    </row>
    <row r="297" spans="1:19" x14ac:dyDescent="0.35">
      <c r="A297">
        <v>100295</v>
      </c>
      <c r="B297">
        <v>4837</v>
      </c>
      <c r="C297" t="s">
        <v>19</v>
      </c>
      <c r="D297" t="s">
        <v>20</v>
      </c>
      <c r="E297" t="s">
        <v>34</v>
      </c>
      <c r="F297" t="s">
        <v>45</v>
      </c>
      <c r="G297" s="1">
        <v>45269</v>
      </c>
      <c r="H297" s="1">
        <v>45271</v>
      </c>
      <c r="I297" s="1">
        <v>45292</v>
      </c>
      <c r="J297">
        <v>23</v>
      </c>
      <c r="K297">
        <v>2</v>
      </c>
      <c r="L297">
        <v>3</v>
      </c>
      <c r="M297">
        <v>452.19</v>
      </c>
      <c r="N297">
        <v>1356.57</v>
      </c>
      <c r="O297">
        <v>0.05</v>
      </c>
      <c r="P297">
        <v>67.83</v>
      </c>
      <c r="Q297">
        <v>1288.74</v>
      </c>
      <c r="R297">
        <v>813.94</v>
      </c>
      <c r="S297">
        <v>474.8</v>
      </c>
    </row>
    <row r="298" spans="1:19" x14ac:dyDescent="0.35">
      <c r="A298">
        <v>100296</v>
      </c>
      <c r="B298">
        <v>1327</v>
      </c>
      <c r="C298" t="s">
        <v>28</v>
      </c>
      <c r="D298" t="s">
        <v>31</v>
      </c>
      <c r="E298" t="s">
        <v>24</v>
      </c>
      <c r="F298" t="s">
        <v>42</v>
      </c>
      <c r="G298" s="1">
        <v>45168</v>
      </c>
      <c r="H298" s="1">
        <v>45169</v>
      </c>
      <c r="I298" s="1">
        <v>45194</v>
      </c>
      <c r="J298">
        <v>26</v>
      </c>
      <c r="K298">
        <v>1</v>
      </c>
      <c r="L298">
        <v>5</v>
      </c>
      <c r="M298">
        <v>44.85</v>
      </c>
      <c r="N298">
        <v>224.25</v>
      </c>
      <c r="O298">
        <v>0.04</v>
      </c>
      <c r="P298">
        <v>8.9700000000000006</v>
      </c>
      <c r="Q298">
        <v>215.28</v>
      </c>
      <c r="R298">
        <v>134.55000000000001</v>
      </c>
      <c r="S298">
        <v>80.73</v>
      </c>
    </row>
    <row r="299" spans="1:19" x14ac:dyDescent="0.35">
      <c r="A299">
        <v>100297</v>
      </c>
      <c r="B299">
        <v>4098</v>
      </c>
      <c r="C299" t="s">
        <v>23</v>
      </c>
      <c r="D299" t="s">
        <v>31</v>
      </c>
      <c r="E299" t="s">
        <v>21</v>
      </c>
      <c r="F299" t="s">
        <v>39</v>
      </c>
      <c r="G299" s="1">
        <v>45229</v>
      </c>
      <c r="H299" s="1">
        <v>45233</v>
      </c>
      <c r="I299" s="1">
        <v>45248</v>
      </c>
      <c r="J299">
        <v>19</v>
      </c>
      <c r="K299">
        <v>4</v>
      </c>
      <c r="L299">
        <v>9</v>
      </c>
      <c r="M299">
        <v>103.87</v>
      </c>
      <c r="N299">
        <v>934.83</v>
      </c>
      <c r="O299">
        <v>0.08</v>
      </c>
      <c r="P299">
        <v>74.790000000000006</v>
      </c>
      <c r="Q299">
        <v>860.04</v>
      </c>
      <c r="R299">
        <v>598.29</v>
      </c>
      <c r="S299">
        <v>261.75</v>
      </c>
    </row>
    <row r="300" spans="1:19" x14ac:dyDescent="0.35">
      <c r="A300">
        <v>100298</v>
      </c>
      <c r="B300">
        <v>3194</v>
      </c>
      <c r="C300" t="s">
        <v>28</v>
      </c>
      <c r="D300" t="s">
        <v>29</v>
      </c>
      <c r="E300" t="s">
        <v>24</v>
      </c>
      <c r="F300" t="s">
        <v>25</v>
      </c>
      <c r="G300" s="1">
        <v>45192</v>
      </c>
      <c r="H300" s="1">
        <v>45194</v>
      </c>
      <c r="I300" s="1">
        <v>45202</v>
      </c>
      <c r="J300">
        <v>10</v>
      </c>
      <c r="K300">
        <v>2</v>
      </c>
      <c r="L300">
        <v>8</v>
      </c>
      <c r="M300">
        <v>331.59</v>
      </c>
      <c r="N300">
        <v>2652.72</v>
      </c>
      <c r="O300">
        <v>0.14000000000000001</v>
      </c>
      <c r="P300">
        <v>371.38</v>
      </c>
      <c r="Q300">
        <v>2281.34</v>
      </c>
      <c r="R300">
        <v>1803.85</v>
      </c>
      <c r="S300">
        <v>477.49</v>
      </c>
    </row>
    <row r="301" spans="1:19" x14ac:dyDescent="0.35">
      <c r="A301">
        <v>100299</v>
      </c>
      <c r="B301">
        <v>3666</v>
      </c>
      <c r="C301" t="s">
        <v>33</v>
      </c>
      <c r="D301" t="s">
        <v>20</v>
      </c>
      <c r="E301" t="s">
        <v>24</v>
      </c>
      <c r="F301" t="s">
        <v>32</v>
      </c>
      <c r="G301" s="1">
        <v>45090</v>
      </c>
      <c r="H301" s="1">
        <v>45095</v>
      </c>
      <c r="I301" s="1">
        <v>45104</v>
      </c>
      <c r="J301">
        <v>14</v>
      </c>
      <c r="K301">
        <v>5</v>
      </c>
      <c r="L301">
        <v>11</v>
      </c>
      <c r="M301">
        <v>73.55</v>
      </c>
      <c r="N301">
        <v>809.05</v>
      </c>
      <c r="O301">
        <v>0.16</v>
      </c>
      <c r="P301">
        <v>129.44999999999999</v>
      </c>
      <c r="Q301">
        <v>679.6</v>
      </c>
      <c r="R301">
        <v>485.43</v>
      </c>
      <c r="S301">
        <v>194.17</v>
      </c>
    </row>
    <row r="302" spans="1:19" x14ac:dyDescent="0.35">
      <c r="A302">
        <v>100300</v>
      </c>
      <c r="B302">
        <v>4313</v>
      </c>
      <c r="C302" t="s">
        <v>23</v>
      </c>
      <c r="D302" t="s">
        <v>20</v>
      </c>
      <c r="E302" t="s">
        <v>34</v>
      </c>
      <c r="F302" t="s">
        <v>43</v>
      </c>
      <c r="G302" s="1">
        <v>44942</v>
      </c>
      <c r="H302" s="1">
        <v>44943</v>
      </c>
      <c r="I302" s="1">
        <v>44960</v>
      </c>
      <c r="J302">
        <v>18</v>
      </c>
      <c r="K302">
        <v>1</v>
      </c>
      <c r="L302">
        <v>3</v>
      </c>
      <c r="M302">
        <v>409.73</v>
      </c>
      <c r="N302">
        <v>1229.19</v>
      </c>
      <c r="O302">
        <v>0.08</v>
      </c>
      <c r="P302">
        <v>98.34</v>
      </c>
      <c r="Q302">
        <v>1130.8499999999999</v>
      </c>
      <c r="R302">
        <v>700.64</v>
      </c>
      <c r="S302">
        <v>430.21</v>
      </c>
    </row>
    <row r="303" spans="1:19" x14ac:dyDescent="0.35">
      <c r="A303">
        <v>100301</v>
      </c>
      <c r="B303">
        <v>4519</v>
      </c>
      <c r="C303" t="s">
        <v>23</v>
      </c>
      <c r="D303" t="s">
        <v>29</v>
      </c>
      <c r="E303" t="s">
        <v>21</v>
      </c>
      <c r="F303" t="s">
        <v>41</v>
      </c>
      <c r="G303" s="1">
        <v>45087</v>
      </c>
      <c r="H303" s="1">
        <v>45088</v>
      </c>
      <c r="I303" s="1">
        <v>45104</v>
      </c>
      <c r="J303">
        <v>17</v>
      </c>
      <c r="K303">
        <v>1</v>
      </c>
      <c r="L303">
        <v>11</v>
      </c>
      <c r="M303">
        <v>254.89</v>
      </c>
      <c r="N303">
        <v>2803.79</v>
      </c>
      <c r="O303">
        <v>0.02</v>
      </c>
      <c r="P303">
        <v>56.08</v>
      </c>
      <c r="Q303">
        <v>2747.71</v>
      </c>
      <c r="R303">
        <v>1822.46</v>
      </c>
      <c r="S303">
        <v>925.25</v>
      </c>
    </row>
    <row r="304" spans="1:19" x14ac:dyDescent="0.35">
      <c r="A304">
        <v>100302</v>
      </c>
      <c r="B304">
        <v>2490</v>
      </c>
      <c r="C304" t="s">
        <v>23</v>
      </c>
      <c r="D304" t="s">
        <v>31</v>
      </c>
      <c r="E304" t="s">
        <v>34</v>
      </c>
      <c r="F304" t="s">
        <v>43</v>
      </c>
      <c r="G304" s="1">
        <v>45282</v>
      </c>
      <c r="H304" s="1">
        <v>45284</v>
      </c>
      <c r="I304" s="1">
        <v>45296</v>
      </c>
      <c r="J304">
        <v>14</v>
      </c>
      <c r="K304">
        <v>2</v>
      </c>
      <c r="L304">
        <v>7</v>
      </c>
      <c r="M304">
        <v>678.61</v>
      </c>
      <c r="N304">
        <v>4750.2700000000004</v>
      </c>
      <c r="O304">
        <v>0.11</v>
      </c>
      <c r="P304">
        <v>522.53</v>
      </c>
      <c r="Q304">
        <v>4227.74</v>
      </c>
      <c r="R304">
        <v>2660.15</v>
      </c>
      <c r="S304">
        <v>1567.59</v>
      </c>
    </row>
    <row r="305" spans="1:19" x14ac:dyDescent="0.35">
      <c r="A305">
        <v>100303</v>
      </c>
      <c r="B305">
        <v>1333</v>
      </c>
      <c r="C305" t="s">
        <v>33</v>
      </c>
      <c r="D305" t="s">
        <v>29</v>
      </c>
      <c r="E305" t="s">
        <v>26</v>
      </c>
      <c r="F305" t="s">
        <v>44</v>
      </c>
      <c r="G305" s="1">
        <v>45125</v>
      </c>
      <c r="H305" s="1">
        <v>45130</v>
      </c>
      <c r="I305" s="1">
        <v>45155</v>
      </c>
      <c r="J305">
        <v>30</v>
      </c>
      <c r="K305">
        <v>5</v>
      </c>
      <c r="L305">
        <v>4</v>
      </c>
      <c r="M305">
        <v>471.37</v>
      </c>
      <c r="N305">
        <v>1885.48</v>
      </c>
      <c r="O305">
        <v>0.01</v>
      </c>
      <c r="P305">
        <v>18.850000000000001</v>
      </c>
      <c r="Q305">
        <v>1866.63</v>
      </c>
      <c r="R305">
        <v>1282.1300000000001</v>
      </c>
      <c r="S305">
        <v>584.5</v>
      </c>
    </row>
    <row r="306" spans="1:19" x14ac:dyDescent="0.35">
      <c r="A306">
        <v>100304</v>
      </c>
      <c r="B306">
        <v>1138</v>
      </c>
      <c r="C306" t="s">
        <v>23</v>
      </c>
      <c r="D306" t="s">
        <v>29</v>
      </c>
      <c r="E306" t="s">
        <v>21</v>
      </c>
      <c r="F306" t="s">
        <v>22</v>
      </c>
      <c r="G306" s="1">
        <v>45139</v>
      </c>
      <c r="H306" s="1">
        <v>45144</v>
      </c>
      <c r="I306" s="1">
        <v>45143</v>
      </c>
      <c r="J306">
        <v>4</v>
      </c>
      <c r="K306">
        <v>5</v>
      </c>
      <c r="L306">
        <v>12</v>
      </c>
      <c r="M306">
        <v>135.87</v>
      </c>
      <c r="N306">
        <v>1630.44</v>
      </c>
      <c r="O306">
        <v>7.0000000000000007E-2</v>
      </c>
      <c r="P306">
        <v>114.13</v>
      </c>
      <c r="Q306">
        <v>1516.31</v>
      </c>
      <c r="R306">
        <v>945.66</v>
      </c>
      <c r="S306">
        <v>570.65</v>
      </c>
    </row>
    <row r="307" spans="1:19" x14ac:dyDescent="0.35">
      <c r="A307">
        <v>100305</v>
      </c>
      <c r="B307">
        <v>1529</v>
      </c>
      <c r="C307" t="s">
        <v>28</v>
      </c>
      <c r="D307" t="s">
        <v>29</v>
      </c>
      <c r="E307" t="s">
        <v>24</v>
      </c>
      <c r="F307" t="s">
        <v>32</v>
      </c>
      <c r="G307" s="1">
        <v>44960</v>
      </c>
      <c r="H307" s="1">
        <v>44962</v>
      </c>
      <c r="I307" s="1">
        <v>44969</v>
      </c>
      <c r="J307">
        <v>9</v>
      </c>
      <c r="K307">
        <v>2</v>
      </c>
      <c r="L307">
        <v>6</v>
      </c>
      <c r="M307">
        <v>360.76</v>
      </c>
      <c r="N307">
        <v>2164.56</v>
      </c>
      <c r="O307">
        <v>0.14000000000000001</v>
      </c>
      <c r="P307">
        <v>303.04000000000002</v>
      </c>
      <c r="Q307">
        <v>1861.52</v>
      </c>
      <c r="R307">
        <v>1277.0899999999999</v>
      </c>
      <c r="S307">
        <v>584.42999999999995</v>
      </c>
    </row>
    <row r="308" spans="1:19" x14ac:dyDescent="0.35">
      <c r="A308">
        <v>100306</v>
      </c>
      <c r="B308">
        <v>4827</v>
      </c>
      <c r="C308" t="s">
        <v>28</v>
      </c>
      <c r="D308" t="s">
        <v>20</v>
      </c>
      <c r="E308" t="s">
        <v>21</v>
      </c>
      <c r="F308" t="s">
        <v>38</v>
      </c>
      <c r="G308" s="1">
        <v>44948</v>
      </c>
      <c r="H308" s="1">
        <v>44951</v>
      </c>
      <c r="I308" s="1">
        <v>44970</v>
      </c>
      <c r="J308">
        <v>22</v>
      </c>
      <c r="K308">
        <v>3</v>
      </c>
      <c r="L308">
        <v>5</v>
      </c>
      <c r="M308">
        <v>651.08000000000004</v>
      </c>
      <c r="N308">
        <v>3255.4</v>
      </c>
      <c r="O308">
        <v>7.0000000000000007E-2</v>
      </c>
      <c r="P308">
        <v>227.88</v>
      </c>
      <c r="Q308">
        <v>3027.52</v>
      </c>
      <c r="R308">
        <v>1595.15</v>
      </c>
      <c r="S308">
        <v>1432.37</v>
      </c>
    </row>
    <row r="309" spans="1:19" x14ac:dyDescent="0.35">
      <c r="A309">
        <v>100307</v>
      </c>
      <c r="B309">
        <v>2345</v>
      </c>
      <c r="C309" t="s">
        <v>19</v>
      </c>
      <c r="D309" t="s">
        <v>20</v>
      </c>
      <c r="E309" t="s">
        <v>21</v>
      </c>
      <c r="F309" t="s">
        <v>22</v>
      </c>
      <c r="G309" s="1">
        <v>45249</v>
      </c>
      <c r="H309" s="1">
        <v>45254</v>
      </c>
      <c r="I309" s="1">
        <v>45260</v>
      </c>
      <c r="J309">
        <v>11</v>
      </c>
      <c r="K309">
        <v>5</v>
      </c>
      <c r="L309">
        <v>3</v>
      </c>
      <c r="M309">
        <v>10.74</v>
      </c>
      <c r="N309">
        <v>32.22</v>
      </c>
      <c r="O309">
        <v>0.05</v>
      </c>
      <c r="P309">
        <v>1.61</v>
      </c>
      <c r="Q309">
        <v>30.61</v>
      </c>
      <c r="R309">
        <v>20.94</v>
      </c>
      <c r="S309">
        <v>9.67</v>
      </c>
    </row>
    <row r="310" spans="1:19" x14ac:dyDescent="0.35">
      <c r="A310">
        <v>100308</v>
      </c>
      <c r="B310">
        <v>1532</v>
      </c>
      <c r="C310" t="s">
        <v>19</v>
      </c>
      <c r="D310" t="s">
        <v>31</v>
      </c>
      <c r="E310" t="s">
        <v>26</v>
      </c>
      <c r="F310" t="s">
        <v>36</v>
      </c>
      <c r="G310" s="1">
        <v>45194</v>
      </c>
      <c r="H310" s="1">
        <v>45195</v>
      </c>
      <c r="I310" s="1">
        <v>45210</v>
      </c>
      <c r="J310">
        <v>16</v>
      </c>
      <c r="K310">
        <v>1</v>
      </c>
      <c r="L310">
        <v>7</v>
      </c>
      <c r="M310">
        <v>600.86</v>
      </c>
      <c r="N310">
        <v>4206.0200000000004</v>
      </c>
      <c r="O310">
        <v>0.15</v>
      </c>
      <c r="P310">
        <v>630.9</v>
      </c>
      <c r="Q310">
        <v>3575.12</v>
      </c>
      <c r="R310">
        <v>2860.09</v>
      </c>
      <c r="S310">
        <v>715.03</v>
      </c>
    </row>
    <row r="311" spans="1:19" x14ac:dyDescent="0.35">
      <c r="A311">
        <v>100309</v>
      </c>
      <c r="B311">
        <v>4302</v>
      </c>
      <c r="C311" t="s">
        <v>19</v>
      </c>
      <c r="D311" t="s">
        <v>29</v>
      </c>
      <c r="E311" t="s">
        <v>24</v>
      </c>
      <c r="F311" t="s">
        <v>42</v>
      </c>
      <c r="G311" s="1">
        <v>45230</v>
      </c>
      <c r="H311" s="1">
        <v>45234</v>
      </c>
      <c r="I311" s="1">
        <v>45243</v>
      </c>
      <c r="J311">
        <v>13</v>
      </c>
      <c r="K311">
        <v>4</v>
      </c>
      <c r="L311">
        <v>11</v>
      </c>
      <c r="M311">
        <v>609.37</v>
      </c>
      <c r="N311">
        <v>6703.07</v>
      </c>
      <c r="O311">
        <v>0.01</v>
      </c>
      <c r="P311">
        <v>67.03</v>
      </c>
      <c r="Q311">
        <v>6636.04</v>
      </c>
      <c r="R311">
        <v>4021.84</v>
      </c>
      <c r="S311">
        <v>2614.1999999999998</v>
      </c>
    </row>
    <row r="312" spans="1:19" x14ac:dyDescent="0.35">
      <c r="A312">
        <v>100310</v>
      </c>
      <c r="B312">
        <v>2218</v>
      </c>
      <c r="C312" t="s">
        <v>33</v>
      </c>
      <c r="D312" t="s">
        <v>31</v>
      </c>
      <c r="E312" t="s">
        <v>24</v>
      </c>
      <c r="F312" t="s">
        <v>32</v>
      </c>
      <c r="G312" s="1">
        <v>45066</v>
      </c>
      <c r="H312" s="1">
        <v>45068</v>
      </c>
      <c r="I312" s="1">
        <v>45073</v>
      </c>
      <c r="J312">
        <v>7</v>
      </c>
      <c r="K312">
        <v>2</v>
      </c>
      <c r="L312">
        <v>10</v>
      </c>
      <c r="M312">
        <v>208.2</v>
      </c>
      <c r="N312">
        <v>2082</v>
      </c>
      <c r="O312">
        <v>0.02</v>
      </c>
      <c r="P312">
        <v>41.64</v>
      </c>
      <c r="Q312">
        <v>2040.36</v>
      </c>
      <c r="R312">
        <v>1186.74</v>
      </c>
      <c r="S312">
        <v>853.62</v>
      </c>
    </row>
    <row r="313" spans="1:19" x14ac:dyDescent="0.35">
      <c r="A313">
        <v>100311</v>
      </c>
      <c r="B313">
        <v>2393</v>
      </c>
      <c r="C313" t="s">
        <v>28</v>
      </c>
      <c r="D313" t="s">
        <v>20</v>
      </c>
      <c r="E313" t="s">
        <v>26</v>
      </c>
      <c r="F313" t="s">
        <v>44</v>
      </c>
      <c r="G313" s="1">
        <v>44963</v>
      </c>
      <c r="H313" s="1">
        <v>44965</v>
      </c>
      <c r="I313" s="1">
        <v>44971</v>
      </c>
      <c r="J313">
        <v>8</v>
      </c>
      <c r="K313">
        <v>2</v>
      </c>
      <c r="L313">
        <v>1</v>
      </c>
      <c r="M313">
        <v>676.82</v>
      </c>
      <c r="N313">
        <v>676.82</v>
      </c>
      <c r="O313">
        <v>7.0000000000000007E-2</v>
      </c>
      <c r="P313">
        <v>47.38</v>
      </c>
      <c r="Q313">
        <v>629.44000000000005</v>
      </c>
      <c r="R313">
        <v>419.63</v>
      </c>
      <c r="S313">
        <v>209.81</v>
      </c>
    </row>
    <row r="314" spans="1:19" x14ac:dyDescent="0.35">
      <c r="A314">
        <v>100312</v>
      </c>
      <c r="B314">
        <v>2236</v>
      </c>
      <c r="C314" t="s">
        <v>23</v>
      </c>
      <c r="D314" t="s">
        <v>31</v>
      </c>
      <c r="E314" t="s">
        <v>34</v>
      </c>
      <c r="F314" t="s">
        <v>43</v>
      </c>
      <c r="G314" s="1">
        <v>45164</v>
      </c>
      <c r="H314" s="1">
        <v>45165</v>
      </c>
      <c r="I314" s="1">
        <v>45193</v>
      </c>
      <c r="J314">
        <v>29</v>
      </c>
      <c r="K314">
        <v>1</v>
      </c>
      <c r="L314">
        <v>7</v>
      </c>
      <c r="M314">
        <v>473.59</v>
      </c>
      <c r="N314">
        <v>3315.13</v>
      </c>
      <c r="O314">
        <v>0.12</v>
      </c>
      <c r="P314">
        <v>397.82</v>
      </c>
      <c r="Q314">
        <v>2917.31</v>
      </c>
      <c r="R314">
        <v>2022.23</v>
      </c>
      <c r="S314">
        <v>895.08</v>
      </c>
    </row>
    <row r="315" spans="1:19" x14ac:dyDescent="0.35">
      <c r="A315">
        <v>100313</v>
      </c>
      <c r="B315">
        <v>4292</v>
      </c>
      <c r="C315" t="s">
        <v>19</v>
      </c>
      <c r="D315" t="s">
        <v>29</v>
      </c>
      <c r="E315" t="s">
        <v>21</v>
      </c>
      <c r="F315" t="s">
        <v>39</v>
      </c>
      <c r="G315" s="1">
        <v>45098</v>
      </c>
      <c r="H315" s="1">
        <v>45100</v>
      </c>
      <c r="I315" s="1">
        <v>45117</v>
      </c>
      <c r="J315">
        <v>19</v>
      </c>
      <c r="K315">
        <v>2</v>
      </c>
      <c r="L315">
        <v>7</v>
      </c>
      <c r="M315">
        <v>643.48</v>
      </c>
      <c r="N315">
        <v>4504.3599999999997</v>
      </c>
      <c r="O315">
        <v>0.1</v>
      </c>
      <c r="P315">
        <v>450.44</v>
      </c>
      <c r="Q315">
        <v>4053.92</v>
      </c>
      <c r="R315">
        <v>2702.62</v>
      </c>
      <c r="S315">
        <v>1351.3</v>
      </c>
    </row>
    <row r="316" spans="1:19" x14ac:dyDescent="0.35">
      <c r="A316">
        <v>100314</v>
      </c>
      <c r="B316">
        <v>4605</v>
      </c>
      <c r="C316" t="s">
        <v>28</v>
      </c>
      <c r="D316" t="s">
        <v>20</v>
      </c>
      <c r="E316" t="s">
        <v>34</v>
      </c>
      <c r="F316" t="s">
        <v>43</v>
      </c>
      <c r="G316" s="1">
        <v>45180</v>
      </c>
      <c r="H316" s="1">
        <v>45183</v>
      </c>
      <c r="I316" s="1">
        <v>45204</v>
      </c>
      <c r="J316">
        <v>24</v>
      </c>
      <c r="K316">
        <v>3</v>
      </c>
      <c r="L316">
        <v>1</v>
      </c>
      <c r="M316">
        <v>286.55</v>
      </c>
      <c r="N316">
        <v>286.55</v>
      </c>
      <c r="O316">
        <v>0.14000000000000001</v>
      </c>
      <c r="P316">
        <v>40.119999999999997</v>
      </c>
      <c r="Q316">
        <v>246.43</v>
      </c>
      <c r="R316">
        <v>171.93</v>
      </c>
      <c r="S316">
        <v>74.5</v>
      </c>
    </row>
    <row r="317" spans="1:19" x14ac:dyDescent="0.35">
      <c r="A317">
        <v>100315</v>
      </c>
      <c r="B317">
        <v>3484</v>
      </c>
      <c r="C317" t="s">
        <v>28</v>
      </c>
      <c r="D317" t="s">
        <v>31</v>
      </c>
      <c r="E317" t="s">
        <v>21</v>
      </c>
      <c r="F317" t="s">
        <v>41</v>
      </c>
      <c r="G317" s="1">
        <v>45126</v>
      </c>
      <c r="H317" s="1">
        <v>45130</v>
      </c>
      <c r="I317" s="1">
        <v>45137</v>
      </c>
      <c r="J317">
        <v>11</v>
      </c>
      <c r="K317">
        <v>4</v>
      </c>
      <c r="L317">
        <v>14</v>
      </c>
      <c r="M317">
        <v>797.72</v>
      </c>
      <c r="N317">
        <v>11168.08</v>
      </c>
      <c r="O317">
        <v>0.03</v>
      </c>
      <c r="P317">
        <v>335.04</v>
      </c>
      <c r="Q317">
        <v>10833.04</v>
      </c>
      <c r="R317">
        <v>6700.85</v>
      </c>
      <c r="S317">
        <v>4132.1899999999996</v>
      </c>
    </row>
    <row r="318" spans="1:19" x14ac:dyDescent="0.35">
      <c r="A318">
        <v>100316</v>
      </c>
      <c r="B318">
        <v>1899</v>
      </c>
      <c r="C318" t="s">
        <v>23</v>
      </c>
      <c r="D318" t="s">
        <v>20</v>
      </c>
      <c r="E318" t="s">
        <v>34</v>
      </c>
      <c r="F318" t="s">
        <v>40</v>
      </c>
      <c r="G318" s="1">
        <v>45236</v>
      </c>
      <c r="H318" s="1">
        <v>45238</v>
      </c>
      <c r="I318" s="1">
        <v>45251</v>
      </c>
      <c r="J318">
        <v>15</v>
      </c>
      <c r="K318">
        <v>2</v>
      </c>
      <c r="L318">
        <v>12</v>
      </c>
      <c r="M318">
        <v>298.63</v>
      </c>
      <c r="N318">
        <v>3583.56</v>
      </c>
      <c r="O318">
        <v>0.14000000000000001</v>
      </c>
      <c r="P318">
        <v>501.7</v>
      </c>
      <c r="Q318">
        <v>3081.86</v>
      </c>
      <c r="R318">
        <v>1899.29</v>
      </c>
      <c r="S318">
        <v>1182.57</v>
      </c>
    </row>
    <row r="319" spans="1:19" x14ac:dyDescent="0.35">
      <c r="A319">
        <v>100317</v>
      </c>
      <c r="B319">
        <v>3932</v>
      </c>
      <c r="C319" t="s">
        <v>33</v>
      </c>
      <c r="D319" t="s">
        <v>31</v>
      </c>
      <c r="E319" t="s">
        <v>24</v>
      </c>
      <c r="F319" t="s">
        <v>32</v>
      </c>
      <c r="G319" s="1">
        <v>45190</v>
      </c>
      <c r="H319" s="1">
        <v>45193</v>
      </c>
      <c r="I319" s="1">
        <v>45207</v>
      </c>
      <c r="J319">
        <v>17</v>
      </c>
      <c r="K319">
        <v>3</v>
      </c>
      <c r="L319">
        <v>9</v>
      </c>
      <c r="M319">
        <v>657.19</v>
      </c>
      <c r="N319">
        <v>5914.71</v>
      </c>
      <c r="O319">
        <v>0.09</v>
      </c>
      <c r="P319">
        <v>532.32000000000005</v>
      </c>
      <c r="Q319">
        <v>5382.39</v>
      </c>
      <c r="R319">
        <v>3548.83</v>
      </c>
      <c r="S319">
        <v>1833.56</v>
      </c>
    </row>
    <row r="320" spans="1:19" x14ac:dyDescent="0.35">
      <c r="A320">
        <v>100318</v>
      </c>
      <c r="B320">
        <v>1763</v>
      </c>
      <c r="C320" t="s">
        <v>19</v>
      </c>
      <c r="D320" t="s">
        <v>20</v>
      </c>
      <c r="E320" t="s">
        <v>34</v>
      </c>
      <c r="F320" t="s">
        <v>45</v>
      </c>
      <c r="G320" s="1">
        <v>45053</v>
      </c>
      <c r="H320" s="1">
        <v>45054</v>
      </c>
      <c r="I320" s="1">
        <v>45063</v>
      </c>
      <c r="J320">
        <v>10</v>
      </c>
      <c r="K320">
        <v>1</v>
      </c>
      <c r="L320">
        <v>4</v>
      </c>
      <c r="M320">
        <v>334.2</v>
      </c>
      <c r="N320">
        <v>1336.8</v>
      </c>
      <c r="O320">
        <v>7.0000000000000007E-2</v>
      </c>
      <c r="P320">
        <v>93.58</v>
      </c>
      <c r="Q320">
        <v>1243.22</v>
      </c>
      <c r="R320">
        <v>975.86</v>
      </c>
      <c r="S320">
        <v>267.36</v>
      </c>
    </row>
    <row r="321" spans="1:19" x14ac:dyDescent="0.35">
      <c r="A321">
        <v>100319</v>
      </c>
      <c r="B321">
        <v>4475</v>
      </c>
      <c r="C321" t="s">
        <v>23</v>
      </c>
      <c r="D321" t="s">
        <v>20</v>
      </c>
      <c r="E321" t="s">
        <v>24</v>
      </c>
      <c r="F321" t="s">
        <v>30</v>
      </c>
      <c r="G321" s="1">
        <v>45202</v>
      </c>
      <c r="H321" s="1">
        <v>45203</v>
      </c>
      <c r="I321" s="1">
        <v>45219</v>
      </c>
      <c r="J321">
        <v>17</v>
      </c>
      <c r="K321">
        <v>1</v>
      </c>
      <c r="L321">
        <v>1</v>
      </c>
      <c r="M321">
        <v>442.43</v>
      </c>
      <c r="N321">
        <v>442.43</v>
      </c>
      <c r="O321">
        <v>0.13</v>
      </c>
      <c r="P321">
        <v>57.52</v>
      </c>
      <c r="Q321">
        <v>384.91</v>
      </c>
      <c r="R321">
        <v>221.22</v>
      </c>
      <c r="S321">
        <v>163.69</v>
      </c>
    </row>
    <row r="322" spans="1:19" x14ac:dyDescent="0.35">
      <c r="A322">
        <v>100320</v>
      </c>
      <c r="B322">
        <v>2521</v>
      </c>
      <c r="C322" t="s">
        <v>33</v>
      </c>
      <c r="D322" t="s">
        <v>31</v>
      </c>
      <c r="E322" t="s">
        <v>24</v>
      </c>
      <c r="F322" t="s">
        <v>42</v>
      </c>
      <c r="G322" s="1">
        <v>45269</v>
      </c>
      <c r="H322" s="1">
        <v>45272</v>
      </c>
      <c r="I322" s="1">
        <v>45296</v>
      </c>
      <c r="J322">
        <v>27</v>
      </c>
      <c r="K322">
        <v>3</v>
      </c>
      <c r="L322">
        <v>3</v>
      </c>
      <c r="M322">
        <v>776.2</v>
      </c>
      <c r="N322">
        <v>2328.6</v>
      </c>
      <c r="O322">
        <v>0</v>
      </c>
      <c r="P322">
        <v>0</v>
      </c>
      <c r="Q322">
        <v>2328.6</v>
      </c>
      <c r="R322">
        <v>1373.87</v>
      </c>
      <c r="S322">
        <v>954.73</v>
      </c>
    </row>
    <row r="323" spans="1:19" x14ac:dyDescent="0.35">
      <c r="A323">
        <v>100321</v>
      </c>
      <c r="B323">
        <v>1548</v>
      </c>
      <c r="C323" t="s">
        <v>28</v>
      </c>
      <c r="D323" t="s">
        <v>20</v>
      </c>
      <c r="E323" t="s">
        <v>26</v>
      </c>
      <c r="F323" t="s">
        <v>44</v>
      </c>
      <c r="G323" s="1">
        <v>45228</v>
      </c>
      <c r="H323" s="1">
        <v>45233</v>
      </c>
      <c r="I323" s="1">
        <v>45235</v>
      </c>
      <c r="J323">
        <v>7</v>
      </c>
      <c r="K323">
        <v>5</v>
      </c>
      <c r="L323">
        <v>9</v>
      </c>
      <c r="M323">
        <v>793.61</v>
      </c>
      <c r="N323">
        <v>7142.49</v>
      </c>
      <c r="O323">
        <v>0.23</v>
      </c>
      <c r="P323">
        <v>1642.77</v>
      </c>
      <c r="Q323">
        <v>5499.72</v>
      </c>
      <c r="R323">
        <v>4785.47</v>
      </c>
      <c r="S323">
        <v>714.25</v>
      </c>
    </row>
    <row r="324" spans="1:19" x14ac:dyDescent="0.35">
      <c r="A324">
        <v>100322</v>
      </c>
      <c r="B324">
        <v>2590</v>
      </c>
      <c r="C324" t="s">
        <v>19</v>
      </c>
      <c r="D324" t="s">
        <v>31</v>
      </c>
      <c r="E324" t="s">
        <v>21</v>
      </c>
      <c r="F324" t="s">
        <v>22</v>
      </c>
      <c r="G324" s="1">
        <v>45154</v>
      </c>
      <c r="H324" s="1">
        <v>45155</v>
      </c>
      <c r="I324" s="1">
        <v>45160</v>
      </c>
      <c r="J324">
        <v>6</v>
      </c>
      <c r="K324">
        <v>1</v>
      </c>
      <c r="L324">
        <v>3</v>
      </c>
      <c r="M324">
        <v>697.39</v>
      </c>
      <c r="N324">
        <v>2092.17</v>
      </c>
      <c r="O324">
        <v>0</v>
      </c>
      <c r="P324">
        <v>0</v>
      </c>
      <c r="Q324">
        <v>2092.17</v>
      </c>
      <c r="R324">
        <v>1234.3800000000001</v>
      </c>
      <c r="S324">
        <v>857.79</v>
      </c>
    </row>
    <row r="325" spans="1:19" x14ac:dyDescent="0.35">
      <c r="A325">
        <v>100323</v>
      </c>
      <c r="B325">
        <v>4016</v>
      </c>
      <c r="C325" t="s">
        <v>33</v>
      </c>
      <c r="D325" t="s">
        <v>31</v>
      </c>
      <c r="E325" t="s">
        <v>26</v>
      </c>
      <c r="F325" t="s">
        <v>37</v>
      </c>
      <c r="G325" s="1">
        <v>45264</v>
      </c>
      <c r="H325" s="1">
        <v>45267</v>
      </c>
      <c r="I325" s="1">
        <v>45288</v>
      </c>
      <c r="J325">
        <v>24</v>
      </c>
      <c r="K325">
        <v>3</v>
      </c>
      <c r="L325">
        <v>6</v>
      </c>
      <c r="M325">
        <v>105.85</v>
      </c>
      <c r="N325">
        <v>635.1</v>
      </c>
      <c r="O325">
        <v>0.11</v>
      </c>
      <c r="P325">
        <v>69.86</v>
      </c>
      <c r="Q325">
        <v>565.24</v>
      </c>
      <c r="R325">
        <v>400.11</v>
      </c>
      <c r="S325">
        <v>165.13</v>
      </c>
    </row>
    <row r="326" spans="1:19" x14ac:dyDescent="0.35">
      <c r="A326">
        <v>100324</v>
      </c>
      <c r="B326">
        <v>1084</v>
      </c>
      <c r="C326" t="s">
        <v>33</v>
      </c>
      <c r="D326" t="s">
        <v>20</v>
      </c>
      <c r="E326" t="s">
        <v>26</v>
      </c>
      <c r="F326" t="s">
        <v>27</v>
      </c>
      <c r="G326" s="1">
        <v>44960</v>
      </c>
      <c r="H326" s="1">
        <v>44963</v>
      </c>
      <c r="I326" s="1">
        <v>44985</v>
      </c>
      <c r="J326">
        <v>25</v>
      </c>
      <c r="K326">
        <v>3</v>
      </c>
      <c r="L326">
        <v>9</v>
      </c>
      <c r="M326">
        <v>490.4</v>
      </c>
      <c r="N326">
        <v>4413.6000000000004</v>
      </c>
      <c r="O326">
        <v>0.15</v>
      </c>
      <c r="P326">
        <v>662.04</v>
      </c>
      <c r="Q326">
        <v>3751.56</v>
      </c>
      <c r="R326">
        <v>2648.16</v>
      </c>
      <c r="S326">
        <v>1103.4000000000001</v>
      </c>
    </row>
    <row r="327" spans="1:19" x14ac:dyDescent="0.35">
      <c r="A327">
        <v>100325</v>
      </c>
      <c r="B327">
        <v>1739</v>
      </c>
      <c r="C327" t="s">
        <v>19</v>
      </c>
      <c r="D327" t="s">
        <v>29</v>
      </c>
      <c r="E327" t="s">
        <v>21</v>
      </c>
      <c r="F327" t="s">
        <v>22</v>
      </c>
      <c r="G327" s="1">
        <v>45191</v>
      </c>
      <c r="H327" s="1">
        <v>45192</v>
      </c>
      <c r="I327" s="1">
        <v>45218</v>
      </c>
      <c r="J327">
        <v>27</v>
      </c>
      <c r="K327">
        <v>1</v>
      </c>
      <c r="L327">
        <v>8</v>
      </c>
      <c r="M327">
        <v>479.52</v>
      </c>
      <c r="N327">
        <v>3836.16</v>
      </c>
      <c r="O327">
        <v>0.04</v>
      </c>
      <c r="P327">
        <v>153.44999999999999</v>
      </c>
      <c r="Q327">
        <v>3682.71</v>
      </c>
      <c r="R327">
        <v>2608.59</v>
      </c>
      <c r="S327">
        <v>1074.1199999999999</v>
      </c>
    </row>
    <row r="328" spans="1:19" x14ac:dyDescent="0.35">
      <c r="A328">
        <v>100326</v>
      </c>
      <c r="B328">
        <v>2598</v>
      </c>
      <c r="C328" t="s">
        <v>23</v>
      </c>
      <c r="D328" t="s">
        <v>31</v>
      </c>
      <c r="E328" t="s">
        <v>26</v>
      </c>
      <c r="F328" t="s">
        <v>27</v>
      </c>
      <c r="G328" s="1">
        <v>45134</v>
      </c>
      <c r="H328" s="1">
        <v>45136</v>
      </c>
      <c r="I328" s="1">
        <v>45159</v>
      </c>
      <c r="J328">
        <v>25</v>
      </c>
      <c r="K328">
        <v>2</v>
      </c>
      <c r="L328">
        <v>13</v>
      </c>
      <c r="M328">
        <v>353.92</v>
      </c>
      <c r="N328">
        <v>4600.96</v>
      </c>
      <c r="O328">
        <v>0.1</v>
      </c>
      <c r="P328">
        <v>460.1</v>
      </c>
      <c r="Q328">
        <v>4140.8599999999997</v>
      </c>
      <c r="R328">
        <v>2760.58</v>
      </c>
      <c r="S328">
        <v>1380.28</v>
      </c>
    </row>
    <row r="329" spans="1:19" x14ac:dyDescent="0.35">
      <c r="A329">
        <v>100327</v>
      </c>
      <c r="B329">
        <v>4642</v>
      </c>
      <c r="C329" t="s">
        <v>33</v>
      </c>
      <c r="D329" t="s">
        <v>31</v>
      </c>
      <c r="E329" t="s">
        <v>21</v>
      </c>
      <c r="F329" t="s">
        <v>39</v>
      </c>
      <c r="G329" s="1">
        <v>45201</v>
      </c>
      <c r="H329" s="1">
        <v>45205</v>
      </c>
      <c r="I329" s="1">
        <v>45217</v>
      </c>
      <c r="J329">
        <v>16</v>
      </c>
      <c r="K329">
        <v>4</v>
      </c>
      <c r="L329">
        <v>11</v>
      </c>
      <c r="M329">
        <v>685.62</v>
      </c>
      <c r="N329">
        <v>7541.82</v>
      </c>
      <c r="O329">
        <v>0.12</v>
      </c>
      <c r="P329">
        <v>905.02</v>
      </c>
      <c r="Q329">
        <v>6636.8</v>
      </c>
      <c r="R329">
        <v>4826.76</v>
      </c>
      <c r="S329">
        <v>1810.04</v>
      </c>
    </row>
    <row r="330" spans="1:19" x14ac:dyDescent="0.35">
      <c r="A330">
        <v>100328</v>
      </c>
      <c r="B330">
        <v>3969</v>
      </c>
      <c r="C330" t="s">
        <v>19</v>
      </c>
      <c r="D330" t="s">
        <v>20</v>
      </c>
      <c r="E330" t="s">
        <v>34</v>
      </c>
      <c r="F330" t="s">
        <v>40</v>
      </c>
      <c r="G330" s="1">
        <v>45008</v>
      </c>
      <c r="H330" s="1">
        <v>45010</v>
      </c>
      <c r="I330" s="1">
        <v>45015</v>
      </c>
      <c r="J330">
        <v>7</v>
      </c>
      <c r="K330">
        <v>2</v>
      </c>
      <c r="L330">
        <v>8</v>
      </c>
      <c r="M330">
        <v>435.89</v>
      </c>
      <c r="N330">
        <v>3487.12</v>
      </c>
      <c r="O330">
        <v>0.13</v>
      </c>
      <c r="P330">
        <v>453.33</v>
      </c>
      <c r="Q330">
        <v>3033.79</v>
      </c>
      <c r="R330">
        <v>2092.27</v>
      </c>
      <c r="S330">
        <v>941.52</v>
      </c>
    </row>
    <row r="331" spans="1:19" x14ac:dyDescent="0.35">
      <c r="A331">
        <v>100329</v>
      </c>
      <c r="B331">
        <v>3756</v>
      </c>
      <c r="C331" t="s">
        <v>33</v>
      </c>
      <c r="D331" t="s">
        <v>29</v>
      </c>
      <c r="E331" t="s">
        <v>24</v>
      </c>
      <c r="F331" t="s">
        <v>42</v>
      </c>
      <c r="G331" s="1">
        <v>45030</v>
      </c>
      <c r="H331" s="1">
        <v>45031</v>
      </c>
      <c r="I331" s="1">
        <v>45042</v>
      </c>
      <c r="J331">
        <v>12</v>
      </c>
      <c r="K331">
        <v>1</v>
      </c>
      <c r="L331">
        <v>1</v>
      </c>
      <c r="M331">
        <v>78.16</v>
      </c>
      <c r="N331">
        <v>78.16</v>
      </c>
      <c r="O331">
        <v>0.14000000000000001</v>
      </c>
      <c r="P331">
        <v>10.94</v>
      </c>
      <c r="Q331">
        <v>67.22</v>
      </c>
      <c r="R331">
        <v>43.77</v>
      </c>
      <c r="S331">
        <v>23.45</v>
      </c>
    </row>
    <row r="332" spans="1:19" x14ac:dyDescent="0.35">
      <c r="A332">
        <v>100330</v>
      </c>
      <c r="B332">
        <v>4362</v>
      </c>
      <c r="C332" t="s">
        <v>28</v>
      </c>
      <c r="D332" t="s">
        <v>31</v>
      </c>
      <c r="E332" t="s">
        <v>21</v>
      </c>
      <c r="F332" t="s">
        <v>41</v>
      </c>
      <c r="G332" s="1">
        <v>44999</v>
      </c>
      <c r="H332" s="1">
        <v>45000</v>
      </c>
      <c r="I332" s="1">
        <v>45014</v>
      </c>
      <c r="J332">
        <v>15</v>
      </c>
      <c r="K332">
        <v>1</v>
      </c>
      <c r="L332">
        <v>14</v>
      </c>
      <c r="M332">
        <v>616.77</v>
      </c>
      <c r="N332">
        <v>8634.7800000000007</v>
      </c>
      <c r="O332">
        <v>0.03</v>
      </c>
      <c r="P332">
        <v>259.04000000000002</v>
      </c>
      <c r="Q332">
        <v>8375.74</v>
      </c>
      <c r="R332">
        <v>4749.13</v>
      </c>
      <c r="S332">
        <v>3626.61</v>
      </c>
    </row>
    <row r="333" spans="1:19" x14ac:dyDescent="0.35">
      <c r="A333">
        <v>100331</v>
      </c>
      <c r="B333">
        <v>3828</v>
      </c>
      <c r="C333" t="s">
        <v>23</v>
      </c>
      <c r="D333" t="s">
        <v>20</v>
      </c>
      <c r="E333" t="s">
        <v>26</v>
      </c>
      <c r="F333" t="s">
        <v>36</v>
      </c>
      <c r="G333" s="1">
        <v>45079</v>
      </c>
      <c r="H333" s="1">
        <v>45081</v>
      </c>
      <c r="I333" s="1">
        <v>45104</v>
      </c>
      <c r="J333">
        <v>25</v>
      </c>
      <c r="K333">
        <v>2</v>
      </c>
      <c r="L333">
        <v>11</v>
      </c>
      <c r="M333">
        <v>554.35</v>
      </c>
      <c r="N333">
        <v>6097.85</v>
      </c>
      <c r="O333">
        <v>0.09</v>
      </c>
      <c r="P333">
        <v>548.80999999999995</v>
      </c>
      <c r="Q333">
        <v>5549.04</v>
      </c>
      <c r="R333">
        <v>3414.8</v>
      </c>
      <c r="S333">
        <v>2134.2399999999998</v>
      </c>
    </row>
    <row r="334" spans="1:19" x14ac:dyDescent="0.35">
      <c r="A334">
        <v>100332</v>
      </c>
      <c r="B334">
        <v>2981</v>
      </c>
      <c r="C334" t="s">
        <v>28</v>
      </c>
      <c r="D334" t="s">
        <v>31</v>
      </c>
      <c r="E334" t="s">
        <v>26</v>
      </c>
      <c r="F334" t="s">
        <v>36</v>
      </c>
      <c r="G334" s="1">
        <v>45195</v>
      </c>
      <c r="H334" s="1">
        <v>45197</v>
      </c>
      <c r="I334" s="1">
        <v>45198</v>
      </c>
      <c r="J334">
        <v>3</v>
      </c>
      <c r="K334">
        <v>2</v>
      </c>
      <c r="L334">
        <v>6</v>
      </c>
      <c r="M334">
        <v>511.81</v>
      </c>
      <c r="N334">
        <v>3070.86</v>
      </c>
      <c r="O334">
        <v>0.01</v>
      </c>
      <c r="P334">
        <v>30.71</v>
      </c>
      <c r="Q334">
        <v>3040.15</v>
      </c>
      <c r="R334">
        <v>2057.48</v>
      </c>
      <c r="S334">
        <v>982.67</v>
      </c>
    </row>
    <row r="335" spans="1:19" x14ac:dyDescent="0.35">
      <c r="A335">
        <v>100333</v>
      </c>
      <c r="B335">
        <v>3419</v>
      </c>
      <c r="C335" t="s">
        <v>19</v>
      </c>
      <c r="D335" t="s">
        <v>20</v>
      </c>
      <c r="E335" t="s">
        <v>34</v>
      </c>
      <c r="F335" t="s">
        <v>35</v>
      </c>
      <c r="G335" s="1">
        <v>45104</v>
      </c>
      <c r="H335" s="1">
        <v>45105</v>
      </c>
      <c r="I335" s="1">
        <v>45117</v>
      </c>
      <c r="J335">
        <v>13</v>
      </c>
      <c r="K335">
        <v>1</v>
      </c>
      <c r="L335">
        <v>8</v>
      </c>
      <c r="M335">
        <v>467.66</v>
      </c>
      <c r="N335">
        <v>3741.28</v>
      </c>
      <c r="O335">
        <v>0</v>
      </c>
      <c r="P335">
        <v>0</v>
      </c>
      <c r="Q335">
        <v>3741.28</v>
      </c>
      <c r="R335">
        <v>2244.77</v>
      </c>
      <c r="S335">
        <v>1496.51</v>
      </c>
    </row>
    <row r="336" spans="1:19" x14ac:dyDescent="0.35">
      <c r="A336">
        <v>100334</v>
      </c>
      <c r="B336">
        <v>1342</v>
      </c>
      <c r="C336" t="s">
        <v>19</v>
      </c>
      <c r="D336" t="s">
        <v>31</v>
      </c>
      <c r="E336" t="s">
        <v>21</v>
      </c>
      <c r="F336" t="s">
        <v>41</v>
      </c>
      <c r="G336" s="1">
        <v>45153</v>
      </c>
      <c r="H336" s="1">
        <v>45156</v>
      </c>
      <c r="I336" s="1">
        <v>45156</v>
      </c>
      <c r="J336">
        <v>3</v>
      </c>
      <c r="K336">
        <v>3</v>
      </c>
      <c r="L336">
        <v>5</v>
      </c>
      <c r="M336">
        <v>102.61</v>
      </c>
      <c r="N336">
        <v>513.04999999999995</v>
      </c>
      <c r="O336">
        <v>0.12</v>
      </c>
      <c r="P336">
        <v>61.57</v>
      </c>
      <c r="Q336">
        <v>451.48</v>
      </c>
      <c r="R336">
        <v>348.87</v>
      </c>
      <c r="S336">
        <v>102.61</v>
      </c>
    </row>
    <row r="337" spans="1:19" x14ac:dyDescent="0.35">
      <c r="A337">
        <v>100335</v>
      </c>
      <c r="B337">
        <v>1566</v>
      </c>
      <c r="C337" t="s">
        <v>19</v>
      </c>
      <c r="D337" t="s">
        <v>31</v>
      </c>
      <c r="E337" t="s">
        <v>24</v>
      </c>
      <c r="F337" t="s">
        <v>25</v>
      </c>
      <c r="G337" s="1">
        <v>45122</v>
      </c>
      <c r="H337" s="1">
        <v>45127</v>
      </c>
      <c r="I337" s="1">
        <v>45148</v>
      </c>
      <c r="J337">
        <v>26</v>
      </c>
      <c r="K337">
        <v>5</v>
      </c>
      <c r="L337">
        <v>13</v>
      </c>
      <c r="M337">
        <v>652.74</v>
      </c>
      <c r="N337">
        <v>8485.6200000000008</v>
      </c>
      <c r="O337">
        <v>0.09</v>
      </c>
      <c r="P337">
        <v>763.71</v>
      </c>
      <c r="Q337">
        <v>7721.91</v>
      </c>
      <c r="R337">
        <v>4412.5200000000004</v>
      </c>
      <c r="S337">
        <v>3309.39</v>
      </c>
    </row>
    <row r="338" spans="1:19" x14ac:dyDescent="0.35">
      <c r="A338">
        <v>100336</v>
      </c>
      <c r="B338">
        <v>1557</v>
      </c>
      <c r="C338" t="s">
        <v>33</v>
      </c>
      <c r="D338" t="s">
        <v>20</v>
      </c>
      <c r="E338" t="s">
        <v>24</v>
      </c>
      <c r="F338" t="s">
        <v>42</v>
      </c>
      <c r="G338" s="1">
        <v>45051</v>
      </c>
      <c r="H338" s="1">
        <v>45055</v>
      </c>
      <c r="I338" s="1">
        <v>45060</v>
      </c>
      <c r="J338">
        <v>9</v>
      </c>
      <c r="K338">
        <v>4</v>
      </c>
      <c r="L338">
        <v>8</v>
      </c>
      <c r="M338">
        <v>146.66999999999999</v>
      </c>
      <c r="N338">
        <v>1173.3599999999999</v>
      </c>
      <c r="O338">
        <v>0.04</v>
      </c>
      <c r="P338">
        <v>46.93</v>
      </c>
      <c r="Q338">
        <v>1126.43</v>
      </c>
      <c r="R338">
        <v>774.42</v>
      </c>
      <c r="S338">
        <v>352.01</v>
      </c>
    </row>
    <row r="339" spans="1:19" x14ac:dyDescent="0.35">
      <c r="A339">
        <v>100337</v>
      </c>
      <c r="B339">
        <v>2882</v>
      </c>
      <c r="C339" t="s">
        <v>19</v>
      </c>
      <c r="D339" t="s">
        <v>31</v>
      </c>
      <c r="E339" t="s">
        <v>24</v>
      </c>
      <c r="F339" t="s">
        <v>32</v>
      </c>
      <c r="G339" s="1">
        <v>45023</v>
      </c>
      <c r="H339" s="1">
        <v>45026</v>
      </c>
      <c r="I339" s="1">
        <v>45050</v>
      </c>
      <c r="J339">
        <v>27</v>
      </c>
      <c r="K339">
        <v>3</v>
      </c>
      <c r="L339">
        <v>13</v>
      </c>
      <c r="M339">
        <v>269.35000000000002</v>
      </c>
      <c r="N339">
        <v>3501.55</v>
      </c>
      <c r="O339">
        <v>0.06</v>
      </c>
      <c r="P339">
        <v>210.09</v>
      </c>
      <c r="Q339">
        <v>3291.46</v>
      </c>
      <c r="R339">
        <v>2416.0700000000002</v>
      </c>
      <c r="S339">
        <v>875.39</v>
      </c>
    </row>
    <row r="340" spans="1:19" x14ac:dyDescent="0.35">
      <c r="A340">
        <v>100338</v>
      </c>
      <c r="B340">
        <v>3514</v>
      </c>
      <c r="C340" t="s">
        <v>28</v>
      </c>
      <c r="D340" t="s">
        <v>31</v>
      </c>
      <c r="E340" t="s">
        <v>34</v>
      </c>
      <c r="F340" t="s">
        <v>40</v>
      </c>
      <c r="G340" s="1">
        <v>45145</v>
      </c>
      <c r="H340" s="1">
        <v>45147</v>
      </c>
      <c r="I340" s="1">
        <v>45169</v>
      </c>
      <c r="J340">
        <v>24</v>
      </c>
      <c r="K340">
        <v>2</v>
      </c>
      <c r="L340">
        <v>3</v>
      </c>
      <c r="M340">
        <v>526.61</v>
      </c>
      <c r="N340">
        <v>1579.83</v>
      </c>
      <c r="O340">
        <v>0.17</v>
      </c>
      <c r="P340">
        <v>268.57</v>
      </c>
      <c r="Q340">
        <v>1311.26</v>
      </c>
      <c r="R340">
        <v>932.1</v>
      </c>
      <c r="S340">
        <v>379.16</v>
      </c>
    </row>
    <row r="341" spans="1:19" x14ac:dyDescent="0.35">
      <c r="A341">
        <v>100339</v>
      </c>
      <c r="B341">
        <v>3673</v>
      </c>
      <c r="C341" t="s">
        <v>33</v>
      </c>
      <c r="D341" t="s">
        <v>20</v>
      </c>
      <c r="E341" t="s">
        <v>21</v>
      </c>
      <c r="F341" t="s">
        <v>41</v>
      </c>
      <c r="G341" s="1">
        <v>45264</v>
      </c>
      <c r="H341" s="1">
        <v>45268</v>
      </c>
      <c r="I341" s="1">
        <v>45270</v>
      </c>
      <c r="J341">
        <v>6</v>
      </c>
      <c r="K341">
        <v>4</v>
      </c>
      <c r="L341">
        <v>4</v>
      </c>
      <c r="M341">
        <v>696.42</v>
      </c>
      <c r="N341">
        <v>2785.68</v>
      </c>
      <c r="O341">
        <v>0.1</v>
      </c>
      <c r="P341">
        <v>278.57</v>
      </c>
      <c r="Q341">
        <v>2507.11</v>
      </c>
      <c r="R341">
        <v>1838.55</v>
      </c>
      <c r="S341">
        <v>668.56</v>
      </c>
    </row>
    <row r="342" spans="1:19" x14ac:dyDescent="0.35">
      <c r="A342">
        <v>100340</v>
      </c>
      <c r="B342">
        <v>4094</v>
      </c>
      <c r="C342" t="s">
        <v>33</v>
      </c>
      <c r="D342" t="s">
        <v>31</v>
      </c>
      <c r="E342" t="s">
        <v>21</v>
      </c>
      <c r="F342" t="s">
        <v>22</v>
      </c>
      <c r="G342" s="1">
        <v>45130</v>
      </c>
      <c r="H342" s="1">
        <v>45135</v>
      </c>
      <c r="I342" s="1">
        <v>45136</v>
      </c>
      <c r="J342">
        <v>6</v>
      </c>
      <c r="K342">
        <v>5</v>
      </c>
      <c r="L342">
        <v>10</v>
      </c>
      <c r="M342">
        <v>326.73</v>
      </c>
      <c r="N342">
        <v>3267.3</v>
      </c>
      <c r="O342">
        <v>0.02</v>
      </c>
      <c r="P342">
        <v>65.349999999999994</v>
      </c>
      <c r="Q342">
        <v>3201.95</v>
      </c>
      <c r="R342">
        <v>2221.7600000000002</v>
      </c>
      <c r="S342">
        <v>980.19</v>
      </c>
    </row>
    <row r="343" spans="1:19" x14ac:dyDescent="0.35">
      <c r="A343">
        <v>100341</v>
      </c>
      <c r="B343">
        <v>2587</v>
      </c>
      <c r="C343" t="s">
        <v>23</v>
      </c>
      <c r="D343" t="s">
        <v>20</v>
      </c>
      <c r="E343" t="s">
        <v>21</v>
      </c>
      <c r="F343" t="s">
        <v>22</v>
      </c>
      <c r="G343" s="1">
        <v>45056</v>
      </c>
      <c r="H343" s="1">
        <v>45057</v>
      </c>
      <c r="I343" s="1">
        <v>45078</v>
      </c>
      <c r="J343">
        <v>22</v>
      </c>
      <c r="K343">
        <v>1</v>
      </c>
      <c r="L343">
        <v>14</v>
      </c>
      <c r="M343">
        <v>383.42</v>
      </c>
      <c r="N343">
        <v>5367.88</v>
      </c>
      <c r="O343">
        <v>0.1</v>
      </c>
      <c r="P343">
        <v>536.79</v>
      </c>
      <c r="Q343">
        <v>4831.09</v>
      </c>
      <c r="R343">
        <v>3274.41</v>
      </c>
      <c r="S343">
        <v>1556.68</v>
      </c>
    </row>
    <row r="344" spans="1:19" x14ac:dyDescent="0.35">
      <c r="A344">
        <v>100342</v>
      </c>
      <c r="B344">
        <v>1700</v>
      </c>
      <c r="C344" t="s">
        <v>19</v>
      </c>
      <c r="D344" t="s">
        <v>20</v>
      </c>
      <c r="E344" t="s">
        <v>34</v>
      </c>
      <c r="F344" t="s">
        <v>45</v>
      </c>
      <c r="G344" s="1">
        <v>45220</v>
      </c>
      <c r="H344" s="1">
        <v>45224</v>
      </c>
      <c r="I344" s="1">
        <v>45239</v>
      </c>
      <c r="J344">
        <v>19</v>
      </c>
      <c r="K344">
        <v>4</v>
      </c>
      <c r="L344">
        <v>11</v>
      </c>
      <c r="M344">
        <v>616.46</v>
      </c>
      <c r="N344">
        <v>6781.06</v>
      </c>
      <c r="O344">
        <v>0.12</v>
      </c>
      <c r="P344">
        <v>813.73</v>
      </c>
      <c r="Q344">
        <v>5967.33</v>
      </c>
      <c r="R344">
        <v>4068.64</v>
      </c>
      <c r="S344">
        <v>1898.69</v>
      </c>
    </row>
    <row r="345" spans="1:19" x14ac:dyDescent="0.35">
      <c r="A345">
        <v>100343</v>
      </c>
      <c r="B345">
        <v>3764</v>
      </c>
      <c r="C345" t="s">
        <v>28</v>
      </c>
      <c r="D345" t="s">
        <v>29</v>
      </c>
      <c r="E345" t="s">
        <v>26</v>
      </c>
      <c r="F345" t="s">
        <v>27</v>
      </c>
      <c r="G345" s="1">
        <v>45220</v>
      </c>
      <c r="H345" s="1">
        <v>45224</v>
      </c>
      <c r="I345" s="1">
        <v>45223</v>
      </c>
      <c r="J345">
        <v>3</v>
      </c>
      <c r="K345">
        <v>4</v>
      </c>
      <c r="L345">
        <v>7</v>
      </c>
      <c r="M345">
        <v>128.31</v>
      </c>
      <c r="N345">
        <v>898.17</v>
      </c>
      <c r="O345">
        <v>0.08</v>
      </c>
      <c r="P345">
        <v>71.849999999999994</v>
      </c>
      <c r="Q345">
        <v>826.32</v>
      </c>
      <c r="R345">
        <v>601.77</v>
      </c>
      <c r="S345">
        <v>224.55</v>
      </c>
    </row>
    <row r="346" spans="1:19" x14ac:dyDescent="0.35">
      <c r="A346">
        <v>100344</v>
      </c>
      <c r="B346">
        <v>4270</v>
      </c>
      <c r="C346" t="s">
        <v>33</v>
      </c>
      <c r="D346" t="s">
        <v>29</v>
      </c>
      <c r="E346" t="s">
        <v>26</v>
      </c>
      <c r="F346" t="s">
        <v>37</v>
      </c>
      <c r="G346" s="1">
        <v>45274</v>
      </c>
      <c r="H346" s="1">
        <v>45278</v>
      </c>
      <c r="I346" s="1">
        <v>45282</v>
      </c>
      <c r="J346">
        <v>8</v>
      </c>
      <c r="K346">
        <v>4</v>
      </c>
      <c r="L346">
        <v>1</v>
      </c>
      <c r="M346">
        <v>692.02</v>
      </c>
      <c r="N346">
        <v>692.02</v>
      </c>
      <c r="O346">
        <v>0</v>
      </c>
      <c r="P346">
        <v>0</v>
      </c>
      <c r="Q346">
        <v>692.02</v>
      </c>
      <c r="R346">
        <v>380.61</v>
      </c>
      <c r="S346">
        <v>311.41000000000003</v>
      </c>
    </row>
    <row r="347" spans="1:19" x14ac:dyDescent="0.35">
      <c r="A347">
        <v>100345</v>
      </c>
      <c r="B347">
        <v>4227</v>
      </c>
      <c r="C347" t="s">
        <v>28</v>
      </c>
      <c r="D347" t="s">
        <v>31</v>
      </c>
      <c r="E347" t="s">
        <v>24</v>
      </c>
      <c r="F347" t="s">
        <v>25</v>
      </c>
      <c r="G347" s="1">
        <v>45138</v>
      </c>
      <c r="H347" s="1">
        <v>45142</v>
      </c>
      <c r="I347" s="1">
        <v>45158</v>
      </c>
      <c r="J347">
        <v>20</v>
      </c>
      <c r="K347">
        <v>4</v>
      </c>
      <c r="L347">
        <v>7</v>
      </c>
      <c r="M347">
        <v>568.39</v>
      </c>
      <c r="N347">
        <v>3978.73</v>
      </c>
      <c r="O347">
        <v>7.0000000000000007E-2</v>
      </c>
      <c r="P347">
        <v>278.51</v>
      </c>
      <c r="Q347">
        <v>3700.22</v>
      </c>
      <c r="R347">
        <v>2347.4499999999998</v>
      </c>
      <c r="S347">
        <v>1352.77</v>
      </c>
    </row>
    <row r="348" spans="1:19" x14ac:dyDescent="0.35">
      <c r="A348">
        <v>100346</v>
      </c>
      <c r="B348">
        <v>3240</v>
      </c>
      <c r="C348" t="s">
        <v>19</v>
      </c>
      <c r="D348" t="s">
        <v>29</v>
      </c>
      <c r="E348" t="s">
        <v>24</v>
      </c>
      <c r="F348" t="s">
        <v>42</v>
      </c>
      <c r="G348" s="1">
        <v>44970</v>
      </c>
      <c r="H348" s="1">
        <v>44974</v>
      </c>
      <c r="I348" s="1">
        <v>44999</v>
      </c>
      <c r="J348">
        <v>29</v>
      </c>
      <c r="K348">
        <v>4</v>
      </c>
      <c r="L348">
        <v>14</v>
      </c>
      <c r="M348">
        <v>382.74</v>
      </c>
      <c r="N348">
        <v>5358.36</v>
      </c>
      <c r="O348">
        <v>0.03</v>
      </c>
      <c r="P348">
        <v>160.75</v>
      </c>
      <c r="Q348">
        <v>5197.6099999999997</v>
      </c>
      <c r="R348">
        <v>3322.18</v>
      </c>
      <c r="S348">
        <v>1875.43</v>
      </c>
    </row>
    <row r="349" spans="1:19" x14ac:dyDescent="0.35">
      <c r="A349">
        <v>100347</v>
      </c>
      <c r="B349">
        <v>2622</v>
      </c>
      <c r="C349" t="s">
        <v>23</v>
      </c>
      <c r="D349" t="s">
        <v>31</v>
      </c>
      <c r="E349" t="s">
        <v>21</v>
      </c>
      <c r="F349" t="s">
        <v>39</v>
      </c>
      <c r="G349" s="1">
        <v>45105</v>
      </c>
      <c r="H349" s="1">
        <v>45110</v>
      </c>
      <c r="I349" s="1">
        <v>45107</v>
      </c>
      <c r="J349">
        <v>2</v>
      </c>
      <c r="K349">
        <v>5</v>
      </c>
      <c r="L349">
        <v>13</v>
      </c>
      <c r="M349">
        <v>558.45000000000005</v>
      </c>
      <c r="N349">
        <v>7259.85</v>
      </c>
      <c r="O349">
        <v>0.06</v>
      </c>
      <c r="P349">
        <v>435.59</v>
      </c>
      <c r="Q349">
        <v>6824.26</v>
      </c>
      <c r="R349">
        <v>4355.91</v>
      </c>
      <c r="S349">
        <v>2468.35</v>
      </c>
    </row>
    <row r="350" spans="1:19" x14ac:dyDescent="0.35">
      <c r="A350">
        <v>100348</v>
      </c>
      <c r="B350">
        <v>2186</v>
      </c>
      <c r="C350" t="s">
        <v>28</v>
      </c>
      <c r="D350" t="s">
        <v>20</v>
      </c>
      <c r="E350" t="s">
        <v>34</v>
      </c>
      <c r="F350" t="s">
        <v>35</v>
      </c>
      <c r="G350" s="1">
        <v>45267</v>
      </c>
      <c r="H350" s="1">
        <v>45269</v>
      </c>
      <c r="I350" s="1">
        <v>45284</v>
      </c>
      <c r="J350">
        <v>17</v>
      </c>
      <c r="K350">
        <v>2</v>
      </c>
      <c r="L350">
        <v>13</v>
      </c>
      <c r="M350">
        <v>613.73</v>
      </c>
      <c r="N350">
        <v>7978.49</v>
      </c>
      <c r="O350">
        <v>0.13</v>
      </c>
      <c r="P350">
        <v>1037.2</v>
      </c>
      <c r="Q350">
        <v>6941.29</v>
      </c>
      <c r="R350">
        <v>4069.03</v>
      </c>
      <c r="S350">
        <v>2872.26</v>
      </c>
    </row>
    <row r="351" spans="1:19" x14ac:dyDescent="0.35">
      <c r="A351">
        <v>100349</v>
      </c>
      <c r="B351">
        <v>4328</v>
      </c>
      <c r="C351" t="s">
        <v>33</v>
      </c>
      <c r="D351" t="s">
        <v>31</v>
      </c>
      <c r="E351" t="s">
        <v>34</v>
      </c>
      <c r="F351" t="s">
        <v>43</v>
      </c>
      <c r="G351" s="1">
        <v>45121</v>
      </c>
      <c r="H351" s="1">
        <v>45124</v>
      </c>
      <c r="I351" s="1">
        <v>45144</v>
      </c>
      <c r="J351">
        <v>23</v>
      </c>
      <c r="K351">
        <v>3</v>
      </c>
      <c r="L351">
        <v>3</v>
      </c>
      <c r="M351">
        <v>473.63</v>
      </c>
      <c r="N351">
        <v>1420.89</v>
      </c>
      <c r="O351">
        <v>0.04</v>
      </c>
      <c r="P351">
        <v>56.84</v>
      </c>
      <c r="Q351">
        <v>1364.05</v>
      </c>
      <c r="R351">
        <v>966.21</v>
      </c>
      <c r="S351">
        <v>397.84</v>
      </c>
    </row>
    <row r="352" spans="1:19" x14ac:dyDescent="0.35">
      <c r="A352">
        <v>100350</v>
      </c>
      <c r="B352">
        <v>4951</v>
      </c>
      <c r="C352" t="s">
        <v>33</v>
      </c>
      <c r="D352" t="s">
        <v>31</v>
      </c>
      <c r="E352" t="s">
        <v>24</v>
      </c>
      <c r="F352" t="s">
        <v>32</v>
      </c>
      <c r="G352" s="1">
        <v>45038</v>
      </c>
      <c r="H352" s="1">
        <v>45042</v>
      </c>
      <c r="I352" s="1">
        <v>45064</v>
      </c>
      <c r="J352">
        <v>26</v>
      </c>
      <c r="K352">
        <v>4</v>
      </c>
      <c r="L352">
        <v>11</v>
      </c>
      <c r="M352">
        <v>665.41</v>
      </c>
      <c r="N352">
        <v>7319.51</v>
      </c>
      <c r="O352">
        <v>0.02</v>
      </c>
      <c r="P352">
        <v>146.38999999999999</v>
      </c>
      <c r="Q352">
        <v>7173.12</v>
      </c>
      <c r="R352">
        <v>4098.93</v>
      </c>
      <c r="S352">
        <v>3074.19</v>
      </c>
    </row>
    <row r="353" spans="1:19" x14ac:dyDescent="0.35">
      <c r="A353">
        <v>100351</v>
      </c>
      <c r="B353">
        <v>2408</v>
      </c>
      <c r="C353" t="s">
        <v>19</v>
      </c>
      <c r="D353" t="s">
        <v>20</v>
      </c>
      <c r="E353" t="s">
        <v>26</v>
      </c>
      <c r="F353" t="s">
        <v>37</v>
      </c>
      <c r="G353" s="1">
        <v>45063</v>
      </c>
      <c r="H353" s="1">
        <v>45065</v>
      </c>
      <c r="I353" s="1">
        <v>45066</v>
      </c>
      <c r="J353">
        <v>3</v>
      </c>
      <c r="K353">
        <v>2</v>
      </c>
      <c r="L353">
        <v>5</v>
      </c>
      <c r="M353">
        <v>127.43</v>
      </c>
      <c r="N353">
        <v>637.15</v>
      </c>
      <c r="O353">
        <v>0.08</v>
      </c>
      <c r="P353">
        <v>50.97</v>
      </c>
      <c r="Q353">
        <v>586.17999999999995</v>
      </c>
      <c r="R353">
        <v>414.15</v>
      </c>
      <c r="S353">
        <v>172.03</v>
      </c>
    </row>
    <row r="354" spans="1:19" x14ac:dyDescent="0.35">
      <c r="A354">
        <v>100352</v>
      </c>
      <c r="B354">
        <v>4203</v>
      </c>
      <c r="C354" t="s">
        <v>33</v>
      </c>
      <c r="D354" t="s">
        <v>31</v>
      </c>
      <c r="E354" t="s">
        <v>21</v>
      </c>
      <c r="F354" t="s">
        <v>39</v>
      </c>
      <c r="G354" s="1">
        <v>45177</v>
      </c>
      <c r="H354" s="1">
        <v>45182</v>
      </c>
      <c r="I354" s="1">
        <v>45181</v>
      </c>
      <c r="J354">
        <v>4</v>
      </c>
      <c r="K354">
        <v>5</v>
      </c>
      <c r="L354">
        <v>14</v>
      </c>
      <c r="M354">
        <v>364.3</v>
      </c>
      <c r="N354">
        <v>5100.2</v>
      </c>
      <c r="O354">
        <v>0.11</v>
      </c>
      <c r="P354">
        <v>561.02</v>
      </c>
      <c r="Q354">
        <v>4539.18</v>
      </c>
      <c r="R354">
        <v>3009.12</v>
      </c>
      <c r="S354">
        <v>1530.06</v>
      </c>
    </row>
    <row r="355" spans="1:19" x14ac:dyDescent="0.35">
      <c r="A355">
        <v>100353</v>
      </c>
      <c r="B355">
        <v>4616</v>
      </c>
      <c r="C355" t="s">
        <v>33</v>
      </c>
      <c r="D355" t="s">
        <v>31</v>
      </c>
      <c r="E355" t="s">
        <v>26</v>
      </c>
      <c r="F355" t="s">
        <v>44</v>
      </c>
      <c r="G355" s="1">
        <v>44989</v>
      </c>
      <c r="H355" s="1">
        <v>44994</v>
      </c>
      <c r="I355" s="1">
        <v>45017</v>
      </c>
      <c r="J355">
        <v>28</v>
      </c>
      <c r="K355">
        <v>5</v>
      </c>
      <c r="L355">
        <v>13</v>
      </c>
      <c r="M355">
        <v>391.65</v>
      </c>
      <c r="N355">
        <v>5091.45</v>
      </c>
      <c r="O355">
        <v>0.12</v>
      </c>
      <c r="P355">
        <v>610.97</v>
      </c>
      <c r="Q355">
        <v>4480.4799999999996</v>
      </c>
      <c r="R355">
        <v>3411.27</v>
      </c>
      <c r="S355">
        <v>1069.21</v>
      </c>
    </row>
    <row r="356" spans="1:19" x14ac:dyDescent="0.35">
      <c r="A356">
        <v>100354</v>
      </c>
      <c r="B356">
        <v>2577</v>
      </c>
      <c r="C356" t="s">
        <v>33</v>
      </c>
      <c r="D356" t="s">
        <v>29</v>
      </c>
      <c r="E356" t="s">
        <v>26</v>
      </c>
      <c r="F356" t="s">
        <v>37</v>
      </c>
      <c r="G356" s="1">
        <v>45011</v>
      </c>
      <c r="H356" s="1">
        <v>45016</v>
      </c>
      <c r="I356" s="1">
        <v>45028</v>
      </c>
      <c r="J356">
        <v>17</v>
      </c>
      <c r="K356">
        <v>5</v>
      </c>
      <c r="L356">
        <v>6</v>
      </c>
      <c r="M356">
        <v>426.59</v>
      </c>
      <c r="N356">
        <v>2559.54</v>
      </c>
      <c r="O356">
        <v>0.05</v>
      </c>
      <c r="P356">
        <v>127.98</v>
      </c>
      <c r="Q356">
        <v>2431.56</v>
      </c>
      <c r="R356">
        <v>1740.49</v>
      </c>
      <c r="S356">
        <v>691.07</v>
      </c>
    </row>
    <row r="357" spans="1:19" x14ac:dyDescent="0.35">
      <c r="A357">
        <v>100355</v>
      </c>
      <c r="B357">
        <v>1906</v>
      </c>
      <c r="C357" t="s">
        <v>33</v>
      </c>
      <c r="D357" t="s">
        <v>31</v>
      </c>
      <c r="E357" t="s">
        <v>24</v>
      </c>
      <c r="F357" t="s">
        <v>32</v>
      </c>
      <c r="G357" s="1">
        <v>45240</v>
      </c>
      <c r="H357" s="1">
        <v>45243</v>
      </c>
      <c r="I357" s="1">
        <v>45247</v>
      </c>
      <c r="J357">
        <v>7</v>
      </c>
      <c r="K357">
        <v>3</v>
      </c>
      <c r="L357">
        <v>8</v>
      </c>
      <c r="M357">
        <v>509.59</v>
      </c>
      <c r="N357">
        <v>4076.72</v>
      </c>
      <c r="O357">
        <v>0.06</v>
      </c>
      <c r="P357">
        <v>244.6</v>
      </c>
      <c r="Q357">
        <v>3832.12</v>
      </c>
      <c r="R357">
        <v>2201.4299999999998</v>
      </c>
      <c r="S357">
        <v>1630.69</v>
      </c>
    </row>
    <row r="358" spans="1:19" x14ac:dyDescent="0.35">
      <c r="A358">
        <v>100356</v>
      </c>
      <c r="B358">
        <v>3957</v>
      </c>
      <c r="C358" t="s">
        <v>28</v>
      </c>
      <c r="D358" t="s">
        <v>31</v>
      </c>
      <c r="E358" t="s">
        <v>24</v>
      </c>
      <c r="F358" t="s">
        <v>30</v>
      </c>
      <c r="G358" s="1">
        <v>45087</v>
      </c>
      <c r="H358" s="1">
        <v>45092</v>
      </c>
      <c r="I358" s="1">
        <v>45096</v>
      </c>
      <c r="J358">
        <v>9</v>
      </c>
      <c r="K358">
        <v>5</v>
      </c>
      <c r="L358">
        <v>4</v>
      </c>
      <c r="M358">
        <v>252.26</v>
      </c>
      <c r="N358">
        <v>1009.04</v>
      </c>
      <c r="O358">
        <v>0.08</v>
      </c>
      <c r="P358">
        <v>80.72</v>
      </c>
      <c r="Q358">
        <v>928.32</v>
      </c>
      <c r="R358">
        <v>605.41999999999996</v>
      </c>
      <c r="S358">
        <v>322.89999999999998</v>
      </c>
    </row>
    <row r="359" spans="1:19" x14ac:dyDescent="0.35">
      <c r="A359">
        <v>100357</v>
      </c>
      <c r="B359">
        <v>3855</v>
      </c>
      <c r="C359" t="s">
        <v>33</v>
      </c>
      <c r="D359" t="s">
        <v>31</v>
      </c>
      <c r="E359" t="s">
        <v>26</v>
      </c>
      <c r="F359" t="s">
        <v>27</v>
      </c>
      <c r="G359" s="1">
        <v>45181</v>
      </c>
      <c r="H359" s="1">
        <v>45182</v>
      </c>
      <c r="I359" s="1">
        <v>45209</v>
      </c>
      <c r="J359">
        <v>28</v>
      </c>
      <c r="K359">
        <v>1</v>
      </c>
      <c r="L359">
        <v>14</v>
      </c>
      <c r="M359">
        <v>694.82</v>
      </c>
      <c r="N359">
        <v>9727.48</v>
      </c>
      <c r="O359">
        <v>0.01</v>
      </c>
      <c r="P359">
        <v>97.27</v>
      </c>
      <c r="Q359">
        <v>9630.2099999999991</v>
      </c>
      <c r="R359">
        <v>5933.76</v>
      </c>
      <c r="S359">
        <v>3696.45</v>
      </c>
    </row>
    <row r="360" spans="1:19" x14ac:dyDescent="0.35">
      <c r="A360">
        <v>100358</v>
      </c>
      <c r="B360">
        <v>2926</v>
      </c>
      <c r="C360" t="s">
        <v>19</v>
      </c>
      <c r="D360" t="s">
        <v>29</v>
      </c>
      <c r="E360" t="s">
        <v>21</v>
      </c>
      <c r="F360" t="s">
        <v>22</v>
      </c>
      <c r="G360" s="1">
        <v>45164</v>
      </c>
      <c r="H360" s="1">
        <v>45168</v>
      </c>
      <c r="I360" s="1">
        <v>45183</v>
      </c>
      <c r="J360">
        <v>19</v>
      </c>
      <c r="K360">
        <v>4</v>
      </c>
      <c r="L360">
        <v>12</v>
      </c>
      <c r="M360">
        <v>228.95</v>
      </c>
      <c r="N360">
        <v>2747.4</v>
      </c>
      <c r="O360">
        <v>0.04</v>
      </c>
      <c r="P360">
        <v>109.9</v>
      </c>
      <c r="Q360">
        <v>2637.5</v>
      </c>
      <c r="R360">
        <v>1538.54</v>
      </c>
      <c r="S360">
        <v>1098.96</v>
      </c>
    </row>
    <row r="361" spans="1:19" x14ac:dyDescent="0.35">
      <c r="A361">
        <v>100359</v>
      </c>
      <c r="B361">
        <v>1914</v>
      </c>
      <c r="C361" t="s">
        <v>33</v>
      </c>
      <c r="D361" t="s">
        <v>31</v>
      </c>
      <c r="E361" t="s">
        <v>34</v>
      </c>
      <c r="F361" t="s">
        <v>43</v>
      </c>
      <c r="G361" s="1">
        <v>45249</v>
      </c>
      <c r="H361" s="1">
        <v>45254</v>
      </c>
      <c r="I361" s="1">
        <v>45251</v>
      </c>
      <c r="J361">
        <v>2</v>
      </c>
      <c r="K361">
        <v>5</v>
      </c>
      <c r="L361">
        <v>4</v>
      </c>
      <c r="M361">
        <v>365.84</v>
      </c>
      <c r="N361">
        <v>1463.36</v>
      </c>
      <c r="O361">
        <v>0.08</v>
      </c>
      <c r="P361">
        <v>117.07</v>
      </c>
      <c r="Q361">
        <v>1346.29</v>
      </c>
      <c r="R361">
        <v>834.12</v>
      </c>
      <c r="S361">
        <v>512.16999999999996</v>
      </c>
    </row>
    <row r="362" spans="1:19" x14ac:dyDescent="0.35">
      <c r="A362">
        <v>100360</v>
      </c>
      <c r="B362">
        <v>4378</v>
      </c>
      <c r="C362" t="s">
        <v>28</v>
      </c>
      <c r="D362" t="s">
        <v>31</v>
      </c>
      <c r="E362" t="s">
        <v>34</v>
      </c>
      <c r="F362" t="s">
        <v>43</v>
      </c>
      <c r="G362" s="1">
        <v>45122</v>
      </c>
      <c r="H362" s="1">
        <v>45123</v>
      </c>
      <c r="I362" s="1">
        <v>45150</v>
      </c>
      <c r="J362">
        <v>28</v>
      </c>
      <c r="K362">
        <v>1</v>
      </c>
      <c r="L362">
        <v>14</v>
      </c>
      <c r="M362">
        <v>215.46</v>
      </c>
      <c r="N362">
        <v>3016.44</v>
      </c>
      <c r="O362">
        <v>0.09</v>
      </c>
      <c r="P362">
        <v>271.48</v>
      </c>
      <c r="Q362">
        <v>2744.96</v>
      </c>
      <c r="R362">
        <v>1930.52</v>
      </c>
      <c r="S362">
        <v>814.44</v>
      </c>
    </row>
    <row r="363" spans="1:19" x14ac:dyDescent="0.35">
      <c r="A363">
        <v>100361</v>
      </c>
      <c r="B363">
        <v>4184</v>
      </c>
      <c r="C363" t="s">
        <v>28</v>
      </c>
      <c r="D363" t="s">
        <v>29</v>
      </c>
      <c r="E363" t="s">
        <v>21</v>
      </c>
      <c r="F363" t="s">
        <v>22</v>
      </c>
      <c r="G363" s="1">
        <v>44955</v>
      </c>
      <c r="H363" s="1">
        <v>44958</v>
      </c>
      <c r="I363" s="1">
        <v>44962</v>
      </c>
      <c r="J363">
        <v>7</v>
      </c>
      <c r="K363">
        <v>3</v>
      </c>
      <c r="L363">
        <v>2</v>
      </c>
      <c r="M363">
        <v>678.92</v>
      </c>
      <c r="N363">
        <v>1357.84</v>
      </c>
      <c r="O363">
        <v>0.08</v>
      </c>
      <c r="P363">
        <v>108.63</v>
      </c>
      <c r="Q363">
        <v>1249.21</v>
      </c>
      <c r="R363">
        <v>801.13</v>
      </c>
      <c r="S363">
        <v>448.08</v>
      </c>
    </row>
    <row r="364" spans="1:19" x14ac:dyDescent="0.35">
      <c r="A364">
        <v>100362</v>
      </c>
      <c r="B364">
        <v>4599</v>
      </c>
      <c r="C364" t="s">
        <v>19</v>
      </c>
      <c r="D364" t="s">
        <v>29</v>
      </c>
      <c r="E364" t="s">
        <v>34</v>
      </c>
      <c r="F364" t="s">
        <v>45</v>
      </c>
      <c r="G364" s="1">
        <v>45108</v>
      </c>
      <c r="H364" s="1">
        <v>45111</v>
      </c>
      <c r="I364" s="1">
        <v>45133</v>
      </c>
      <c r="J364">
        <v>25</v>
      </c>
      <c r="K364">
        <v>3</v>
      </c>
      <c r="L364">
        <v>9</v>
      </c>
      <c r="M364">
        <v>263.86</v>
      </c>
      <c r="N364">
        <v>2374.7399999999998</v>
      </c>
      <c r="O364">
        <v>0.06</v>
      </c>
      <c r="P364">
        <v>142.47999999999999</v>
      </c>
      <c r="Q364">
        <v>2232.2600000000002</v>
      </c>
      <c r="R364">
        <v>1519.83</v>
      </c>
      <c r="S364">
        <v>712.43</v>
      </c>
    </row>
    <row r="365" spans="1:19" x14ac:dyDescent="0.35">
      <c r="A365">
        <v>100363</v>
      </c>
      <c r="B365">
        <v>1704</v>
      </c>
      <c r="C365" t="s">
        <v>33</v>
      </c>
      <c r="D365" t="s">
        <v>20</v>
      </c>
      <c r="E365" t="s">
        <v>26</v>
      </c>
      <c r="F365" t="s">
        <v>44</v>
      </c>
      <c r="G365" s="1">
        <v>45006</v>
      </c>
      <c r="H365" s="1">
        <v>45007</v>
      </c>
      <c r="I365" s="1">
        <v>45018</v>
      </c>
      <c r="J365">
        <v>12</v>
      </c>
      <c r="K365">
        <v>1</v>
      </c>
      <c r="L365">
        <v>3</v>
      </c>
      <c r="M365">
        <v>601.71</v>
      </c>
      <c r="N365">
        <v>1805.13</v>
      </c>
      <c r="O365">
        <v>0</v>
      </c>
      <c r="P365">
        <v>0</v>
      </c>
      <c r="Q365">
        <v>1805.13</v>
      </c>
      <c r="R365">
        <v>1101.1300000000001</v>
      </c>
      <c r="S365">
        <v>704</v>
      </c>
    </row>
    <row r="366" spans="1:19" x14ac:dyDescent="0.35">
      <c r="A366">
        <v>100364</v>
      </c>
      <c r="B366">
        <v>3835</v>
      </c>
      <c r="C366" t="s">
        <v>23</v>
      </c>
      <c r="D366" t="s">
        <v>20</v>
      </c>
      <c r="E366" t="s">
        <v>34</v>
      </c>
      <c r="F366" t="s">
        <v>43</v>
      </c>
      <c r="G366" s="1">
        <v>45029</v>
      </c>
      <c r="H366" s="1">
        <v>45032</v>
      </c>
      <c r="I366" s="1">
        <v>45056</v>
      </c>
      <c r="J366">
        <v>27</v>
      </c>
      <c r="K366">
        <v>3</v>
      </c>
      <c r="L366">
        <v>7</v>
      </c>
      <c r="M366">
        <v>595.39</v>
      </c>
      <c r="N366">
        <v>4167.7299999999996</v>
      </c>
      <c r="O366">
        <v>0.02</v>
      </c>
      <c r="P366">
        <v>83.35</v>
      </c>
      <c r="Q366">
        <v>4084.38</v>
      </c>
      <c r="R366">
        <v>2292.25</v>
      </c>
      <c r="S366">
        <v>1792.13</v>
      </c>
    </row>
    <row r="367" spans="1:19" x14ac:dyDescent="0.35">
      <c r="A367">
        <v>100365</v>
      </c>
      <c r="B367">
        <v>2270</v>
      </c>
      <c r="C367" t="s">
        <v>28</v>
      </c>
      <c r="D367" t="s">
        <v>29</v>
      </c>
      <c r="E367" t="s">
        <v>21</v>
      </c>
      <c r="F367" t="s">
        <v>38</v>
      </c>
      <c r="G367" s="1">
        <v>45256</v>
      </c>
      <c r="H367" s="1">
        <v>45259</v>
      </c>
      <c r="I367" s="1">
        <v>45274</v>
      </c>
      <c r="J367">
        <v>18</v>
      </c>
      <c r="K367">
        <v>3</v>
      </c>
      <c r="L367">
        <v>11</v>
      </c>
      <c r="M367">
        <v>313.61</v>
      </c>
      <c r="N367">
        <v>3449.71</v>
      </c>
      <c r="O367">
        <v>0.1</v>
      </c>
      <c r="P367">
        <v>344.97</v>
      </c>
      <c r="Q367">
        <v>3104.74</v>
      </c>
      <c r="R367">
        <v>2242.31</v>
      </c>
      <c r="S367">
        <v>862.43</v>
      </c>
    </row>
    <row r="368" spans="1:19" x14ac:dyDescent="0.35">
      <c r="A368">
        <v>100366</v>
      </c>
      <c r="B368">
        <v>4455</v>
      </c>
      <c r="C368" t="s">
        <v>19</v>
      </c>
      <c r="D368" t="s">
        <v>31</v>
      </c>
      <c r="E368" t="s">
        <v>24</v>
      </c>
      <c r="F368" t="s">
        <v>42</v>
      </c>
      <c r="G368" s="1">
        <v>45288</v>
      </c>
      <c r="H368" s="1">
        <v>45289</v>
      </c>
      <c r="I368" s="1">
        <v>45293</v>
      </c>
      <c r="J368">
        <v>5</v>
      </c>
      <c r="K368">
        <v>1</v>
      </c>
      <c r="L368">
        <v>5</v>
      </c>
      <c r="M368">
        <v>658.51</v>
      </c>
      <c r="N368">
        <v>3292.55</v>
      </c>
      <c r="O368">
        <v>0.15</v>
      </c>
      <c r="P368">
        <v>493.88</v>
      </c>
      <c r="Q368">
        <v>2798.67</v>
      </c>
      <c r="R368">
        <v>1909.68</v>
      </c>
      <c r="S368">
        <v>888.99</v>
      </c>
    </row>
    <row r="369" spans="1:19" x14ac:dyDescent="0.35">
      <c r="A369">
        <v>100367</v>
      </c>
      <c r="B369">
        <v>3615</v>
      </c>
      <c r="C369" t="s">
        <v>19</v>
      </c>
      <c r="D369" t="s">
        <v>31</v>
      </c>
      <c r="E369" t="s">
        <v>21</v>
      </c>
      <c r="F369" t="s">
        <v>22</v>
      </c>
      <c r="G369" s="1">
        <v>44968</v>
      </c>
      <c r="H369" s="1">
        <v>44972</v>
      </c>
      <c r="I369" s="1">
        <v>44975</v>
      </c>
      <c r="J369">
        <v>7</v>
      </c>
      <c r="K369">
        <v>4</v>
      </c>
      <c r="L369">
        <v>9</v>
      </c>
      <c r="M369">
        <v>80.39</v>
      </c>
      <c r="N369">
        <v>723.51</v>
      </c>
      <c r="O369">
        <v>0.14000000000000001</v>
      </c>
      <c r="P369">
        <v>101.29</v>
      </c>
      <c r="Q369">
        <v>622.22</v>
      </c>
      <c r="R369">
        <v>405.17</v>
      </c>
      <c r="S369">
        <v>217.05</v>
      </c>
    </row>
    <row r="370" spans="1:19" x14ac:dyDescent="0.35">
      <c r="A370">
        <v>100368</v>
      </c>
      <c r="B370">
        <v>1342</v>
      </c>
      <c r="C370" t="s">
        <v>33</v>
      </c>
      <c r="D370" t="s">
        <v>29</v>
      </c>
      <c r="E370" t="s">
        <v>34</v>
      </c>
      <c r="F370" t="s">
        <v>45</v>
      </c>
      <c r="G370" s="1">
        <v>45219</v>
      </c>
      <c r="H370" s="1">
        <v>45222</v>
      </c>
      <c r="I370" s="1">
        <v>45240</v>
      </c>
      <c r="J370">
        <v>21</v>
      </c>
      <c r="K370">
        <v>3</v>
      </c>
      <c r="L370">
        <v>13</v>
      </c>
      <c r="M370">
        <v>552.83000000000004</v>
      </c>
      <c r="N370">
        <v>7186.79</v>
      </c>
      <c r="O370">
        <v>0.03</v>
      </c>
      <c r="P370">
        <v>215.6</v>
      </c>
      <c r="Q370">
        <v>6971.19</v>
      </c>
      <c r="R370">
        <v>4096.47</v>
      </c>
      <c r="S370">
        <v>2874.72</v>
      </c>
    </row>
    <row r="371" spans="1:19" x14ac:dyDescent="0.35">
      <c r="A371">
        <v>100369</v>
      </c>
      <c r="B371">
        <v>1528</v>
      </c>
      <c r="C371" t="s">
        <v>28</v>
      </c>
      <c r="D371" t="s">
        <v>29</v>
      </c>
      <c r="E371" t="s">
        <v>26</v>
      </c>
      <c r="F371" t="s">
        <v>44</v>
      </c>
      <c r="G371" s="1">
        <v>45195</v>
      </c>
      <c r="H371" s="1">
        <v>45197</v>
      </c>
      <c r="I371" s="1">
        <v>45220</v>
      </c>
      <c r="J371">
        <v>25</v>
      </c>
      <c r="K371">
        <v>2</v>
      </c>
      <c r="L371">
        <v>5</v>
      </c>
      <c r="M371">
        <v>398.38</v>
      </c>
      <c r="N371">
        <v>1991.9</v>
      </c>
      <c r="O371">
        <v>0.08</v>
      </c>
      <c r="P371">
        <v>159.35</v>
      </c>
      <c r="Q371">
        <v>1832.55</v>
      </c>
      <c r="R371">
        <v>1195.1400000000001</v>
      </c>
      <c r="S371">
        <v>637.41</v>
      </c>
    </row>
    <row r="372" spans="1:19" x14ac:dyDescent="0.35">
      <c r="A372">
        <v>100370</v>
      </c>
      <c r="B372">
        <v>3756</v>
      </c>
      <c r="C372" t="s">
        <v>33</v>
      </c>
      <c r="D372" t="s">
        <v>20</v>
      </c>
      <c r="E372" t="s">
        <v>34</v>
      </c>
      <c r="F372" t="s">
        <v>45</v>
      </c>
      <c r="G372" s="1">
        <v>45281</v>
      </c>
      <c r="H372" s="1">
        <v>45286</v>
      </c>
      <c r="I372" s="1">
        <v>45311</v>
      </c>
      <c r="J372">
        <v>30</v>
      </c>
      <c r="K372">
        <v>5</v>
      </c>
      <c r="L372">
        <v>7</v>
      </c>
      <c r="M372">
        <v>79.849999999999994</v>
      </c>
      <c r="N372">
        <v>558.95000000000005</v>
      </c>
      <c r="O372">
        <v>0.1</v>
      </c>
      <c r="P372">
        <v>55.9</v>
      </c>
      <c r="Q372">
        <v>503.05</v>
      </c>
      <c r="R372">
        <v>363.32</v>
      </c>
      <c r="S372">
        <v>139.72999999999999</v>
      </c>
    </row>
    <row r="373" spans="1:19" x14ac:dyDescent="0.35">
      <c r="A373">
        <v>100371</v>
      </c>
      <c r="B373">
        <v>4871</v>
      </c>
      <c r="C373" t="s">
        <v>23</v>
      </c>
      <c r="D373" t="s">
        <v>20</v>
      </c>
      <c r="E373" t="s">
        <v>21</v>
      </c>
      <c r="F373" t="s">
        <v>41</v>
      </c>
      <c r="G373" s="1">
        <v>45091</v>
      </c>
      <c r="H373" s="1">
        <v>45094</v>
      </c>
      <c r="I373" s="1">
        <v>45093</v>
      </c>
      <c r="J373">
        <v>2</v>
      </c>
      <c r="K373">
        <v>3</v>
      </c>
      <c r="L373">
        <v>1</v>
      </c>
      <c r="M373">
        <v>372.79</v>
      </c>
      <c r="N373">
        <v>372.79</v>
      </c>
      <c r="O373">
        <v>0.06</v>
      </c>
      <c r="P373">
        <v>22.37</v>
      </c>
      <c r="Q373">
        <v>350.42</v>
      </c>
      <c r="R373">
        <v>238.59</v>
      </c>
      <c r="S373">
        <v>111.83</v>
      </c>
    </row>
    <row r="374" spans="1:19" x14ac:dyDescent="0.35">
      <c r="A374">
        <v>100372</v>
      </c>
      <c r="B374">
        <v>3980</v>
      </c>
      <c r="C374" t="s">
        <v>23</v>
      </c>
      <c r="D374" t="s">
        <v>31</v>
      </c>
      <c r="E374" t="s">
        <v>26</v>
      </c>
      <c r="F374" t="s">
        <v>36</v>
      </c>
      <c r="G374" s="1">
        <v>45269</v>
      </c>
      <c r="H374" s="1">
        <v>45271</v>
      </c>
      <c r="I374" s="1">
        <v>45273</v>
      </c>
      <c r="J374">
        <v>4</v>
      </c>
      <c r="K374">
        <v>2</v>
      </c>
      <c r="L374">
        <v>2</v>
      </c>
      <c r="M374">
        <v>769.26</v>
      </c>
      <c r="N374">
        <v>1538.52</v>
      </c>
      <c r="O374">
        <v>0.1</v>
      </c>
      <c r="P374">
        <v>153.85</v>
      </c>
      <c r="Q374">
        <v>1384.67</v>
      </c>
      <c r="R374">
        <v>953.88</v>
      </c>
      <c r="S374">
        <v>430.79</v>
      </c>
    </row>
    <row r="375" spans="1:19" x14ac:dyDescent="0.35">
      <c r="A375">
        <v>100373</v>
      </c>
      <c r="B375">
        <v>3419</v>
      </c>
      <c r="C375" t="s">
        <v>19</v>
      </c>
      <c r="D375" t="s">
        <v>31</v>
      </c>
      <c r="E375" t="s">
        <v>21</v>
      </c>
      <c r="F375" t="s">
        <v>22</v>
      </c>
      <c r="G375" s="1">
        <v>45124</v>
      </c>
      <c r="H375" s="1">
        <v>45126</v>
      </c>
      <c r="I375" s="1">
        <v>45147</v>
      </c>
      <c r="J375">
        <v>23</v>
      </c>
      <c r="K375">
        <v>2</v>
      </c>
      <c r="L375">
        <v>9</v>
      </c>
      <c r="M375">
        <v>348.75</v>
      </c>
      <c r="N375">
        <v>3138.75</v>
      </c>
      <c r="O375">
        <v>0</v>
      </c>
      <c r="P375">
        <v>0</v>
      </c>
      <c r="Q375">
        <v>3138.75</v>
      </c>
      <c r="R375">
        <v>1977.41</v>
      </c>
      <c r="S375">
        <v>1161.3399999999999</v>
      </c>
    </row>
    <row r="376" spans="1:19" x14ac:dyDescent="0.35">
      <c r="A376">
        <v>100374</v>
      </c>
      <c r="B376">
        <v>4170</v>
      </c>
      <c r="C376" t="s">
        <v>33</v>
      </c>
      <c r="D376" t="s">
        <v>31</v>
      </c>
      <c r="E376" t="s">
        <v>24</v>
      </c>
      <c r="F376" t="s">
        <v>30</v>
      </c>
      <c r="G376" s="1">
        <v>44986</v>
      </c>
      <c r="H376" s="1">
        <v>44991</v>
      </c>
      <c r="I376" s="1">
        <v>45005</v>
      </c>
      <c r="J376">
        <v>19</v>
      </c>
      <c r="K376">
        <v>5</v>
      </c>
      <c r="L376">
        <v>3</v>
      </c>
      <c r="M376">
        <v>221.83</v>
      </c>
      <c r="N376">
        <v>665.49</v>
      </c>
      <c r="O376">
        <v>0.12</v>
      </c>
      <c r="P376">
        <v>79.86</v>
      </c>
      <c r="Q376">
        <v>585.63</v>
      </c>
      <c r="R376">
        <v>399.29</v>
      </c>
      <c r="S376">
        <v>186.34</v>
      </c>
    </row>
    <row r="377" spans="1:19" x14ac:dyDescent="0.35">
      <c r="A377">
        <v>100375</v>
      </c>
      <c r="B377">
        <v>4476</v>
      </c>
      <c r="C377" t="s">
        <v>19</v>
      </c>
      <c r="D377" t="s">
        <v>31</v>
      </c>
      <c r="E377" t="s">
        <v>21</v>
      </c>
      <c r="F377" t="s">
        <v>39</v>
      </c>
      <c r="G377" s="1">
        <v>45262</v>
      </c>
      <c r="H377" s="1">
        <v>45264</v>
      </c>
      <c r="I377" s="1">
        <v>45268</v>
      </c>
      <c r="J377">
        <v>6</v>
      </c>
      <c r="K377">
        <v>2</v>
      </c>
      <c r="L377">
        <v>8</v>
      </c>
      <c r="M377">
        <v>574.61</v>
      </c>
      <c r="N377">
        <v>4596.88</v>
      </c>
      <c r="O377">
        <v>0.09</v>
      </c>
      <c r="P377">
        <v>413.72</v>
      </c>
      <c r="Q377">
        <v>4183.16</v>
      </c>
      <c r="R377">
        <v>2850.07</v>
      </c>
      <c r="S377">
        <v>1333.09</v>
      </c>
    </row>
    <row r="378" spans="1:19" x14ac:dyDescent="0.35">
      <c r="A378">
        <v>100376</v>
      </c>
      <c r="B378">
        <v>3869</v>
      </c>
      <c r="C378" t="s">
        <v>19</v>
      </c>
      <c r="D378" t="s">
        <v>31</v>
      </c>
      <c r="E378" t="s">
        <v>34</v>
      </c>
      <c r="F378" t="s">
        <v>35</v>
      </c>
      <c r="G378" s="1">
        <v>45058</v>
      </c>
      <c r="H378" s="1">
        <v>45060</v>
      </c>
      <c r="I378" s="1">
        <v>45087</v>
      </c>
      <c r="J378">
        <v>29</v>
      </c>
      <c r="K378">
        <v>2</v>
      </c>
      <c r="L378">
        <v>1</v>
      </c>
      <c r="M378">
        <v>360.02</v>
      </c>
      <c r="N378">
        <v>360.02</v>
      </c>
      <c r="O378">
        <v>7.0000000000000007E-2</v>
      </c>
      <c r="P378">
        <v>25.2</v>
      </c>
      <c r="Q378">
        <v>334.82</v>
      </c>
      <c r="R378">
        <v>212.41</v>
      </c>
      <c r="S378">
        <v>122.41</v>
      </c>
    </row>
    <row r="379" spans="1:19" x14ac:dyDescent="0.35">
      <c r="A379">
        <v>100377</v>
      </c>
      <c r="B379">
        <v>2419</v>
      </c>
      <c r="C379" t="s">
        <v>33</v>
      </c>
      <c r="D379" t="s">
        <v>20</v>
      </c>
      <c r="E379" t="s">
        <v>24</v>
      </c>
      <c r="F379" t="s">
        <v>42</v>
      </c>
      <c r="G379" s="1">
        <v>45092</v>
      </c>
      <c r="H379" s="1">
        <v>45096</v>
      </c>
      <c r="I379" s="1">
        <v>45118</v>
      </c>
      <c r="J379">
        <v>26</v>
      </c>
      <c r="K379">
        <v>4</v>
      </c>
      <c r="L379">
        <v>12</v>
      </c>
      <c r="M379">
        <v>134.1</v>
      </c>
      <c r="N379">
        <v>1609.2</v>
      </c>
      <c r="O379">
        <v>0.1</v>
      </c>
      <c r="P379">
        <v>160.91999999999999</v>
      </c>
      <c r="Q379">
        <v>1448.28</v>
      </c>
      <c r="R379">
        <v>965.52</v>
      </c>
      <c r="S379">
        <v>482.76</v>
      </c>
    </row>
    <row r="380" spans="1:19" x14ac:dyDescent="0.35">
      <c r="A380">
        <v>100378</v>
      </c>
      <c r="B380">
        <v>1505</v>
      </c>
      <c r="C380" t="s">
        <v>19</v>
      </c>
      <c r="D380" t="s">
        <v>29</v>
      </c>
      <c r="E380" t="s">
        <v>24</v>
      </c>
      <c r="F380" t="s">
        <v>32</v>
      </c>
      <c r="G380" s="1">
        <v>45013</v>
      </c>
      <c r="H380" s="1">
        <v>45017</v>
      </c>
      <c r="I380" s="1">
        <v>45016</v>
      </c>
      <c r="J380">
        <v>3</v>
      </c>
      <c r="K380">
        <v>4</v>
      </c>
      <c r="L380">
        <v>1</v>
      </c>
      <c r="M380">
        <v>691.97</v>
      </c>
      <c r="N380">
        <v>691.97</v>
      </c>
      <c r="O380">
        <v>0</v>
      </c>
      <c r="P380">
        <v>0</v>
      </c>
      <c r="Q380">
        <v>691.97</v>
      </c>
      <c r="R380">
        <v>387.5</v>
      </c>
      <c r="S380">
        <v>304.47000000000003</v>
      </c>
    </row>
    <row r="381" spans="1:19" x14ac:dyDescent="0.35">
      <c r="A381">
        <v>100379</v>
      </c>
      <c r="B381">
        <v>2971</v>
      </c>
      <c r="C381" t="s">
        <v>33</v>
      </c>
      <c r="D381" t="s">
        <v>20</v>
      </c>
      <c r="E381" t="s">
        <v>21</v>
      </c>
      <c r="F381" t="s">
        <v>39</v>
      </c>
      <c r="G381" s="1">
        <v>45101</v>
      </c>
      <c r="H381" s="1">
        <v>45102</v>
      </c>
      <c r="I381" s="1">
        <v>45113</v>
      </c>
      <c r="J381">
        <v>12</v>
      </c>
      <c r="K381">
        <v>1</v>
      </c>
      <c r="L381">
        <v>4</v>
      </c>
      <c r="M381">
        <v>363.93</v>
      </c>
      <c r="N381">
        <v>1455.72</v>
      </c>
      <c r="O381">
        <v>0.08</v>
      </c>
      <c r="P381">
        <v>116.46</v>
      </c>
      <c r="Q381">
        <v>1339.26</v>
      </c>
      <c r="R381">
        <v>742.42</v>
      </c>
      <c r="S381">
        <v>596.84</v>
      </c>
    </row>
    <row r="382" spans="1:19" x14ac:dyDescent="0.35">
      <c r="A382">
        <v>100380</v>
      </c>
      <c r="B382">
        <v>2094</v>
      </c>
      <c r="C382" t="s">
        <v>19</v>
      </c>
      <c r="D382" t="s">
        <v>20</v>
      </c>
      <c r="E382" t="s">
        <v>24</v>
      </c>
      <c r="F382" t="s">
        <v>25</v>
      </c>
      <c r="G382" s="1">
        <v>44941</v>
      </c>
      <c r="H382" s="1">
        <v>44944</v>
      </c>
      <c r="I382" s="1">
        <v>44960</v>
      </c>
      <c r="J382">
        <v>19</v>
      </c>
      <c r="K382">
        <v>3</v>
      </c>
      <c r="L382">
        <v>8</v>
      </c>
      <c r="M382">
        <v>656.15</v>
      </c>
      <c r="N382">
        <v>5249.2</v>
      </c>
      <c r="O382">
        <v>0.05</v>
      </c>
      <c r="P382">
        <v>262.45999999999998</v>
      </c>
      <c r="Q382">
        <v>4986.74</v>
      </c>
      <c r="R382">
        <v>3359.49</v>
      </c>
      <c r="S382">
        <v>1627.25</v>
      </c>
    </row>
    <row r="383" spans="1:19" x14ac:dyDescent="0.35">
      <c r="A383">
        <v>100381</v>
      </c>
      <c r="B383">
        <v>3017</v>
      </c>
      <c r="C383" t="s">
        <v>23</v>
      </c>
      <c r="D383" t="s">
        <v>29</v>
      </c>
      <c r="E383" t="s">
        <v>34</v>
      </c>
      <c r="F383" t="s">
        <v>35</v>
      </c>
      <c r="G383" s="1">
        <v>45074</v>
      </c>
      <c r="H383" s="1">
        <v>45077</v>
      </c>
      <c r="I383" s="1">
        <v>45086</v>
      </c>
      <c r="J383">
        <v>12</v>
      </c>
      <c r="K383">
        <v>3</v>
      </c>
      <c r="L383">
        <v>4</v>
      </c>
      <c r="M383">
        <v>423.47</v>
      </c>
      <c r="N383">
        <v>1693.88</v>
      </c>
      <c r="O383">
        <v>0</v>
      </c>
      <c r="P383">
        <v>0</v>
      </c>
      <c r="Q383">
        <v>1693.88</v>
      </c>
      <c r="R383">
        <v>1101.02</v>
      </c>
      <c r="S383">
        <v>592.86</v>
      </c>
    </row>
    <row r="384" spans="1:19" x14ac:dyDescent="0.35">
      <c r="A384">
        <v>100382</v>
      </c>
      <c r="B384">
        <v>1454</v>
      </c>
      <c r="C384" t="s">
        <v>33</v>
      </c>
      <c r="D384" t="s">
        <v>31</v>
      </c>
      <c r="E384" t="s">
        <v>24</v>
      </c>
      <c r="F384" t="s">
        <v>42</v>
      </c>
      <c r="G384" s="1">
        <v>45105</v>
      </c>
      <c r="H384" s="1">
        <v>45108</v>
      </c>
      <c r="I384" s="1">
        <v>45130</v>
      </c>
      <c r="J384">
        <v>25</v>
      </c>
      <c r="K384">
        <v>3</v>
      </c>
      <c r="L384">
        <v>6</v>
      </c>
      <c r="M384">
        <v>619.07000000000005</v>
      </c>
      <c r="N384">
        <v>3714.42</v>
      </c>
      <c r="O384">
        <v>0.1</v>
      </c>
      <c r="P384">
        <v>371.44</v>
      </c>
      <c r="Q384">
        <v>3342.98</v>
      </c>
      <c r="R384">
        <v>2265.8000000000002</v>
      </c>
      <c r="S384">
        <v>1077.18</v>
      </c>
    </row>
    <row r="385" spans="1:19" x14ac:dyDescent="0.35">
      <c r="A385">
        <v>100383</v>
      </c>
      <c r="B385">
        <v>3012</v>
      </c>
      <c r="C385" t="s">
        <v>19</v>
      </c>
      <c r="D385" t="s">
        <v>29</v>
      </c>
      <c r="E385" t="s">
        <v>21</v>
      </c>
      <c r="F385" t="s">
        <v>39</v>
      </c>
      <c r="G385" s="1">
        <v>45291</v>
      </c>
      <c r="H385" s="1">
        <v>45295</v>
      </c>
      <c r="I385" s="1">
        <v>45300</v>
      </c>
      <c r="J385">
        <v>9</v>
      </c>
      <c r="K385">
        <v>4</v>
      </c>
      <c r="L385">
        <v>3</v>
      </c>
      <c r="M385">
        <v>466.8</v>
      </c>
      <c r="N385">
        <v>1400.4</v>
      </c>
      <c r="O385">
        <v>0.03</v>
      </c>
      <c r="P385">
        <v>42.01</v>
      </c>
      <c r="Q385">
        <v>1358.39</v>
      </c>
      <c r="R385">
        <v>952.27</v>
      </c>
      <c r="S385">
        <v>406.12</v>
      </c>
    </row>
    <row r="386" spans="1:19" x14ac:dyDescent="0.35">
      <c r="A386">
        <v>100384</v>
      </c>
      <c r="B386">
        <v>3125</v>
      </c>
      <c r="C386" t="s">
        <v>19</v>
      </c>
      <c r="D386" t="s">
        <v>31</v>
      </c>
      <c r="E386" t="s">
        <v>24</v>
      </c>
      <c r="F386" t="s">
        <v>25</v>
      </c>
      <c r="G386" s="1">
        <v>45220</v>
      </c>
      <c r="H386" s="1">
        <v>45225</v>
      </c>
      <c r="I386" s="1">
        <v>45234</v>
      </c>
      <c r="J386">
        <v>14</v>
      </c>
      <c r="K386">
        <v>5</v>
      </c>
      <c r="L386">
        <v>12</v>
      </c>
      <c r="M386">
        <v>381.44</v>
      </c>
      <c r="N386">
        <v>4577.28</v>
      </c>
      <c r="O386">
        <v>0.13</v>
      </c>
      <c r="P386">
        <v>595.04999999999995</v>
      </c>
      <c r="Q386">
        <v>3982.23</v>
      </c>
      <c r="R386">
        <v>2883.69</v>
      </c>
      <c r="S386">
        <v>1098.54</v>
      </c>
    </row>
    <row r="387" spans="1:19" x14ac:dyDescent="0.35">
      <c r="A387">
        <v>100385</v>
      </c>
      <c r="B387">
        <v>4306</v>
      </c>
      <c r="C387" t="s">
        <v>19</v>
      </c>
      <c r="D387" t="s">
        <v>29</v>
      </c>
      <c r="E387" t="s">
        <v>34</v>
      </c>
      <c r="F387" t="s">
        <v>40</v>
      </c>
      <c r="G387" s="1">
        <v>45240</v>
      </c>
      <c r="H387" s="1">
        <v>45243</v>
      </c>
      <c r="I387" s="1">
        <v>45261</v>
      </c>
      <c r="J387">
        <v>21</v>
      </c>
      <c r="K387">
        <v>3</v>
      </c>
      <c r="L387">
        <v>8</v>
      </c>
      <c r="M387">
        <v>445.82</v>
      </c>
      <c r="N387">
        <v>3566.56</v>
      </c>
      <c r="O387">
        <v>0.02</v>
      </c>
      <c r="P387">
        <v>71.33</v>
      </c>
      <c r="Q387">
        <v>3495.23</v>
      </c>
      <c r="R387">
        <v>2318.2600000000002</v>
      </c>
      <c r="S387">
        <v>1176.97</v>
      </c>
    </row>
    <row r="388" spans="1:19" x14ac:dyDescent="0.35">
      <c r="A388">
        <v>100386</v>
      </c>
      <c r="B388">
        <v>2819</v>
      </c>
      <c r="C388" t="s">
        <v>19</v>
      </c>
      <c r="D388" t="s">
        <v>31</v>
      </c>
      <c r="E388" t="s">
        <v>26</v>
      </c>
      <c r="F388" t="s">
        <v>44</v>
      </c>
      <c r="G388" s="1">
        <v>45270</v>
      </c>
      <c r="H388" s="1">
        <v>45275</v>
      </c>
      <c r="I388" s="1">
        <v>45282</v>
      </c>
      <c r="J388">
        <v>12</v>
      </c>
      <c r="K388">
        <v>5</v>
      </c>
      <c r="L388">
        <v>11</v>
      </c>
      <c r="M388">
        <v>680.95</v>
      </c>
      <c r="N388">
        <v>7490.45</v>
      </c>
      <c r="O388">
        <v>0.06</v>
      </c>
      <c r="P388">
        <v>449.43</v>
      </c>
      <c r="Q388">
        <v>7041.02</v>
      </c>
      <c r="R388">
        <v>5018.6000000000004</v>
      </c>
      <c r="S388">
        <v>2022.42</v>
      </c>
    </row>
    <row r="389" spans="1:19" x14ac:dyDescent="0.35">
      <c r="A389">
        <v>100387</v>
      </c>
      <c r="B389">
        <v>1819</v>
      </c>
      <c r="C389" t="s">
        <v>23</v>
      </c>
      <c r="D389" t="s">
        <v>20</v>
      </c>
      <c r="E389" t="s">
        <v>26</v>
      </c>
      <c r="F389" t="s">
        <v>37</v>
      </c>
      <c r="G389" s="1">
        <v>44996</v>
      </c>
      <c r="H389" s="1">
        <v>44998</v>
      </c>
      <c r="I389" s="1">
        <v>45002</v>
      </c>
      <c r="J389">
        <v>6</v>
      </c>
      <c r="K389">
        <v>2</v>
      </c>
      <c r="L389">
        <v>10</v>
      </c>
      <c r="M389">
        <v>185.7</v>
      </c>
      <c r="N389">
        <v>1857</v>
      </c>
      <c r="O389">
        <v>0.1</v>
      </c>
      <c r="P389">
        <v>185.7</v>
      </c>
      <c r="Q389">
        <v>1671.3</v>
      </c>
      <c r="R389">
        <v>1169.9100000000001</v>
      </c>
      <c r="S389">
        <v>501.39</v>
      </c>
    </row>
    <row r="390" spans="1:19" x14ac:dyDescent="0.35">
      <c r="A390">
        <v>100388</v>
      </c>
      <c r="B390">
        <v>3562</v>
      </c>
      <c r="C390" t="s">
        <v>19</v>
      </c>
      <c r="D390" t="s">
        <v>29</v>
      </c>
      <c r="E390" t="s">
        <v>34</v>
      </c>
      <c r="F390" t="s">
        <v>45</v>
      </c>
      <c r="G390" s="1">
        <v>45143</v>
      </c>
      <c r="H390" s="1">
        <v>45144</v>
      </c>
      <c r="I390" s="1">
        <v>45162</v>
      </c>
      <c r="J390">
        <v>19</v>
      </c>
      <c r="K390">
        <v>1</v>
      </c>
      <c r="L390">
        <v>11</v>
      </c>
      <c r="M390">
        <v>250.04</v>
      </c>
      <c r="N390">
        <v>2750.44</v>
      </c>
      <c r="O390">
        <v>0.08</v>
      </c>
      <c r="P390">
        <v>220.04</v>
      </c>
      <c r="Q390">
        <v>2530.4</v>
      </c>
      <c r="R390">
        <v>1787.79</v>
      </c>
      <c r="S390">
        <v>742.61</v>
      </c>
    </row>
    <row r="391" spans="1:19" x14ac:dyDescent="0.35">
      <c r="A391">
        <v>100389</v>
      </c>
      <c r="B391">
        <v>3985</v>
      </c>
      <c r="C391" t="s">
        <v>19</v>
      </c>
      <c r="D391" t="s">
        <v>31</v>
      </c>
      <c r="E391" t="s">
        <v>26</v>
      </c>
      <c r="F391" t="s">
        <v>44</v>
      </c>
      <c r="G391" s="1">
        <v>45194</v>
      </c>
      <c r="H391" s="1">
        <v>45195</v>
      </c>
      <c r="I391" s="1">
        <v>45199</v>
      </c>
      <c r="J391">
        <v>5</v>
      </c>
      <c r="K391">
        <v>1</v>
      </c>
      <c r="L391">
        <v>10</v>
      </c>
      <c r="M391">
        <v>574.02</v>
      </c>
      <c r="N391">
        <v>5740.2</v>
      </c>
      <c r="O391">
        <v>0.1</v>
      </c>
      <c r="P391">
        <v>574.02</v>
      </c>
      <c r="Q391">
        <v>5166.18</v>
      </c>
      <c r="R391">
        <v>3616.33</v>
      </c>
      <c r="S391">
        <v>1549.85</v>
      </c>
    </row>
    <row r="392" spans="1:19" x14ac:dyDescent="0.35">
      <c r="A392">
        <v>100390</v>
      </c>
      <c r="B392">
        <v>2280</v>
      </c>
      <c r="C392" t="s">
        <v>19</v>
      </c>
      <c r="D392" t="s">
        <v>29</v>
      </c>
      <c r="E392" t="s">
        <v>34</v>
      </c>
      <c r="F392" t="s">
        <v>43</v>
      </c>
      <c r="G392" s="1">
        <v>44953</v>
      </c>
      <c r="H392" s="1">
        <v>44955</v>
      </c>
      <c r="I392" s="1">
        <v>44969</v>
      </c>
      <c r="J392">
        <v>16</v>
      </c>
      <c r="K392">
        <v>2</v>
      </c>
      <c r="L392">
        <v>10</v>
      </c>
      <c r="M392">
        <v>103.12</v>
      </c>
      <c r="N392">
        <v>1031.2</v>
      </c>
      <c r="O392">
        <v>0.12</v>
      </c>
      <c r="P392">
        <v>123.74</v>
      </c>
      <c r="Q392">
        <v>907.46</v>
      </c>
      <c r="R392">
        <v>618.72</v>
      </c>
      <c r="S392">
        <v>288.74</v>
      </c>
    </row>
    <row r="393" spans="1:19" x14ac:dyDescent="0.35">
      <c r="A393">
        <v>100391</v>
      </c>
      <c r="B393">
        <v>4616</v>
      </c>
      <c r="C393" t="s">
        <v>19</v>
      </c>
      <c r="D393" t="s">
        <v>20</v>
      </c>
      <c r="E393" t="s">
        <v>34</v>
      </c>
      <c r="F393" t="s">
        <v>45</v>
      </c>
      <c r="G393" s="1">
        <v>45217</v>
      </c>
      <c r="H393" s="1">
        <v>45220</v>
      </c>
      <c r="I393" s="1">
        <v>45227</v>
      </c>
      <c r="J393">
        <v>10</v>
      </c>
      <c r="K393">
        <v>3</v>
      </c>
      <c r="L393">
        <v>12</v>
      </c>
      <c r="M393">
        <v>417.52</v>
      </c>
      <c r="N393">
        <v>5010.24</v>
      </c>
      <c r="O393">
        <v>0.08</v>
      </c>
      <c r="P393">
        <v>400.82</v>
      </c>
      <c r="Q393">
        <v>4609.42</v>
      </c>
      <c r="R393">
        <v>2805.73</v>
      </c>
      <c r="S393">
        <v>1803.69</v>
      </c>
    </row>
    <row r="394" spans="1:19" x14ac:dyDescent="0.35">
      <c r="A394">
        <v>100392</v>
      </c>
      <c r="B394">
        <v>2620</v>
      </c>
      <c r="C394" t="s">
        <v>33</v>
      </c>
      <c r="D394" t="s">
        <v>29</v>
      </c>
      <c r="E394" t="s">
        <v>24</v>
      </c>
      <c r="F394" t="s">
        <v>42</v>
      </c>
      <c r="G394" s="1">
        <v>45007</v>
      </c>
      <c r="H394" s="1">
        <v>45009</v>
      </c>
      <c r="I394" s="1">
        <v>45014</v>
      </c>
      <c r="J394">
        <v>7</v>
      </c>
      <c r="K394">
        <v>2</v>
      </c>
      <c r="L394">
        <v>3</v>
      </c>
      <c r="M394">
        <v>250.87</v>
      </c>
      <c r="N394">
        <v>752.61</v>
      </c>
      <c r="O394">
        <v>0.08</v>
      </c>
      <c r="P394">
        <v>60.21</v>
      </c>
      <c r="Q394">
        <v>692.4</v>
      </c>
      <c r="R394">
        <v>451.57</v>
      </c>
      <c r="S394">
        <v>240.83</v>
      </c>
    </row>
    <row r="395" spans="1:19" x14ac:dyDescent="0.35">
      <c r="A395">
        <v>100393</v>
      </c>
      <c r="B395">
        <v>3034</v>
      </c>
      <c r="C395" t="s">
        <v>23</v>
      </c>
      <c r="D395" t="s">
        <v>20</v>
      </c>
      <c r="E395" t="s">
        <v>24</v>
      </c>
      <c r="F395" t="s">
        <v>42</v>
      </c>
      <c r="G395" s="1">
        <v>45224</v>
      </c>
      <c r="H395" s="1">
        <v>45229</v>
      </c>
      <c r="I395" s="1">
        <v>45244</v>
      </c>
      <c r="J395">
        <v>20</v>
      </c>
      <c r="K395">
        <v>5</v>
      </c>
      <c r="L395">
        <v>14</v>
      </c>
      <c r="M395">
        <v>337.97</v>
      </c>
      <c r="N395">
        <v>4731.58</v>
      </c>
      <c r="O395">
        <v>0.05</v>
      </c>
      <c r="P395">
        <v>236.58</v>
      </c>
      <c r="Q395">
        <v>4495</v>
      </c>
      <c r="R395">
        <v>2791.63</v>
      </c>
      <c r="S395">
        <v>1703.37</v>
      </c>
    </row>
    <row r="396" spans="1:19" x14ac:dyDescent="0.35">
      <c r="A396">
        <v>100394</v>
      </c>
      <c r="B396">
        <v>1615</v>
      </c>
      <c r="C396" t="s">
        <v>19</v>
      </c>
      <c r="D396" t="s">
        <v>29</v>
      </c>
      <c r="E396" t="s">
        <v>21</v>
      </c>
      <c r="F396" t="s">
        <v>39</v>
      </c>
      <c r="G396" s="1">
        <v>45266</v>
      </c>
      <c r="H396" s="1">
        <v>45271</v>
      </c>
      <c r="I396" s="1">
        <v>45275</v>
      </c>
      <c r="J396">
        <v>9</v>
      </c>
      <c r="K396">
        <v>5</v>
      </c>
      <c r="L396">
        <v>11</v>
      </c>
      <c r="M396">
        <v>16.63</v>
      </c>
      <c r="N396">
        <v>182.93</v>
      </c>
      <c r="O396">
        <v>7.0000000000000007E-2</v>
      </c>
      <c r="P396">
        <v>12.81</v>
      </c>
      <c r="Q396">
        <v>170.12</v>
      </c>
      <c r="R396">
        <v>93.29</v>
      </c>
      <c r="S396">
        <v>76.83</v>
      </c>
    </row>
    <row r="397" spans="1:19" x14ac:dyDescent="0.35">
      <c r="A397">
        <v>100395</v>
      </c>
      <c r="B397">
        <v>2938</v>
      </c>
      <c r="C397" t="s">
        <v>19</v>
      </c>
      <c r="D397" t="s">
        <v>29</v>
      </c>
      <c r="E397" t="s">
        <v>26</v>
      </c>
      <c r="F397" t="s">
        <v>36</v>
      </c>
      <c r="G397" s="1">
        <v>45217</v>
      </c>
      <c r="H397" s="1">
        <v>45219</v>
      </c>
      <c r="I397" s="1">
        <v>45235</v>
      </c>
      <c r="J397">
        <v>18</v>
      </c>
      <c r="K397">
        <v>2</v>
      </c>
      <c r="L397">
        <v>10</v>
      </c>
      <c r="M397">
        <v>603.28</v>
      </c>
      <c r="N397">
        <v>6032.8</v>
      </c>
      <c r="O397">
        <v>7.0000000000000007E-2</v>
      </c>
      <c r="P397">
        <v>422.3</v>
      </c>
      <c r="Q397">
        <v>5610.5</v>
      </c>
      <c r="R397">
        <v>3680.01</v>
      </c>
      <c r="S397">
        <v>1930.49</v>
      </c>
    </row>
    <row r="398" spans="1:19" x14ac:dyDescent="0.35">
      <c r="A398">
        <v>100396</v>
      </c>
      <c r="B398">
        <v>4609</v>
      </c>
      <c r="C398" t="s">
        <v>19</v>
      </c>
      <c r="D398" t="s">
        <v>20</v>
      </c>
      <c r="E398" t="s">
        <v>26</v>
      </c>
      <c r="F398" t="s">
        <v>36</v>
      </c>
      <c r="G398" s="1">
        <v>45257</v>
      </c>
      <c r="H398" s="1">
        <v>45260</v>
      </c>
      <c r="I398" s="1">
        <v>45268</v>
      </c>
      <c r="J398">
        <v>11</v>
      </c>
      <c r="K398">
        <v>3</v>
      </c>
      <c r="L398">
        <v>6</v>
      </c>
      <c r="M398">
        <v>414.18</v>
      </c>
      <c r="N398">
        <v>2485.08</v>
      </c>
      <c r="O398">
        <v>0.15</v>
      </c>
      <c r="P398">
        <v>372.76</v>
      </c>
      <c r="Q398">
        <v>2112.3200000000002</v>
      </c>
      <c r="R398">
        <v>1416.5</v>
      </c>
      <c r="S398">
        <v>695.82</v>
      </c>
    </row>
    <row r="399" spans="1:19" x14ac:dyDescent="0.35">
      <c r="A399">
        <v>100397</v>
      </c>
      <c r="B399">
        <v>3202</v>
      </c>
      <c r="C399" t="s">
        <v>23</v>
      </c>
      <c r="D399" t="s">
        <v>20</v>
      </c>
      <c r="E399" t="s">
        <v>34</v>
      </c>
      <c r="F399" t="s">
        <v>35</v>
      </c>
      <c r="G399" s="1">
        <v>45251</v>
      </c>
      <c r="H399" s="1">
        <v>45253</v>
      </c>
      <c r="I399" s="1">
        <v>45264</v>
      </c>
      <c r="J399">
        <v>13</v>
      </c>
      <c r="K399">
        <v>2</v>
      </c>
      <c r="L399">
        <v>8</v>
      </c>
      <c r="M399">
        <v>166.32</v>
      </c>
      <c r="N399">
        <v>1330.56</v>
      </c>
      <c r="O399">
        <v>0.08</v>
      </c>
      <c r="P399">
        <v>106.44</v>
      </c>
      <c r="Q399">
        <v>1224.1199999999999</v>
      </c>
      <c r="R399">
        <v>851.56</v>
      </c>
      <c r="S399">
        <v>372.56</v>
      </c>
    </row>
    <row r="400" spans="1:19" x14ac:dyDescent="0.35">
      <c r="A400">
        <v>100398</v>
      </c>
      <c r="B400">
        <v>2731</v>
      </c>
      <c r="C400" t="s">
        <v>23</v>
      </c>
      <c r="D400" t="s">
        <v>20</v>
      </c>
      <c r="E400" t="s">
        <v>24</v>
      </c>
      <c r="F400" t="s">
        <v>25</v>
      </c>
      <c r="G400" s="1">
        <v>45122</v>
      </c>
      <c r="H400" s="1">
        <v>45125</v>
      </c>
      <c r="I400" s="1">
        <v>45125</v>
      </c>
      <c r="J400">
        <v>3</v>
      </c>
      <c r="K400">
        <v>3</v>
      </c>
      <c r="L400">
        <v>1</v>
      </c>
      <c r="M400">
        <v>318.70999999999998</v>
      </c>
      <c r="N400">
        <v>318.70999999999998</v>
      </c>
      <c r="O400">
        <v>0.09</v>
      </c>
      <c r="P400">
        <v>28.68</v>
      </c>
      <c r="Q400">
        <v>290.02999999999997</v>
      </c>
      <c r="R400">
        <v>188.04</v>
      </c>
      <c r="S400">
        <v>101.99</v>
      </c>
    </row>
    <row r="401" spans="1:19" x14ac:dyDescent="0.35">
      <c r="A401">
        <v>100399</v>
      </c>
      <c r="B401">
        <v>3711</v>
      </c>
      <c r="C401" t="s">
        <v>33</v>
      </c>
      <c r="D401" t="s">
        <v>29</v>
      </c>
      <c r="E401" t="s">
        <v>21</v>
      </c>
      <c r="F401" t="s">
        <v>38</v>
      </c>
      <c r="G401" s="1">
        <v>44931</v>
      </c>
      <c r="H401" s="1">
        <v>44934</v>
      </c>
      <c r="I401" s="1">
        <v>44936</v>
      </c>
      <c r="J401">
        <v>5</v>
      </c>
      <c r="K401">
        <v>3</v>
      </c>
      <c r="L401">
        <v>7</v>
      </c>
      <c r="M401">
        <v>472.74</v>
      </c>
      <c r="N401">
        <v>3309.18</v>
      </c>
      <c r="O401">
        <v>0.01</v>
      </c>
      <c r="P401">
        <v>33.090000000000003</v>
      </c>
      <c r="Q401">
        <v>3276.09</v>
      </c>
      <c r="R401">
        <v>2051.69</v>
      </c>
      <c r="S401">
        <v>1224.4000000000001</v>
      </c>
    </row>
    <row r="402" spans="1:19" x14ac:dyDescent="0.35">
      <c r="A402">
        <v>100400</v>
      </c>
      <c r="B402">
        <v>3040</v>
      </c>
      <c r="C402" t="s">
        <v>19</v>
      </c>
      <c r="D402" t="s">
        <v>29</v>
      </c>
      <c r="E402" t="s">
        <v>34</v>
      </c>
      <c r="F402" t="s">
        <v>45</v>
      </c>
      <c r="G402" s="1">
        <v>45031</v>
      </c>
      <c r="H402" s="1">
        <v>45034</v>
      </c>
      <c r="I402" s="1">
        <v>45040</v>
      </c>
      <c r="J402">
        <v>9</v>
      </c>
      <c r="K402">
        <v>3</v>
      </c>
      <c r="L402">
        <v>1</v>
      </c>
      <c r="M402">
        <v>158.41999999999999</v>
      </c>
      <c r="N402">
        <v>158.41999999999999</v>
      </c>
      <c r="O402">
        <v>7.0000000000000007E-2</v>
      </c>
      <c r="P402">
        <v>11.09</v>
      </c>
      <c r="Q402">
        <v>147.33000000000001</v>
      </c>
      <c r="R402">
        <v>109.31</v>
      </c>
      <c r="S402">
        <v>38.020000000000003</v>
      </c>
    </row>
    <row r="403" spans="1:19" x14ac:dyDescent="0.35">
      <c r="A403">
        <v>100401</v>
      </c>
      <c r="B403">
        <v>3703</v>
      </c>
      <c r="C403" t="s">
        <v>19</v>
      </c>
      <c r="D403" t="s">
        <v>20</v>
      </c>
      <c r="E403" t="s">
        <v>26</v>
      </c>
      <c r="F403" t="s">
        <v>36</v>
      </c>
      <c r="G403" s="1">
        <v>45062</v>
      </c>
      <c r="H403" s="1">
        <v>45066</v>
      </c>
      <c r="I403" s="1">
        <v>45069</v>
      </c>
      <c r="J403">
        <v>7</v>
      </c>
      <c r="K403">
        <v>4</v>
      </c>
      <c r="L403">
        <v>6</v>
      </c>
      <c r="M403">
        <v>185.35</v>
      </c>
      <c r="N403">
        <v>1112.0999999999999</v>
      </c>
      <c r="O403">
        <v>0.2</v>
      </c>
      <c r="P403">
        <v>222.42</v>
      </c>
      <c r="Q403">
        <v>889.68</v>
      </c>
      <c r="R403">
        <v>667.26</v>
      </c>
      <c r="S403">
        <v>222.42</v>
      </c>
    </row>
    <row r="404" spans="1:19" x14ac:dyDescent="0.35">
      <c r="A404">
        <v>100402</v>
      </c>
      <c r="B404">
        <v>1460</v>
      </c>
      <c r="C404" t="s">
        <v>28</v>
      </c>
      <c r="D404" t="s">
        <v>20</v>
      </c>
      <c r="E404" t="s">
        <v>26</v>
      </c>
      <c r="F404" t="s">
        <v>36</v>
      </c>
      <c r="G404" s="1">
        <v>45161</v>
      </c>
      <c r="H404" s="1">
        <v>45162</v>
      </c>
      <c r="I404" s="1">
        <v>45165</v>
      </c>
      <c r="J404">
        <v>4</v>
      </c>
      <c r="K404">
        <v>1</v>
      </c>
      <c r="L404">
        <v>5</v>
      </c>
      <c r="M404">
        <v>529.26</v>
      </c>
      <c r="N404">
        <v>2646.3</v>
      </c>
      <c r="O404">
        <v>0.15</v>
      </c>
      <c r="P404">
        <v>396.94</v>
      </c>
      <c r="Q404">
        <v>2249.36</v>
      </c>
      <c r="R404">
        <v>1561.32</v>
      </c>
      <c r="S404">
        <v>688.04</v>
      </c>
    </row>
    <row r="405" spans="1:19" x14ac:dyDescent="0.35">
      <c r="A405">
        <v>100403</v>
      </c>
      <c r="B405">
        <v>1302</v>
      </c>
      <c r="C405" t="s">
        <v>28</v>
      </c>
      <c r="D405" t="s">
        <v>20</v>
      </c>
      <c r="E405" t="s">
        <v>34</v>
      </c>
      <c r="F405" t="s">
        <v>35</v>
      </c>
      <c r="G405" s="1">
        <v>45241</v>
      </c>
      <c r="H405" s="1">
        <v>45244</v>
      </c>
      <c r="I405" s="1">
        <v>45261</v>
      </c>
      <c r="J405">
        <v>20</v>
      </c>
      <c r="K405">
        <v>3</v>
      </c>
      <c r="L405">
        <v>14</v>
      </c>
      <c r="M405">
        <v>350.96</v>
      </c>
      <c r="N405">
        <v>4913.4399999999996</v>
      </c>
      <c r="O405">
        <v>0.06</v>
      </c>
      <c r="P405">
        <v>294.81</v>
      </c>
      <c r="Q405">
        <v>4618.63</v>
      </c>
      <c r="R405">
        <v>2948.06</v>
      </c>
      <c r="S405">
        <v>1670.57</v>
      </c>
    </row>
    <row r="406" spans="1:19" x14ac:dyDescent="0.35">
      <c r="A406">
        <v>100404</v>
      </c>
      <c r="B406">
        <v>1979</v>
      </c>
      <c r="C406" t="s">
        <v>33</v>
      </c>
      <c r="D406" t="s">
        <v>20</v>
      </c>
      <c r="E406" t="s">
        <v>21</v>
      </c>
      <c r="F406" t="s">
        <v>38</v>
      </c>
      <c r="G406" s="1">
        <v>45039</v>
      </c>
      <c r="H406" s="1">
        <v>45042</v>
      </c>
      <c r="I406" s="1">
        <v>45053</v>
      </c>
      <c r="J406">
        <v>14</v>
      </c>
      <c r="K406">
        <v>3</v>
      </c>
      <c r="L406">
        <v>12</v>
      </c>
      <c r="M406">
        <v>184.67</v>
      </c>
      <c r="N406">
        <v>2216.04</v>
      </c>
      <c r="O406">
        <v>0.06</v>
      </c>
      <c r="P406">
        <v>132.96</v>
      </c>
      <c r="Q406">
        <v>2083.08</v>
      </c>
      <c r="R406">
        <v>1130.18</v>
      </c>
      <c r="S406">
        <v>952.9</v>
      </c>
    </row>
    <row r="407" spans="1:19" x14ac:dyDescent="0.35">
      <c r="A407">
        <v>100405</v>
      </c>
      <c r="B407">
        <v>1902</v>
      </c>
      <c r="C407" t="s">
        <v>19</v>
      </c>
      <c r="D407" t="s">
        <v>29</v>
      </c>
      <c r="E407" t="s">
        <v>21</v>
      </c>
      <c r="F407" t="s">
        <v>38</v>
      </c>
      <c r="G407" s="1">
        <v>45185</v>
      </c>
      <c r="H407" s="1">
        <v>45190</v>
      </c>
      <c r="I407" s="1">
        <v>45189</v>
      </c>
      <c r="J407">
        <v>4</v>
      </c>
      <c r="K407">
        <v>5</v>
      </c>
      <c r="L407">
        <v>11</v>
      </c>
      <c r="M407">
        <v>570.82000000000005</v>
      </c>
      <c r="N407">
        <v>6279.02</v>
      </c>
      <c r="O407">
        <v>0.16</v>
      </c>
      <c r="P407">
        <v>1004.64</v>
      </c>
      <c r="Q407">
        <v>5274.38</v>
      </c>
      <c r="R407">
        <v>3641.83</v>
      </c>
      <c r="S407">
        <v>1632.55</v>
      </c>
    </row>
    <row r="408" spans="1:19" x14ac:dyDescent="0.35">
      <c r="A408">
        <v>100406</v>
      </c>
      <c r="B408">
        <v>4683</v>
      </c>
      <c r="C408" t="s">
        <v>23</v>
      </c>
      <c r="D408" t="s">
        <v>20</v>
      </c>
      <c r="E408" t="s">
        <v>26</v>
      </c>
      <c r="F408" t="s">
        <v>44</v>
      </c>
      <c r="G408" s="1">
        <v>45222</v>
      </c>
      <c r="H408" s="1">
        <v>45223</v>
      </c>
      <c r="I408" s="1">
        <v>45246</v>
      </c>
      <c r="J408">
        <v>24</v>
      </c>
      <c r="K408">
        <v>1</v>
      </c>
      <c r="L408">
        <v>6</v>
      </c>
      <c r="M408">
        <v>435.74</v>
      </c>
      <c r="N408">
        <v>2614.44</v>
      </c>
      <c r="O408">
        <v>0.12</v>
      </c>
      <c r="P408">
        <v>313.73</v>
      </c>
      <c r="Q408">
        <v>2300.71</v>
      </c>
      <c r="R408">
        <v>1568.66</v>
      </c>
      <c r="S408">
        <v>732.05</v>
      </c>
    </row>
    <row r="409" spans="1:19" x14ac:dyDescent="0.35">
      <c r="A409">
        <v>100407</v>
      </c>
      <c r="B409">
        <v>1329</v>
      </c>
      <c r="C409" t="s">
        <v>23</v>
      </c>
      <c r="D409" t="s">
        <v>29</v>
      </c>
      <c r="E409" t="s">
        <v>24</v>
      </c>
      <c r="F409" t="s">
        <v>25</v>
      </c>
      <c r="G409" s="1">
        <v>45257</v>
      </c>
      <c r="H409" s="1">
        <v>45261</v>
      </c>
      <c r="I409" s="1">
        <v>45267</v>
      </c>
      <c r="J409">
        <v>10</v>
      </c>
      <c r="K409">
        <v>4</v>
      </c>
      <c r="L409">
        <v>2</v>
      </c>
      <c r="M409">
        <v>448.17</v>
      </c>
      <c r="N409">
        <v>896.34</v>
      </c>
      <c r="O409">
        <v>0.03</v>
      </c>
      <c r="P409">
        <v>26.89</v>
      </c>
      <c r="Q409">
        <v>869.45</v>
      </c>
      <c r="R409">
        <v>519.88</v>
      </c>
      <c r="S409">
        <v>349.57</v>
      </c>
    </row>
    <row r="410" spans="1:19" x14ac:dyDescent="0.35">
      <c r="A410">
        <v>100408</v>
      </c>
      <c r="B410">
        <v>1350</v>
      </c>
      <c r="C410" t="s">
        <v>23</v>
      </c>
      <c r="D410" t="s">
        <v>31</v>
      </c>
      <c r="E410" t="s">
        <v>24</v>
      </c>
      <c r="F410" t="s">
        <v>32</v>
      </c>
      <c r="G410" s="1">
        <v>44999</v>
      </c>
      <c r="H410" s="1">
        <v>45000</v>
      </c>
      <c r="I410" s="1">
        <v>45002</v>
      </c>
      <c r="J410">
        <v>3</v>
      </c>
      <c r="K410">
        <v>1</v>
      </c>
      <c r="L410">
        <v>3</v>
      </c>
      <c r="M410">
        <v>152.18</v>
      </c>
      <c r="N410">
        <v>456.54</v>
      </c>
      <c r="O410">
        <v>0.13</v>
      </c>
      <c r="P410">
        <v>59.35</v>
      </c>
      <c r="Q410">
        <v>397.19</v>
      </c>
      <c r="R410">
        <v>269.36</v>
      </c>
      <c r="S410">
        <v>127.83</v>
      </c>
    </row>
    <row r="411" spans="1:19" x14ac:dyDescent="0.35">
      <c r="A411">
        <v>100409</v>
      </c>
      <c r="B411">
        <v>2808</v>
      </c>
      <c r="C411" t="s">
        <v>33</v>
      </c>
      <c r="D411" t="s">
        <v>29</v>
      </c>
      <c r="E411" t="s">
        <v>26</v>
      </c>
      <c r="F411" t="s">
        <v>27</v>
      </c>
      <c r="G411" s="1">
        <v>45276</v>
      </c>
      <c r="H411" s="1">
        <v>45277</v>
      </c>
      <c r="I411" s="1">
        <v>45292</v>
      </c>
      <c r="J411">
        <v>16</v>
      </c>
      <c r="K411">
        <v>1</v>
      </c>
      <c r="L411">
        <v>10</v>
      </c>
      <c r="M411">
        <v>154.12</v>
      </c>
      <c r="N411">
        <v>1541.2</v>
      </c>
      <c r="O411">
        <v>7.0000000000000007E-2</v>
      </c>
      <c r="P411">
        <v>107.88</v>
      </c>
      <c r="Q411">
        <v>1433.32</v>
      </c>
      <c r="R411">
        <v>1063.43</v>
      </c>
      <c r="S411">
        <v>369.89</v>
      </c>
    </row>
    <row r="412" spans="1:19" x14ac:dyDescent="0.35">
      <c r="A412">
        <v>100410</v>
      </c>
      <c r="B412">
        <v>3100</v>
      </c>
      <c r="C412" t="s">
        <v>33</v>
      </c>
      <c r="D412" t="s">
        <v>31</v>
      </c>
      <c r="E412" t="s">
        <v>21</v>
      </c>
      <c r="F412" t="s">
        <v>39</v>
      </c>
      <c r="G412" s="1">
        <v>44931</v>
      </c>
      <c r="H412" s="1">
        <v>44934</v>
      </c>
      <c r="I412" s="1">
        <v>44938</v>
      </c>
      <c r="J412">
        <v>7</v>
      </c>
      <c r="K412">
        <v>3</v>
      </c>
      <c r="L412">
        <v>1</v>
      </c>
      <c r="M412">
        <v>656.56</v>
      </c>
      <c r="N412">
        <v>656.56</v>
      </c>
      <c r="O412">
        <v>0.02</v>
      </c>
      <c r="P412">
        <v>13.13</v>
      </c>
      <c r="Q412">
        <v>643.42999999999995</v>
      </c>
      <c r="R412">
        <v>354.54</v>
      </c>
      <c r="S412">
        <v>288.89</v>
      </c>
    </row>
    <row r="413" spans="1:19" x14ac:dyDescent="0.35">
      <c r="A413">
        <v>100411</v>
      </c>
      <c r="B413">
        <v>1174</v>
      </c>
      <c r="C413" t="s">
        <v>33</v>
      </c>
      <c r="D413" t="s">
        <v>29</v>
      </c>
      <c r="E413" t="s">
        <v>21</v>
      </c>
      <c r="F413" t="s">
        <v>39</v>
      </c>
      <c r="G413" s="1">
        <v>44927</v>
      </c>
      <c r="H413" s="1">
        <v>44928</v>
      </c>
      <c r="I413" s="1">
        <v>44942</v>
      </c>
      <c r="J413">
        <v>15</v>
      </c>
      <c r="K413">
        <v>1</v>
      </c>
      <c r="L413">
        <v>12</v>
      </c>
      <c r="M413">
        <v>481.63</v>
      </c>
      <c r="N413">
        <v>5779.56</v>
      </c>
      <c r="O413">
        <v>0.08</v>
      </c>
      <c r="P413">
        <v>462.36</v>
      </c>
      <c r="Q413">
        <v>5317.2</v>
      </c>
      <c r="R413">
        <v>3698.92</v>
      </c>
      <c r="S413">
        <v>1618.28</v>
      </c>
    </row>
    <row r="414" spans="1:19" x14ac:dyDescent="0.35">
      <c r="A414">
        <v>100412</v>
      </c>
      <c r="B414">
        <v>1437</v>
      </c>
      <c r="C414" t="s">
        <v>23</v>
      </c>
      <c r="D414" t="s">
        <v>20</v>
      </c>
      <c r="E414" t="s">
        <v>24</v>
      </c>
      <c r="F414" t="s">
        <v>25</v>
      </c>
      <c r="G414" s="1">
        <v>45107</v>
      </c>
      <c r="H414" s="1">
        <v>45112</v>
      </c>
      <c r="I414" s="1">
        <v>45124</v>
      </c>
      <c r="J414">
        <v>17</v>
      </c>
      <c r="K414">
        <v>5</v>
      </c>
      <c r="L414">
        <v>11</v>
      </c>
      <c r="M414">
        <v>673.28</v>
      </c>
      <c r="N414">
        <v>7406.08</v>
      </c>
      <c r="O414">
        <v>0.06</v>
      </c>
      <c r="P414">
        <v>444.36</v>
      </c>
      <c r="Q414">
        <v>6961.72</v>
      </c>
      <c r="R414">
        <v>4813.95</v>
      </c>
      <c r="S414">
        <v>2147.77</v>
      </c>
    </row>
    <row r="415" spans="1:19" x14ac:dyDescent="0.35">
      <c r="A415">
        <v>100413</v>
      </c>
      <c r="B415">
        <v>4511</v>
      </c>
      <c r="C415" t="s">
        <v>33</v>
      </c>
      <c r="D415" t="s">
        <v>20</v>
      </c>
      <c r="E415" t="s">
        <v>24</v>
      </c>
      <c r="F415" t="s">
        <v>30</v>
      </c>
      <c r="G415" s="1">
        <v>45040</v>
      </c>
      <c r="H415" s="1">
        <v>45041</v>
      </c>
      <c r="I415" s="1">
        <v>45047</v>
      </c>
      <c r="J415">
        <v>7</v>
      </c>
      <c r="K415">
        <v>1</v>
      </c>
      <c r="L415">
        <v>12</v>
      </c>
      <c r="M415">
        <v>669.41</v>
      </c>
      <c r="N415">
        <v>8032.92</v>
      </c>
      <c r="O415">
        <v>0.18</v>
      </c>
      <c r="P415">
        <v>1445.93</v>
      </c>
      <c r="Q415">
        <v>6586.99</v>
      </c>
      <c r="R415">
        <v>4819.75</v>
      </c>
      <c r="S415">
        <v>1767.24</v>
      </c>
    </row>
    <row r="416" spans="1:19" x14ac:dyDescent="0.35">
      <c r="A416">
        <v>100414</v>
      </c>
      <c r="B416">
        <v>3765</v>
      </c>
      <c r="C416" t="s">
        <v>33</v>
      </c>
      <c r="D416" t="s">
        <v>20</v>
      </c>
      <c r="E416" t="s">
        <v>24</v>
      </c>
      <c r="F416" t="s">
        <v>32</v>
      </c>
      <c r="G416" s="1">
        <v>44947</v>
      </c>
      <c r="H416" s="1">
        <v>44949</v>
      </c>
      <c r="I416" s="1">
        <v>44962</v>
      </c>
      <c r="J416">
        <v>15</v>
      </c>
      <c r="K416">
        <v>2</v>
      </c>
      <c r="L416">
        <v>14</v>
      </c>
      <c r="M416">
        <v>349.95</v>
      </c>
      <c r="N416">
        <v>4899.3</v>
      </c>
      <c r="O416">
        <v>0.06</v>
      </c>
      <c r="P416">
        <v>293.95999999999998</v>
      </c>
      <c r="Q416">
        <v>4605.34</v>
      </c>
      <c r="R416">
        <v>3282.53</v>
      </c>
      <c r="S416">
        <v>1322.81</v>
      </c>
    </row>
    <row r="417" spans="1:19" x14ac:dyDescent="0.35">
      <c r="A417">
        <v>100415</v>
      </c>
      <c r="B417">
        <v>1864</v>
      </c>
      <c r="C417" t="s">
        <v>28</v>
      </c>
      <c r="D417" t="s">
        <v>31</v>
      </c>
      <c r="E417" t="s">
        <v>34</v>
      </c>
      <c r="F417" t="s">
        <v>43</v>
      </c>
      <c r="G417" s="1">
        <v>45051</v>
      </c>
      <c r="H417" s="1">
        <v>45052</v>
      </c>
      <c r="I417" s="1">
        <v>45072</v>
      </c>
      <c r="J417">
        <v>21</v>
      </c>
      <c r="K417">
        <v>1</v>
      </c>
      <c r="L417">
        <v>7</v>
      </c>
      <c r="M417">
        <v>5.88</v>
      </c>
      <c r="N417">
        <v>41.16</v>
      </c>
      <c r="O417">
        <v>0.06</v>
      </c>
      <c r="P417">
        <v>2.4700000000000002</v>
      </c>
      <c r="Q417">
        <v>38.69</v>
      </c>
      <c r="R417">
        <v>28.81</v>
      </c>
      <c r="S417">
        <v>9.8800000000000008</v>
      </c>
    </row>
    <row r="418" spans="1:19" x14ac:dyDescent="0.35">
      <c r="A418">
        <v>100416</v>
      </c>
      <c r="B418">
        <v>1918</v>
      </c>
      <c r="C418" t="s">
        <v>28</v>
      </c>
      <c r="D418" t="s">
        <v>31</v>
      </c>
      <c r="E418" t="s">
        <v>26</v>
      </c>
      <c r="F418" t="s">
        <v>44</v>
      </c>
      <c r="G418" s="1">
        <v>44958</v>
      </c>
      <c r="H418" s="1">
        <v>44962</v>
      </c>
      <c r="I418" s="1">
        <v>44987</v>
      </c>
      <c r="J418">
        <v>29</v>
      </c>
      <c r="K418">
        <v>4</v>
      </c>
      <c r="L418">
        <v>4</v>
      </c>
      <c r="M418">
        <v>547.41</v>
      </c>
      <c r="N418">
        <v>2189.64</v>
      </c>
      <c r="O418">
        <v>0.02</v>
      </c>
      <c r="P418">
        <v>43.79</v>
      </c>
      <c r="Q418">
        <v>2145.85</v>
      </c>
      <c r="R418">
        <v>1182.4100000000001</v>
      </c>
      <c r="S418">
        <v>963.44</v>
      </c>
    </row>
    <row r="419" spans="1:19" x14ac:dyDescent="0.35">
      <c r="A419">
        <v>100417</v>
      </c>
      <c r="B419">
        <v>2764</v>
      </c>
      <c r="C419" t="s">
        <v>19</v>
      </c>
      <c r="D419" t="s">
        <v>31</v>
      </c>
      <c r="E419" t="s">
        <v>24</v>
      </c>
      <c r="F419" t="s">
        <v>25</v>
      </c>
      <c r="G419" s="1">
        <v>44976</v>
      </c>
      <c r="H419" s="1">
        <v>44979</v>
      </c>
      <c r="I419" s="1">
        <v>44982</v>
      </c>
      <c r="J419">
        <v>6</v>
      </c>
      <c r="K419">
        <v>3</v>
      </c>
      <c r="L419">
        <v>10</v>
      </c>
      <c r="M419">
        <v>26.08</v>
      </c>
      <c r="N419">
        <v>260.8</v>
      </c>
      <c r="O419">
        <v>0.14000000000000001</v>
      </c>
      <c r="P419">
        <v>36.51</v>
      </c>
      <c r="Q419">
        <v>224.29</v>
      </c>
      <c r="R419">
        <v>153.87</v>
      </c>
      <c r="S419">
        <v>70.42</v>
      </c>
    </row>
    <row r="420" spans="1:19" x14ac:dyDescent="0.35">
      <c r="A420">
        <v>100418</v>
      </c>
      <c r="B420">
        <v>1520</v>
      </c>
      <c r="C420" t="s">
        <v>23</v>
      </c>
      <c r="D420" t="s">
        <v>29</v>
      </c>
      <c r="E420" t="s">
        <v>24</v>
      </c>
      <c r="F420" t="s">
        <v>30</v>
      </c>
      <c r="G420" s="1">
        <v>45161</v>
      </c>
      <c r="H420" s="1">
        <v>45166</v>
      </c>
      <c r="I420" s="1">
        <v>45166</v>
      </c>
      <c r="J420">
        <v>5</v>
      </c>
      <c r="K420">
        <v>5</v>
      </c>
      <c r="L420">
        <v>12</v>
      </c>
      <c r="M420">
        <v>114.71</v>
      </c>
      <c r="N420">
        <v>1376.52</v>
      </c>
      <c r="O420">
        <v>0.12</v>
      </c>
      <c r="P420">
        <v>165.18</v>
      </c>
      <c r="Q420">
        <v>1211.3399999999999</v>
      </c>
      <c r="R420">
        <v>798.38</v>
      </c>
      <c r="S420">
        <v>412.96</v>
      </c>
    </row>
    <row r="421" spans="1:19" x14ac:dyDescent="0.35">
      <c r="A421">
        <v>100419</v>
      </c>
      <c r="B421">
        <v>1945</v>
      </c>
      <c r="C421" t="s">
        <v>33</v>
      </c>
      <c r="D421" t="s">
        <v>31</v>
      </c>
      <c r="E421" t="s">
        <v>24</v>
      </c>
      <c r="F421" t="s">
        <v>32</v>
      </c>
      <c r="G421" s="1">
        <v>45077</v>
      </c>
      <c r="H421" s="1">
        <v>45082</v>
      </c>
      <c r="I421" s="1">
        <v>45082</v>
      </c>
      <c r="J421">
        <v>5</v>
      </c>
      <c r="K421">
        <v>5</v>
      </c>
      <c r="L421">
        <v>2</v>
      </c>
      <c r="M421">
        <v>65.239999999999995</v>
      </c>
      <c r="N421">
        <v>130.47999999999999</v>
      </c>
      <c r="O421">
        <v>0.09</v>
      </c>
      <c r="P421">
        <v>11.74</v>
      </c>
      <c r="Q421">
        <v>118.74</v>
      </c>
      <c r="R421">
        <v>73.069999999999993</v>
      </c>
      <c r="S421">
        <v>45.67</v>
      </c>
    </row>
    <row r="422" spans="1:19" x14ac:dyDescent="0.35">
      <c r="A422">
        <v>100420</v>
      </c>
      <c r="B422">
        <v>2645</v>
      </c>
      <c r="C422" t="s">
        <v>33</v>
      </c>
      <c r="D422" t="s">
        <v>29</v>
      </c>
      <c r="E422" t="s">
        <v>34</v>
      </c>
      <c r="F422" t="s">
        <v>40</v>
      </c>
      <c r="G422" s="1">
        <v>45085</v>
      </c>
      <c r="H422" s="1">
        <v>45089</v>
      </c>
      <c r="I422" s="1">
        <v>45107</v>
      </c>
      <c r="J422">
        <v>22</v>
      </c>
      <c r="K422">
        <v>4</v>
      </c>
      <c r="L422">
        <v>10</v>
      </c>
      <c r="M422">
        <v>406.95</v>
      </c>
      <c r="N422">
        <v>4069.5</v>
      </c>
      <c r="O422">
        <v>0.08</v>
      </c>
      <c r="P422">
        <v>325.56</v>
      </c>
      <c r="Q422">
        <v>3743.94</v>
      </c>
      <c r="R422">
        <v>2645.18</v>
      </c>
      <c r="S422">
        <v>1098.76</v>
      </c>
    </row>
    <row r="423" spans="1:19" x14ac:dyDescent="0.35">
      <c r="A423">
        <v>100421</v>
      </c>
      <c r="B423">
        <v>3285</v>
      </c>
      <c r="C423" t="s">
        <v>19</v>
      </c>
      <c r="D423" t="s">
        <v>20</v>
      </c>
      <c r="E423" t="s">
        <v>21</v>
      </c>
      <c r="F423" t="s">
        <v>38</v>
      </c>
      <c r="G423" s="1">
        <v>45041</v>
      </c>
      <c r="H423" s="1">
        <v>45045</v>
      </c>
      <c r="I423" s="1">
        <v>45053</v>
      </c>
      <c r="J423">
        <v>12</v>
      </c>
      <c r="K423">
        <v>4</v>
      </c>
      <c r="L423">
        <v>2</v>
      </c>
      <c r="M423">
        <v>400.25</v>
      </c>
      <c r="N423">
        <v>800.5</v>
      </c>
      <c r="O423">
        <v>0.1</v>
      </c>
      <c r="P423">
        <v>80.05</v>
      </c>
      <c r="Q423">
        <v>720.45</v>
      </c>
      <c r="R423">
        <v>472.29</v>
      </c>
      <c r="S423">
        <v>248.16</v>
      </c>
    </row>
    <row r="424" spans="1:19" x14ac:dyDescent="0.35">
      <c r="A424">
        <v>100422</v>
      </c>
      <c r="B424">
        <v>3822</v>
      </c>
      <c r="C424" t="s">
        <v>23</v>
      </c>
      <c r="D424" t="s">
        <v>29</v>
      </c>
      <c r="E424" t="s">
        <v>21</v>
      </c>
      <c r="F424" t="s">
        <v>41</v>
      </c>
      <c r="G424" s="1">
        <v>45247</v>
      </c>
      <c r="H424" s="1">
        <v>45251</v>
      </c>
      <c r="I424" s="1">
        <v>45251</v>
      </c>
      <c r="J424">
        <v>4</v>
      </c>
      <c r="K424">
        <v>4</v>
      </c>
      <c r="L424">
        <v>6</v>
      </c>
      <c r="M424">
        <v>730.91</v>
      </c>
      <c r="N424">
        <v>4385.46</v>
      </c>
      <c r="O424">
        <v>0.19</v>
      </c>
      <c r="P424">
        <v>833.24</v>
      </c>
      <c r="Q424">
        <v>3552.22</v>
      </c>
      <c r="R424">
        <v>2631.28</v>
      </c>
      <c r="S424">
        <v>920.94</v>
      </c>
    </row>
    <row r="425" spans="1:19" x14ac:dyDescent="0.35">
      <c r="A425">
        <v>100423</v>
      </c>
      <c r="B425">
        <v>3607</v>
      </c>
      <c r="C425" t="s">
        <v>23</v>
      </c>
      <c r="D425" t="s">
        <v>20</v>
      </c>
      <c r="E425" t="s">
        <v>21</v>
      </c>
      <c r="F425" t="s">
        <v>38</v>
      </c>
      <c r="G425" s="1">
        <v>45089</v>
      </c>
      <c r="H425" s="1">
        <v>45091</v>
      </c>
      <c r="I425" s="1">
        <v>45115</v>
      </c>
      <c r="J425">
        <v>26</v>
      </c>
      <c r="K425">
        <v>2</v>
      </c>
      <c r="L425">
        <v>2</v>
      </c>
      <c r="M425">
        <v>39.090000000000003</v>
      </c>
      <c r="N425">
        <v>78.180000000000007</v>
      </c>
      <c r="O425">
        <v>0.04</v>
      </c>
      <c r="P425">
        <v>3.13</v>
      </c>
      <c r="Q425">
        <v>75.05</v>
      </c>
      <c r="R425">
        <v>48.47</v>
      </c>
      <c r="S425">
        <v>26.58</v>
      </c>
    </row>
    <row r="426" spans="1:19" x14ac:dyDescent="0.35">
      <c r="A426">
        <v>100424</v>
      </c>
      <c r="B426">
        <v>3216</v>
      </c>
      <c r="C426" t="s">
        <v>23</v>
      </c>
      <c r="D426" t="s">
        <v>29</v>
      </c>
      <c r="E426" t="s">
        <v>24</v>
      </c>
      <c r="F426" t="s">
        <v>42</v>
      </c>
      <c r="G426" s="1">
        <v>45011</v>
      </c>
      <c r="H426" s="1">
        <v>45015</v>
      </c>
      <c r="I426" s="1">
        <v>45027</v>
      </c>
      <c r="J426">
        <v>16</v>
      </c>
      <c r="K426">
        <v>4</v>
      </c>
      <c r="L426">
        <v>7</v>
      </c>
      <c r="M426">
        <v>640.87</v>
      </c>
      <c r="N426">
        <v>4486.09</v>
      </c>
      <c r="O426">
        <v>0.1</v>
      </c>
      <c r="P426">
        <v>448.61</v>
      </c>
      <c r="Q426">
        <v>4037.48</v>
      </c>
      <c r="R426">
        <v>3005.68</v>
      </c>
      <c r="S426">
        <v>1031.8</v>
      </c>
    </row>
    <row r="427" spans="1:19" x14ac:dyDescent="0.35">
      <c r="A427">
        <v>100425</v>
      </c>
      <c r="B427">
        <v>4684</v>
      </c>
      <c r="C427" t="s">
        <v>33</v>
      </c>
      <c r="D427" t="s">
        <v>29</v>
      </c>
      <c r="E427" t="s">
        <v>24</v>
      </c>
      <c r="F427" t="s">
        <v>32</v>
      </c>
      <c r="G427" s="1">
        <v>45006</v>
      </c>
      <c r="H427" s="1">
        <v>45008</v>
      </c>
      <c r="I427" s="1">
        <v>45020</v>
      </c>
      <c r="J427">
        <v>14</v>
      </c>
      <c r="K427">
        <v>2</v>
      </c>
      <c r="L427">
        <v>14</v>
      </c>
      <c r="M427">
        <v>537.17999999999995</v>
      </c>
      <c r="N427">
        <v>7520.52</v>
      </c>
      <c r="O427">
        <v>0.17</v>
      </c>
      <c r="P427">
        <v>1278.49</v>
      </c>
      <c r="Q427">
        <v>6242.03</v>
      </c>
      <c r="R427">
        <v>4061.08</v>
      </c>
      <c r="S427">
        <v>2180.9499999999998</v>
      </c>
    </row>
    <row r="428" spans="1:19" x14ac:dyDescent="0.35">
      <c r="A428">
        <v>100426</v>
      </c>
      <c r="B428">
        <v>4647</v>
      </c>
      <c r="C428" t="s">
        <v>19</v>
      </c>
      <c r="D428" t="s">
        <v>29</v>
      </c>
      <c r="E428" t="s">
        <v>34</v>
      </c>
      <c r="F428" t="s">
        <v>35</v>
      </c>
      <c r="G428" s="1">
        <v>44927</v>
      </c>
      <c r="H428" s="1">
        <v>44931</v>
      </c>
      <c r="I428" s="1">
        <v>44939</v>
      </c>
      <c r="J428">
        <v>12</v>
      </c>
      <c r="K428">
        <v>4</v>
      </c>
      <c r="L428">
        <v>11</v>
      </c>
      <c r="M428">
        <v>177.72</v>
      </c>
      <c r="N428">
        <v>1954.92</v>
      </c>
      <c r="O428">
        <v>0.04</v>
      </c>
      <c r="P428">
        <v>78.2</v>
      </c>
      <c r="Q428">
        <v>1876.72</v>
      </c>
      <c r="R428">
        <v>1094.76</v>
      </c>
      <c r="S428">
        <v>781.96</v>
      </c>
    </row>
    <row r="429" spans="1:19" x14ac:dyDescent="0.35">
      <c r="A429">
        <v>100427</v>
      </c>
      <c r="B429">
        <v>3460</v>
      </c>
      <c r="C429" t="s">
        <v>28</v>
      </c>
      <c r="D429" t="s">
        <v>31</v>
      </c>
      <c r="E429" t="s">
        <v>21</v>
      </c>
      <c r="F429" t="s">
        <v>38</v>
      </c>
      <c r="G429" s="1">
        <v>45153</v>
      </c>
      <c r="H429" s="1">
        <v>45155</v>
      </c>
      <c r="I429" s="1">
        <v>45180</v>
      </c>
      <c r="J429">
        <v>27</v>
      </c>
      <c r="K429">
        <v>2</v>
      </c>
      <c r="L429">
        <v>6</v>
      </c>
      <c r="M429">
        <v>225.7</v>
      </c>
      <c r="N429">
        <v>1354.2</v>
      </c>
      <c r="O429">
        <v>0.08</v>
      </c>
      <c r="P429">
        <v>108.34</v>
      </c>
      <c r="Q429">
        <v>1245.8599999999999</v>
      </c>
      <c r="R429">
        <v>839.6</v>
      </c>
      <c r="S429">
        <v>406.26</v>
      </c>
    </row>
    <row r="430" spans="1:19" x14ac:dyDescent="0.35">
      <c r="A430">
        <v>100428</v>
      </c>
      <c r="B430">
        <v>2978</v>
      </c>
      <c r="C430" t="s">
        <v>19</v>
      </c>
      <c r="D430" t="s">
        <v>20</v>
      </c>
      <c r="E430" t="s">
        <v>34</v>
      </c>
      <c r="F430" t="s">
        <v>45</v>
      </c>
      <c r="G430" s="1">
        <v>45090</v>
      </c>
      <c r="H430" s="1">
        <v>45095</v>
      </c>
      <c r="I430" s="1">
        <v>45096</v>
      </c>
      <c r="J430">
        <v>6</v>
      </c>
      <c r="K430">
        <v>5</v>
      </c>
      <c r="L430">
        <v>11</v>
      </c>
      <c r="M430">
        <v>733.97</v>
      </c>
      <c r="N430">
        <v>8073.67</v>
      </c>
      <c r="O430">
        <v>0.03</v>
      </c>
      <c r="P430">
        <v>242.21</v>
      </c>
      <c r="Q430">
        <v>7831.46</v>
      </c>
      <c r="R430">
        <v>5247.89</v>
      </c>
      <c r="S430">
        <v>2583.5700000000002</v>
      </c>
    </row>
    <row r="431" spans="1:19" x14ac:dyDescent="0.35">
      <c r="A431">
        <v>100429</v>
      </c>
      <c r="B431">
        <v>2630</v>
      </c>
      <c r="C431" t="s">
        <v>23</v>
      </c>
      <c r="D431" t="s">
        <v>20</v>
      </c>
      <c r="E431" t="s">
        <v>26</v>
      </c>
      <c r="F431" t="s">
        <v>37</v>
      </c>
      <c r="G431" s="1">
        <v>45046</v>
      </c>
      <c r="H431" s="1">
        <v>45051</v>
      </c>
      <c r="I431" s="1">
        <v>45057</v>
      </c>
      <c r="J431">
        <v>11</v>
      </c>
      <c r="K431">
        <v>5</v>
      </c>
      <c r="L431">
        <v>13</v>
      </c>
      <c r="M431">
        <v>618.80999999999995</v>
      </c>
      <c r="N431">
        <v>8044.53</v>
      </c>
      <c r="O431">
        <v>7.0000000000000007E-2</v>
      </c>
      <c r="P431">
        <v>563.12</v>
      </c>
      <c r="Q431">
        <v>7481.41</v>
      </c>
      <c r="R431">
        <v>5228.9399999999996</v>
      </c>
      <c r="S431">
        <v>2252.4699999999998</v>
      </c>
    </row>
    <row r="432" spans="1:19" x14ac:dyDescent="0.35">
      <c r="A432">
        <v>100430</v>
      </c>
      <c r="B432">
        <v>2496</v>
      </c>
      <c r="C432" t="s">
        <v>33</v>
      </c>
      <c r="D432" t="s">
        <v>31</v>
      </c>
      <c r="E432" t="s">
        <v>34</v>
      </c>
      <c r="F432" t="s">
        <v>45</v>
      </c>
      <c r="G432" s="1">
        <v>45045</v>
      </c>
      <c r="H432" s="1">
        <v>45046</v>
      </c>
      <c r="I432" s="1">
        <v>45072</v>
      </c>
      <c r="J432">
        <v>27</v>
      </c>
      <c r="K432">
        <v>1</v>
      </c>
      <c r="L432">
        <v>7</v>
      </c>
      <c r="M432">
        <v>373.29</v>
      </c>
      <c r="N432">
        <v>2613.0300000000002</v>
      </c>
      <c r="O432">
        <v>0.06</v>
      </c>
      <c r="P432">
        <v>156.78</v>
      </c>
      <c r="Q432">
        <v>2456.25</v>
      </c>
      <c r="R432">
        <v>1724.6</v>
      </c>
      <c r="S432">
        <v>731.65</v>
      </c>
    </row>
    <row r="433" spans="1:19" x14ac:dyDescent="0.35">
      <c r="A433">
        <v>100431</v>
      </c>
      <c r="B433">
        <v>2079</v>
      </c>
      <c r="C433" t="s">
        <v>19</v>
      </c>
      <c r="D433" t="s">
        <v>31</v>
      </c>
      <c r="E433" t="s">
        <v>21</v>
      </c>
      <c r="F433" t="s">
        <v>22</v>
      </c>
      <c r="G433" s="1">
        <v>45083</v>
      </c>
      <c r="H433" s="1">
        <v>45084</v>
      </c>
      <c r="I433" s="1">
        <v>45087</v>
      </c>
      <c r="J433">
        <v>4</v>
      </c>
      <c r="K433">
        <v>1</v>
      </c>
      <c r="L433">
        <v>7</v>
      </c>
      <c r="M433">
        <v>185.18</v>
      </c>
      <c r="N433">
        <v>1296.26</v>
      </c>
      <c r="O433">
        <v>0.14000000000000001</v>
      </c>
      <c r="P433">
        <v>181.48</v>
      </c>
      <c r="Q433">
        <v>1114.78</v>
      </c>
      <c r="R433">
        <v>751.83</v>
      </c>
      <c r="S433">
        <v>362.95</v>
      </c>
    </row>
    <row r="434" spans="1:19" x14ac:dyDescent="0.35">
      <c r="A434">
        <v>100432</v>
      </c>
      <c r="B434">
        <v>4175</v>
      </c>
      <c r="C434" t="s">
        <v>23</v>
      </c>
      <c r="D434" t="s">
        <v>31</v>
      </c>
      <c r="E434" t="s">
        <v>24</v>
      </c>
      <c r="F434" t="s">
        <v>25</v>
      </c>
      <c r="G434" s="1">
        <v>45218</v>
      </c>
      <c r="H434" s="1">
        <v>45221</v>
      </c>
      <c r="I434" s="1">
        <v>45240</v>
      </c>
      <c r="J434">
        <v>22</v>
      </c>
      <c r="K434">
        <v>3</v>
      </c>
      <c r="L434">
        <v>10</v>
      </c>
      <c r="M434">
        <v>245.69</v>
      </c>
      <c r="N434">
        <v>2456.9</v>
      </c>
      <c r="O434">
        <v>0.1</v>
      </c>
      <c r="P434">
        <v>245.69</v>
      </c>
      <c r="Q434">
        <v>2211.21</v>
      </c>
      <c r="R434">
        <v>1302.1600000000001</v>
      </c>
      <c r="S434">
        <v>909.05</v>
      </c>
    </row>
    <row r="435" spans="1:19" x14ac:dyDescent="0.35">
      <c r="A435">
        <v>100433</v>
      </c>
      <c r="B435">
        <v>3009</v>
      </c>
      <c r="C435" t="s">
        <v>19</v>
      </c>
      <c r="D435" t="s">
        <v>20</v>
      </c>
      <c r="E435" t="s">
        <v>24</v>
      </c>
      <c r="F435" t="s">
        <v>25</v>
      </c>
      <c r="G435" s="1">
        <v>45268</v>
      </c>
      <c r="H435" s="1">
        <v>45271</v>
      </c>
      <c r="I435" s="1">
        <v>45271</v>
      </c>
      <c r="J435">
        <v>3</v>
      </c>
      <c r="K435">
        <v>3</v>
      </c>
      <c r="L435">
        <v>9</v>
      </c>
      <c r="M435">
        <v>415.89</v>
      </c>
      <c r="N435">
        <v>3743.01</v>
      </c>
      <c r="O435">
        <v>0.05</v>
      </c>
      <c r="P435">
        <v>187.15</v>
      </c>
      <c r="Q435">
        <v>3555.86</v>
      </c>
      <c r="R435">
        <v>2133.52</v>
      </c>
      <c r="S435">
        <v>1422.34</v>
      </c>
    </row>
    <row r="436" spans="1:19" x14ac:dyDescent="0.35">
      <c r="A436">
        <v>100434</v>
      </c>
      <c r="B436">
        <v>4911</v>
      </c>
      <c r="C436" t="s">
        <v>19</v>
      </c>
      <c r="D436" t="s">
        <v>20</v>
      </c>
      <c r="E436" t="s">
        <v>24</v>
      </c>
      <c r="F436" t="s">
        <v>25</v>
      </c>
      <c r="G436" s="1">
        <v>45100</v>
      </c>
      <c r="H436" s="1">
        <v>45104</v>
      </c>
      <c r="I436" s="1">
        <v>45111</v>
      </c>
      <c r="J436">
        <v>11</v>
      </c>
      <c r="K436">
        <v>4</v>
      </c>
      <c r="L436">
        <v>14</v>
      </c>
      <c r="M436">
        <v>312.25</v>
      </c>
      <c r="N436">
        <v>4371.5</v>
      </c>
      <c r="O436">
        <v>0.09</v>
      </c>
      <c r="P436">
        <v>393.44</v>
      </c>
      <c r="Q436">
        <v>3978.06</v>
      </c>
      <c r="R436">
        <v>2841.48</v>
      </c>
      <c r="S436">
        <v>1136.58</v>
      </c>
    </row>
    <row r="437" spans="1:19" x14ac:dyDescent="0.35">
      <c r="A437">
        <v>100435</v>
      </c>
      <c r="B437">
        <v>4183</v>
      </c>
      <c r="C437" t="s">
        <v>23</v>
      </c>
      <c r="D437" t="s">
        <v>31</v>
      </c>
      <c r="E437" t="s">
        <v>24</v>
      </c>
      <c r="F437" t="s">
        <v>30</v>
      </c>
      <c r="G437" s="1">
        <v>45271</v>
      </c>
      <c r="H437" s="1">
        <v>45273</v>
      </c>
      <c r="I437" s="1">
        <v>45286</v>
      </c>
      <c r="J437">
        <v>15</v>
      </c>
      <c r="K437">
        <v>2</v>
      </c>
      <c r="L437">
        <v>12</v>
      </c>
      <c r="M437">
        <v>95.77</v>
      </c>
      <c r="N437">
        <v>1149.24</v>
      </c>
      <c r="O437">
        <v>0.04</v>
      </c>
      <c r="P437">
        <v>45.97</v>
      </c>
      <c r="Q437">
        <v>1103.27</v>
      </c>
      <c r="R437">
        <v>701.04</v>
      </c>
      <c r="S437">
        <v>402.23</v>
      </c>
    </row>
    <row r="438" spans="1:19" x14ac:dyDescent="0.35">
      <c r="A438">
        <v>100436</v>
      </c>
      <c r="B438">
        <v>2579</v>
      </c>
      <c r="C438" t="s">
        <v>19</v>
      </c>
      <c r="D438" t="s">
        <v>29</v>
      </c>
      <c r="E438" t="s">
        <v>26</v>
      </c>
      <c r="F438" t="s">
        <v>44</v>
      </c>
      <c r="G438" s="1">
        <v>45141</v>
      </c>
      <c r="H438" s="1">
        <v>45146</v>
      </c>
      <c r="I438" s="1">
        <v>45149</v>
      </c>
      <c r="J438">
        <v>8</v>
      </c>
      <c r="K438">
        <v>5</v>
      </c>
      <c r="L438">
        <v>9</v>
      </c>
      <c r="M438">
        <v>647.77</v>
      </c>
      <c r="N438">
        <v>5829.93</v>
      </c>
      <c r="O438">
        <v>0.1</v>
      </c>
      <c r="P438">
        <v>582.99</v>
      </c>
      <c r="Q438">
        <v>5246.94</v>
      </c>
      <c r="R438">
        <v>3497.96</v>
      </c>
      <c r="S438">
        <v>1748.98</v>
      </c>
    </row>
    <row r="439" spans="1:19" x14ac:dyDescent="0.35">
      <c r="A439">
        <v>100437</v>
      </c>
      <c r="B439">
        <v>1574</v>
      </c>
      <c r="C439" t="s">
        <v>33</v>
      </c>
      <c r="D439" t="s">
        <v>31</v>
      </c>
      <c r="E439" t="s">
        <v>21</v>
      </c>
      <c r="F439" t="s">
        <v>38</v>
      </c>
      <c r="G439" s="1">
        <v>45014</v>
      </c>
      <c r="H439" s="1">
        <v>45016</v>
      </c>
      <c r="I439" s="1">
        <v>45029</v>
      </c>
      <c r="J439">
        <v>15</v>
      </c>
      <c r="K439">
        <v>2</v>
      </c>
      <c r="L439">
        <v>5</v>
      </c>
      <c r="M439">
        <v>546.87</v>
      </c>
      <c r="N439">
        <v>2734.35</v>
      </c>
      <c r="O439">
        <v>0.14000000000000001</v>
      </c>
      <c r="P439">
        <v>382.81</v>
      </c>
      <c r="Q439">
        <v>2351.54</v>
      </c>
      <c r="R439">
        <v>1832.01</v>
      </c>
      <c r="S439">
        <v>519.53</v>
      </c>
    </row>
    <row r="440" spans="1:19" x14ac:dyDescent="0.35">
      <c r="A440">
        <v>100438</v>
      </c>
      <c r="B440">
        <v>2907</v>
      </c>
      <c r="C440" t="s">
        <v>28</v>
      </c>
      <c r="D440" t="s">
        <v>29</v>
      </c>
      <c r="E440" t="s">
        <v>34</v>
      </c>
      <c r="F440" t="s">
        <v>40</v>
      </c>
      <c r="G440" s="1">
        <v>45170</v>
      </c>
      <c r="H440" s="1">
        <v>45175</v>
      </c>
      <c r="I440" s="1">
        <v>45185</v>
      </c>
      <c r="J440">
        <v>15</v>
      </c>
      <c r="K440">
        <v>5</v>
      </c>
      <c r="L440">
        <v>13</v>
      </c>
      <c r="M440">
        <v>320.63</v>
      </c>
      <c r="N440">
        <v>4168.1899999999996</v>
      </c>
      <c r="O440">
        <v>0.1</v>
      </c>
      <c r="P440">
        <v>416.82</v>
      </c>
      <c r="Q440">
        <v>3751.37</v>
      </c>
      <c r="R440">
        <v>2625.96</v>
      </c>
      <c r="S440">
        <v>1125.4100000000001</v>
      </c>
    </row>
    <row r="441" spans="1:19" x14ac:dyDescent="0.35">
      <c r="A441">
        <v>100439</v>
      </c>
      <c r="B441">
        <v>2568</v>
      </c>
      <c r="C441" t="s">
        <v>23</v>
      </c>
      <c r="D441" t="s">
        <v>31</v>
      </c>
      <c r="E441" t="s">
        <v>24</v>
      </c>
      <c r="F441" t="s">
        <v>30</v>
      </c>
      <c r="G441" s="1">
        <v>44938</v>
      </c>
      <c r="H441" s="1">
        <v>44941</v>
      </c>
      <c r="I441" s="1">
        <v>44954</v>
      </c>
      <c r="J441">
        <v>16</v>
      </c>
      <c r="K441">
        <v>3</v>
      </c>
      <c r="L441">
        <v>8</v>
      </c>
      <c r="M441">
        <v>380.01</v>
      </c>
      <c r="N441">
        <v>3040.08</v>
      </c>
      <c r="O441">
        <v>0.1</v>
      </c>
      <c r="P441">
        <v>304.01</v>
      </c>
      <c r="Q441">
        <v>2736.07</v>
      </c>
      <c r="R441">
        <v>1884.85</v>
      </c>
      <c r="S441">
        <v>851.22</v>
      </c>
    </row>
    <row r="442" spans="1:19" x14ac:dyDescent="0.35">
      <c r="A442">
        <v>100440</v>
      </c>
      <c r="B442">
        <v>4089</v>
      </c>
      <c r="C442" t="s">
        <v>28</v>
      </c>
      <c r="D442" t="s">
        <v>29</v>
      </c>
      <c r="E442" t="s">
        <v>26</v>
      </c>
      <c r="F442" t="s">
        <v>27</v>
      </c>
      <c r="G442" s="1">
        <v>45249</v>
      </c>
      <c r="H442" s="1">
        <v>45250</v>
      </c>
      <c r="I442" s="1">
        <v>45276</v>
      </c>
      <c r="J442">
        <v>27</v>
      </c>
      <c r="K442">
        <v>1</v>
      </c>
      <c r="L442">
        <v>10</v>
      </c>
      <c r="M442">
        <v>525.96</v>
      </c>
      <c r="N442">
        <v>5259.6</v>
      </c>
      <c r="O442">
        <v>0.13</v>
      </c>
      <c r="P442">
        <v>683.75</v>
      </c>
      <c r="Q442">
        <v>4575.8500000000004</v>
      </c>
      <c r="R442">
        <v>3629.12</v>
      </c>
      <c r="S442">
        <v>946.73</v>
      </c>
    </row>
    <row r="443" spans="1:19" x14ac:dyDescent="0.35">
      <c r="A443">
        <v>100441</v>
      </c>
      <c r="B443">
        <v>4328</v>
      </c>
      <c r="C443" t="s">
        <v>33</v>
      </c>
      <c r="D443" t="s">
        <v>20</v>
      </c>
      <c r="E443" t="s">
        <v>24</v>
      </c>
      <c r="F443" t="s">
        <v>30</v>
      </c>
      <c r="G443" s="1">
        <v>45020</v>
      </c>
      <c r="H443" s="1">
        <v>45023</v>
      </c>
      <c r="I443" s="1">
        <v>45026</v>
      </c>
      <c r="J443">
        <v>6</v>
      </c>
      <c r="K443">
        <v>3</v>
      </c>
      <c r="L443">
        <v>13</v>
      </c>
      <c r="M443">
        <v>394.85</v>
      </c>
      <c r="N443">
        <v>5133.05</v>
      </c>
      <c r="O443">
        <v>0.09</v>
      </c>
      <c r="P443">
        <v>461.97</v>
      </c>
      <c r="Q443">
        <v>4671.08</v>
      </c>
      <c r="R443">
        <v>3439.14</v>
      </c>
      <c r="S443">
        <v>1231.94</v>
      </c>
    </row>
    <row r="444" spans="1:19" x14ac:dyDescent="0.35">
      <c r="A444">
        <v>100442</v>
      </c>
      <c r="B444">
        <v>2555</v>
      </c>
      <c r="C444" t="s">
        <v>33</v>
      </c>
      <c r="D444" t="s">
        <v>29</v>
      </c>
      <c r="E444" t="s">
        <v>26</v>
      </c>
      <c r="F444" t="s">
        <v>27</v>
      </c>
      <c r="G444" s="1">
        <v>45286</v>
      </c>
      <c r="H444" s="1">
        <v>45288</v>
      </c>
      <c r="I444" s="1">
        <v>45297</v>
      </c>
      <c r="J444">
        <v>11</v>
      </c>
      <c r="K444">
        <v>2</v>
      </c>
      <c r="L444">
        <v>12</v>
      </c>
      <c r="M444">
        <v>93.59</v>
      </c>
      <c r="N444">
        <v>1123.08</v>
      </c>
      <c r="O444">
        <v>0.11</v>
      </c>
      <c r="P444">
        <v>123.54</v>
      </c>
      <c r="Q444">
        <v>999.54</v>
      </c>
      <c r="R444">
        <v>651.39</v>
      </c>
      <c r="S444">
        <v>348.15</v>
      </c>
    </row>
    <row r="445" spans="1:19" x14ac:dyDescent="0.35">
      <c r="A445">
        <v>100443</v>
      </c>
      <c r="B445">
        <v>1184</v>
      </c>
      <c r="C445" t="s">
        <v>28</v>
      </c>
      <c r="D445" t="s">
        <v>31</v>
      </c>
      <c r="E445" t="s">
        <v>21</v>
      </c>
      <c r="F445" t="s">
        <v>41</v>
      </c>
      <c r="G445" s="1">
        <v>45288</v>
      </c>
      <c r="H445" s="1">
        <v>45290</v>
      </c>
      <c r="I445" s="1">
        <v>45299</v>
      </c>
      <c r="J445">
        <v>11</v>
      </c>
      <c r="K445">
        <v>2</v>
      </c>
      <c r="L445">
        <v>3</v>
      </c>
      <c r="M445">
        <v>167.73</v>
      </c>
      <c r="N445">
        <v>503.19</v>
      </c>
      <c r="O445">
        <v>0.04</v>
      </c>
      <c r="P445">
        <v>20.13</v>
      </c>
      <c r="Q445">
        <v>483.06</v>
      </c>
      <c r="R445">
        <v>301.91000000000003</v>
      </c>
      <c r="S445">
        <v>181.15</v>
      </c>
    </row>
    <row r="446" spans="1:19" x14ac:dyDescent="0.35">
      <c r="A446">
        <v>100444</v>
      </c>
      <c r="B446">
        <v>4177</v>
      </c>
      <c r="C446" t="s">
        <v>33</v>
      </c>
      <c r="D446" t="s">
        <v>20</v>
      </c>
      <c r="E446" t="s">
        <v>26</v>
      </c>
      <c r="F446" t="s">
        <v>44</v>
      </c>
      <c r="G446" s="1">
        <v>45237</v>
      </c>
      <c r="H446" s="1">
        <v>45238</v>
      </c>
      <c r="I446" s="1">
        <v>45248</v>
      </c>
      <c r="J446">
        <v>11</v>
      </c>
      <c r="K446">
        <v>1</v>
      </c>
      <c r="L446">
        <v>7</v>
      </c>
      <c r="M446">
        <v>776.69</v>
      </c>
      <c r="N446">
        <v>5436.83</v>
      </c>
      <c r="O446">
        <v>0</v>
      </c>
      <c r="P446">
        <v>0</v>
      </c>
      <c r="Q446">
        <v>5436.83</v>
      </c>
      <c r="R446">
        <v>3207.73</v>
      </c>
      <c r="S446">
        <v>2229.1</v>
      </c>
    </row>
    <row r="447" spans="1:19" x14ac:dyDescent="0.35">
      <c r="A447">
        <v>100445</v>
      </c>
      <c r="B447">
        <v>3273</v>
      </c>
      <c r="C447" t="s">
        <v>19</v>
      </c>
      <c r="D447" t="s">
        <v>31</v>
      </c>
      <c r="E447" t="s">
        <v>26</v>
      </c>
      <c r="F447" t="s">
        <v>44</v>
      </c>
      <c r="G447" s="1">
        <v>45097</v>
      </c>
      <c r="H447" s="1">
        <v>45099</v>
      </c>
      <c r="I447" s="1">
        <v>45108</v>
      </c>
      <c r="J447">
        <v>11</v>
      </c>
      <c r="K447">
        <v>2</v>
      </c>
      <c r="L447">
        <v>7</v>
      </c>
      <c r="M447">
        <v>579.16999999999996</v>
      </c>
      <c r="N447">
        <v>4054.19</v>
      </c>
      <c r="O447">
        <v>0.11</v>
      </c>
      <c r="P447">
        <v>445.96</v>
      </c>
      <c r="Q447">
        <v>3608.23</v>
      </c>
      <c r="R447">
        <v>2473.06</v>
      </c>
      <c r="S447">
        <v>1135.17</v>
      </c>
    </row>
    <row r="448" spans="1:19" x14ac:dyDescent="0.35">
      <c r="A448">
        <v>100446</v>
      </c>
      <c r="B448">
        <v>3454</v>
      </c>
      <c r="C448" t="s">
        <v>28</v>
      </c>
      <c r="D448" t="s">
        <v>29</v>
      </c>
      <c r="E448" t="s">
        <v>26</v>
      </c>
      <c r="F448" t="s">
        <v>37</v>
      </c>
      <c r="G448" s="1">
        <v>45177</v>
      </c>
      <c r="H448" s="1">
        <v>45181</v>
      </c>
      <c r="I448" s="1">
        <v>45184</v>
      </c>
      <c r="J448">
        <v>7</v>
      </c>
      <c r="K448">
        <v>4</v>
      </c>
      <c r="L448">
        <v>5</v>
      </c>
      <c r="M448">
        <v>185.77</v>
      </c>
      <c r="N448">
        <v>928.85</v>
      </c>
      <c r="O448">
        <v>0.11</v>
      </c>
      <c r="P448">
        <v>102.17</v>
      </c>
      <c r="Q448">
        <v>826.68</v>
      </c>
      <c r="R448">
        <v>445.85</v>
      </c>
      <c r="S448">
        <v>380.83</v>
      </c>
    </row>
    <row r="449" spans="1:19" x14ac:dyDescent="0.35">
      <c r="A449">
        <v>100447</v>
      </c>
      <c r="B449">
        <v>4272</v>
      </c>
      <c r="C449" t="s">
        <v>19</v>
      </c>
      <c r="D449" t="s">
        <v>20</v>
      </c>
      <c r="E449" t="s">
        <v>34</v>
      </c>
      <c r="F449" t="s">
        <v>40</v>
      </c>
      <c r="G449" s="1">
        <v>45093</v>
      </c>
      <c r="H449" s="1">
        <v>45095</v>
      </c>
      <c r="I449" s="1">
        <v>45121</v>
      </c>
      <c r="J449">
        <v>28</v>
      </c>
      <c r="K449">
        <v>2</v>
      </c>
      <c r="L449">
        <v>10</v>
      </c>
      <c r="M449">
        <v>175.4</v>
      </c>
      <c r="N449">
        <v>1754</v>
      </c>
      <c r="O449">
        <v>0.14000000000000001</v>
      </c>
      <c r="P449">
        <v>245.56</v>
      </c>
      <c r="Q449">
        <v>1508.44</v>
      </c>
      <c r="R449">
        <v>1087.48</v>
      </c>
      <c r="S449">
        <v>420.96</v>
      </c>
    </row>
    <row r="450" spans="1:19" x14ac:dyDescent="0.35">
      <c r="A450">
        <v>100448</v>
      </c>
      <c r="B450">
        <v>1179</v>
      </c>
      <c r="C450" t="s">
        <v>23</v>
      </c>
      <c r="D450" t="s">
        <v>31</v>
      </c>
      <c r="E450" t="s">
        <v>24</v>
      </c>
      <c r="F450" t="s">
        <v>30</v>
      </c>
      <c r="G450" s="1">
        <v>45017</v>
      </c>
      <c r="H450" s="1">
        <v>45019</v>
      </c>
      <c r="I450" s="1">
        <v>45044</v>
      </c>
      <c r="J450">
        <v>27</v>
      </c>
      <c r="K450">
        <v>2</v>
      </c>
      <c r="L450">
        <v>7</v>
      </c>
      <c r="M450">
        <v>617.32000000000005</v>
      </c>
      <c r="N450">
        <v>4321.24</v>
      </c>
      <c r="O450">
        <v>0.03</v>
      </c>
      <c r="P450">
        <v>129.63999999999999</v>
      </c>
      <c r="Q450">
        <v>4191.6000000000004</v>
      </c>
      <c r="R450">
        <v>2722.38</v>
      </c>
      <c r="S450">
        <v>1469.22</v>
      </c>
    </row>
    <row r="451" spans="1:19" x14ac:dyDescent="0.35">
      <c r="A451">
        <v>100449</v>
      </c>
      <c r="B451">
        <v>4697</v>
      </c>
      <c r="C451" t="s">
        <v>28</v>
      </c>
      <c r="D451" t="s">
        <v>31</v>
      </c>
      <c r="E451" t="s">
        <v>34</v>
      </c>
      <c r="F451" t="s">
        <v>35</v>
      </c>
      <c r="G451" s="1">
        <v>45072</v>
      </c>
      <c r="H451" s="1">
        <v>45075</v>
      </c>
      <c r="I451" s="1">
        <v>45097</v>
      </c>
      <c r="J451">
        <v>25</v>
      </c>
      <c r="K451">
        <v>3</v>
      </c>
      <c r="L451">
        <v>12</v>
      </c>
      <c r="M451">
        <v>249.64</v>
      </c>
      <c r="N451">
        <v>2995.68</v>
      </c>
      <c r="O451">
        <v>0.13</v>
      </c>
      <c r="P451">
        <v>389.44</v>
      </c>
      <c r="Q451">
        <v>2606.2399999999998</v>
      </c>
      <c r="R451">
        <v>1857.32</v>
      </c>
      <c r="S451">
        <v>748.92</v>
      </c>
    </row>
    <row r="452" spans="1:19" x14ac:dyDescent="0.35">
      <c r="A452">
        <v>100450</v>
      </c>
      <c r="B452">
        <v>1320</v>
      </c>
      <c r="C452" t="s">
        <v>19</v>
      </c>
      <c r="D452" t="s">
        <v>20</v>
      </c>
      <c r="E452" t="s">
        <v>34</v>
      </c>
      <c r="F452" t="s">
        <v>45</v>
      </c>
      <c r="G452" s="1">
        <v>45071</v>
      </c>
      <c r="H452" s="1">
        <v>45073</v>
      </c>
      <c r="I452" s="1">
        <v>45101</v>
      </c>
      <c r="J452">
        <v>30</v>
      </c>
      <c r="K452">
        <v>2</v>
      </c>
      <c r="L452">
        <v>1</v>
      </c>
      <c r="M452">
        <v>537.65</v>
      </c>
      <c r="N452">
        <v>537.65</v>
      </c>
      <c r="O452">
        <v>0.01</v>
      </c>
      <c r="P452">
        <v>5.38</v>
      </c>
      <c r="Q452">
        <v>532.27</v>
      </c>
      <c r="R452">
        <v>306.45999999999998</v>
      </c>
      <c r="S452">
        <v>225.81</v>
      </c>
    </row>
    <row r="453" spans="1:19" x14ac:dyDescent="0.35">
      <c r="A453">
        <v>100451</v>
      </c>
      <c r="B453">
        <v>2648</v>
      </c>
      <c r="C453" t="s">
        <v>19</v>
      </c>
      <c r="D453" t="s">
        <v>29</v>
      </c>
      <c r="E453" t="s">
        <v>21</v>
      </c>
      <c r="F453" t="s">
        <v>38</v>
      </c>
      <c r="G453" s="1">
        <v>44998</v>
      </c>
      <c r="H453" s="1">
        <v>44999</v>
      </c>
      <c r="I453" s="1">
        <v>45022</v>
      </c>
      <c r="J453">
        <v>24</v>
      </c>
      <c r="K453">
        <v>1</v>
      </c>
      <c r="L453">
        <v>3</v>
      </c>
      <c r="M453">
        <v>185.9</v>
      </c>
      <c r="N453">
        <v>557.70000000000005</v>
      </c>
      <c r="O453">
        <v>0.09</v>
      </c>
      <c r="P453">
        <v>50.19</v>
      </c>
      <c r="Q453">
        <v>507.51</v>
      </c>
      <c r="R453">
        <v>351.35</v>
      </c>
      <c r="S453">
        <v>156.16</v>
      </c>
    </row>
    <row r="454" spans="1:19" x14ac:dyDescent="0.35">
      <c r="A454">
        <v>100452</v>
      </c>
      <c r="B454">
        <v>3108</v>
      </c>
      <c r="C454" t="s">
        <v>19</v>
      </c>
      <c r="D454" t="s">
        <v>31</v>
      </c>
      <c r="E454" t="s">
        <v>21</v>
      </c>
      <c r="F454" t="s">
        <v>22</v>
      </c>
      <c r="G454" s="1">
        <v>45045</v>
      </c>
      <c r="H454" s="1">
        <v>45046</v>
      </c>
      <c r="I454" s="1">
        <v>45049</v>
      </c>
      <c r="J454">
        <v>4</v>
      </c>
      <c r="K454">
        <v>1</v>
      </c>
      <c r="L454">
        <v>13</v>
      </c>
      <c r="M454">
        <v>109.92</v>
      </c>
      <c r="N454">
        <v>1428.96</v>
      </c>
      <c r="O454">
        <v>0.05</v>
      </c>
      <c r="P454">
        <v>71.45</v>
      </c>
      <c r="Q454">
        <v>1357.51</v>
      </c>
      <c r="R454">
        <v>943.11</v>
      </c>
      <c r="S454">
        <v>414.4</v>
      </c>
    </row>
    <row r="455" spans="1:19" x14ac:dyDescent="0.35">
      <c r="A455">
        <v>100453</v>
      </c>
      <c r="B455">
        <v>3927</v>
      </c>
      <c r="C455" t="s">
        <v>33</v>
      </c>
      <c r="D455" t="s">
        <v>29</v>
      </c>
      <c r="E455" t="s">
        <v>26</v>
      </c>
      <c r="F455" t="s">
        <v>27</v>
      </c>
      <c r="G455" s="1">
        <v>44983</v>
      </c>
      <c r="H455" s="1">
        <v>44987</v>
      </c>
      <c r="I455" s="1">
        <v>45004</v>
      </c>
      <c r="J455">
        <v>21</v>
      </c>
      <c r="K455">
        <v>4</v>
      </c>
      <c r="L455">
        <v>6</v>
      </c>
      <c r="M455">
        <v>492.33</v>
      </c>
      <c r="N455">
        <v>2953.98</v>
      </c>
      <c r="O455">
        <v>0.15</v>
      </c>
      <c r="P455">
        <v>443.1</v>
      </c>
      <c r="Q455">
        <v>2510.88</v>
      </c>
      <c r="R455">
        <v>1890.55</v>
      </c>
      <c r="S455">
        <v>620.33000000000004</v>
      </c>
    </row>
    <row r="456" spans="1:19" x14ac:dyDescent="0.35">
      <c r="A456">
        <v>100454</v>
      </c>
      <c r="B456">
        <v>3290</v>
      </c>
      <c r="C456" t="s">
        <v>33</v>
      </c>
      <c r="D456" t="s">
        <v>29</v>
      </c>
      <c r="E456" t="s">
        <v>34</v>
      </c>
      <c r="F456" t="s">
        <v>43</v>
      </c>
      <c r="G456" s="1">
        <v>45172</v>
      </c>
      <c r="H456" s="1">
        <v>45174</v>
      </c>
      <c r="I456" s="1">
        <v>45179</v>
      </c>
      <c r="J456">
        <v>7</v>
      </c>
      <c r="K456">
        <v>2</v>
      </c>
      <c r="L456">
        <v>13</v>
      </c>
      <c r="M456">
        <v>577.83000000000004</v>
      </c>
      <c r="N456">
        <v>7511.79</v>
      </c>
      <c r="O456">
        <v>0</v>
      </c>
      <c r="P456">
        <v>0</v>
      </c>
      <c r="Q456">
        <v>7511.79</v>
      </c>
      <c r="R456">
        <v>5108.0200000000004</v>
      </c>
      <c r="S456">
        <v>2403.77</v>
      </c>
    </row>
    <row r="457" spans="1:19" x14ac:dyDescent="0.35">
      <c r="A457">
        <v>100455</v>
      </c>
      <c r="B457">
        <v>4467</v>
      </c>
      <c r="C457" t="s">
        <v>23</v>
      </c>
      <c r="D457" t="s">
        <v>20</v>
      </c>
      <c r="E457" t="s">
        <v>21</v>
      </c>
      <c r="F457" t="s">
        <v>38</v>
      </c>
      <c r="G457" s="1">
        <v>45187</v>
      </c>
      <c r="H457" s="1">
        <v>45190</v>
      </c>
      <c r="I457" s="1">
        <v>45196</v>
      </c>
      <c r="J457">
        <v>9</v>
      </c>
      <c r="K457">
        <v>3</v>
      </c>
      <c r="L457">
        <v>1</v>
      </c>
      <c r="M457">
        <v>116.97</v>
      </c>
      <c r="N457">
        <v>116.97</v>
      </c>
      <c r="O457">
        <v>0.13</v>
      </c>
      <c r="P457">
        <v>15.21</v>
      </c>
      <c r="Q457">
        <v>101.76</v>
      </c>
      <c r="R457">
        <v>61.99</v>
      </c>
      <c r="S457">
        <v>39.770000000000003</v>
      </c>
    </row>
    <row r="458" spans="1:19" x14ac:dyDescent="0.35">
      <c r="A458">
        <v>100456</v>
      </c>
      <c r="B458">
        <v>2413</v>
      </c>
      <c r="C458" t="s">
        <v>28</v>
      </c>
      <c r="D458" t="s">
        <v>29</v>
      </c>
      <c r="E458" t="s">
        <v>26</v>
      </c>
      <c r="F458" t="s">
        <v>36</v>
      </c>
      <c r="G458" s="1">
        <v>45181</v>
      </c>
      <c r="H458" s="1">
        <v>45184</v>
      </c>
      <c r="I458" s="1">
        <v>45192</v>
      </c>
      <c r="J458">
        <v>11</v>
      </c>
      <c r="K458">
        <v>3</v>
      </c>
      <c r="L458">
        <v>7</v>
      </c>
      <c r="M458">
        <v>266.95</v>
      </c>
      <c r="N458">
        <v>1868.65</v>
      </c>
      <c r="O458">
        <v>0</v>
      </c>
      <c r="P458">
        <v>0</v>
      </c>
      <c r="Q458">
        <v>1868.65</v>
      </c>
      <c r="R458">
        <v>1158.56</v>
      </c>
      <c r="S458">
        <v>710.09</v>
      </c>
    </row>
    <row r="459" spans="1:19" x14ac:dyDescent="0.35">
      <c r="A459">
        <v>100457</v>
      </c>
      <c r="B459">
        <v>1703</v>
      </c>
      <c r="C459" t="s">
        <v>33</v>
      </c>
      <c r="D459" t="s">
        <v>29</v>
      </c>
      <c r="E459" t="s">
        <v>24</v>
      </c>
      <c r="F459" t="s">
        <v>25</v>
      </c>
      <c r="G459" s="1">
        <v>45101</v>
      </c>
      <c r="H459" s="1">
        <v>45103</v>
      </c>
      <c r="I459" s="1">
        <v>45110</v>
      </c>
      <c r="J459">
        <v>9</v>
      </c>
      <c r="K459">
        <v>2</v>
      </c>
      <c r="L459">
        <v>13</v>
      </c>
      <c r="M459">
        <v>792.59</v>
      </c>
      <c r="N459">
        <v>10303.67</v>
      </c>
      <c r="O459">
        <v>0.06</v>
      </c>
      <c r="P459">
        <v>618.22</v>
      </c>
      <c r="Q459">
        <v>9685.4500000000007</v>
      </c>
      <c r="R459">
        <v>6800.42</v>
      </c>
      <c r="S459">
        <v>2885.03</v>
      </c>
    </row>
    <row r="460" spans="1:19" x14ac:dyDescent="0.35">
      <c r="A460">
        <v>100458</v>
      </c>
      <c r="B460">
        <v>1308</v>
      </c>
      <c r="C460" t="s">
        <v>23</v>
      </c>
      <c r="D460" t="s">
        <v>29</v>
      </c>
      <c r="E460" t="s">
        <v>26</v>
      </c>
      <c r="F460" t="s">
        <v>37</v>
      </c>
      <c r="G460" s="1">
        <v>44994</v>
      </c>
      <c r="H460" s="1">
        <v>44997</v>
      </c>
      <c r="I460" s="1">
        <v>45002</v>
      </c>
      <c r="J460">
        <v>8</v>
      </c>
      <c r="K460">
        <v>3</v>
      </c>
      <c r="L460">
        <v>10</v>
      </c>
      <c r="M460">
        <v>476.2</v>
      </c>
      <c r="N460">
        <v>4762</v>
      </c>
      <c r="O460">
        <v>0.06</v>
      </c>
      <c r="P460">
        <v>285.72000000000003</v>
      </c>
      <c r="Q460">
        <v>4476.28</v>
      </c>
      <c r="R460">
        <v>3142.92</v>
      </c>
      <c r="S460">
        <v>1333.36</v>
      </c>
    </row>
    <row r="461" spans="1:19" x14ac:dyDescent="0.35">
      <c r="A461">
        <v>100459</v>
      </c>
      <c r="B461">
        <v>3539</v>
      </c>
      <c r="C461" t="s">
        <v>19</v>
      </c>
      <c r="D461" t="s">
        <v>29</v>
      </c>
      <c r="E461" t="s">
        <v>34</v>
      </c>
      <c r="F461" t="s">
        <v>43</v>
      </c>
      <c r="G461" s="1">
        <v>45167</v>
      </c>
      <c r="H461" s="1">
        <v>45168</v>
      </c>
      <c r="I461" s="1">
        <v>45176</v>
      </c>
      <c r="J461">
        <v>9</v>
      </c>
      <c r="K461">
        <v>1</v>
      </c>
      <c r="L461">
        <v>1</v>
      </c>
      <c r="M461">
        <v>428.08</v>
      </c>
      <c r="N461">
        <v>428.08</v>
      </c>
      <c r="O461">
        <v>0</v>
      </c>
      <c r="P461">
        <v>0</v>
      </c>
      <c r="Q461">
        <v>428.08</v>
      </c>
      <c r="R461">
        <v>291.08999999999997</v>
      </c>
      <c r="S461">
        <v>136.99</v>
      </c>
    </row>
    <row r="462" spans="1:19" x14ac:dyDescent="0.35">
      <c r="A462">
        <v>100460</v>
      </c>
      <c r="B462">
        <v>3420</v>
      </c>
      <c r="C462" t="s">
        <v>28</v>
      </c>
      <c r="D462" t="s">
        <v>29</v>
      </c>
      <c r="E462" t="s">
        <v>34</v>
      </c>
      <c r="F462" t="s">
        <v>45</v>
      </c>
      <c r="G462" s="1">
        <v>45142</v>
      </c>
      <c r="H462" s="1">
        <v>45145</v>
      </c>
      <c r="I462" s="1">
        <v>45156</v>
      </c>
      <c r="J462">
        <v>14</v>
      </c>
      <c r="K462">
        <v>3</v>
      </c>
      <c r="L462">
        <v>14</v>
      </c>
      <c r="M462">
        <v>311.14999999999998</v>
      </c>
      <c r="N462">
        <v>4356.1000000000004</v>
      </c>
      <c r="O462">
        <v>0.1</v>
      </c>
      <c r="P462">
        <v>435.61</v>
      </c>
      <c r="Q462">
        <v>3920.49</v>
      </c>
      <c r="R462">
        <v>2570.1</v>
      </c>
      <c r="S462">
        <v>1350.39</v>
      </c>
    </row>
    <row r="463" spans="1:19" x14ac:dyDescent="0.35">
      <c r="A463">
        <v>100461</v>
      </c>
      <c r="B463">
        <v>1477</v>
      </c>
      <c r="C463" t="s">
        <v>19</v>
      </c>
      <c r="D463" t="s">
        <v>20</v>
      </c>
      <c r="E463" t="s">
        <v>34</v>
      </c>
      <c r="F463" t="s">
        <v>45</v>
      </c>
      <c r="G463" s="1">
        <v>45211</v>
      </c>
      <c r="H463" s="1">
        <v>45214</v>
      </c>
      <c r="I463" s="1">
        <v>45234</v>
      </c>
      <c r="J463">
        <v>23</v>
      </c>
      <c r="K463">
        <v>3</v>
      </c>
      <c r="L463">
        <v>3</v>
      </c>
      <c r="M463">
        <v>607.69000000000005</v>
      </c>
      <c r="N463">
        <v>1823.07</v>
      </c>
      <c r="O463">
        <v>0.12</v>
      </c>
      <c r="P463">
        <v>218.77</v>
      </c>
      <c r="Q463">
        <v>1604.3</v>
      </c>
      <c r="R463">
        <v>1203.23</v>
      </c>
      <c r="S463">
        <v>401.07</v>
      </c>
    </row>
    <row r="464" spans="1:19" x14ac:dyDescent="0.35">
      <c r="A464">
        <v>100462</v>
      </c>
      <c r="B464">
        <v>2893</v>
      </c>
      <c r="C464" t="s">
        <v>23</v>
      </c>
      <c r="D464" t="s">
        <v>31</v>
      </c>
      <c r="E464" t="s">
        <v>21</v>
      </c>
      <c r="F464" t="s">
        <v>41</v>
      </c>
      <c r="G464" s="1">
        <v>45099</v>
      </c>
      <c r="H464" s="1">
        <v>45103</v>
      </c>
      <c r="I464" s="1">
        <v>45122</v>
      </c>
      <c r="J464">
        <v>23</v>
      </c>
      <c r="K464">
        <v>4</v>
      </c>
      <c r="L464">
        <v>2</v>
      </c>
      <c r="M464">
        <v>429.26</v>
      </c>
      <c r="N464">
        <v>858.52</v>
      </c>
      <c r="O464">
        <v>0.18</v>
      </c>
      <c r="P464">
        <v>154.53</v>
      </c>
      <c r="Q464">
        <v>703.99</v>
      </c>
      <c r="R464">
        <v>566.62</v>
      </c>
      <c r="S464">
        <v>137.37</v>
      </c>
    </row>
    <row r="465" spans="1:19" x14ac:dyDescent="0.35">
      <c r="A465">
        <v>100463</v>
      </c>
      <c r="B465">
        <v>4350</v>
      </c>
      <c r="C465" t="s">
        <v>28</v>
      </c>
      <c r="D465" t="s">
        <v>31</v>
      </c>
      <c r="E465" t="s">
        <v>26</v>
      </c>
      <c r="F465" t="s">
        <v>37</v>
      </c>
      <c r="G465" s="1">
        <v>45219</v>
      </c>
      <c r="H465" s="1">
        <v>45223</v>
      </c>
      <c r="I465" s="1">
        <v>45224</v>
      </c>
      <c r="J465">
        <v>5</v>
      </c>
      <c r="K465">
        <v>4</v>
      </c>
      <c r="L465">
        <v>11</v>
      </c>
      <c r="M465">
        <v>696.92</v>
      </c>
      <c r="N465">
        <v>7666.12</v>
      </c>
      <c r="O465">
        <v>0.14000000000000001</v>
      </c>
      <c r="P465">
        <v>1073.26</v>
      </c>
      <c r="Q465">
        <v>6592.86</v>
      </c>
      <c r="R465">
        <v>4599.67</v>
      </c>
      <c r="S465">
        <v>1993.19</v>
      </c>
    </row>
    <row r="466" spans="1:19" x14ac:dyDescent="0.35">
      <c r="A466">
        <v>100464</v>
      </c>
      <c r="B466">
        <v>4649</v>
      </c>
      <c r="C466" t="s">
        <v>28</v>
      </c>
      <c r="D466" t="s">
        <v>31</v>
      </c>
      <c r="E466" t="s">
        <v>21</v>
      </c>
      <c r="F466" t="s">
        <v>22</v>
      </c>
      <c r="G466" s="1">
        <v>44958</v>
      </c>
      <c r="H466" s="1">
        <v>44963</v>
      </c>
      <c r="I466" s="1">
        <v>44986</v>
      </c>
      <c r="J466">
        <v>28</v>
      </c>
      <c r="K466">
        <v>5</v>
      </c>
      <c r="L466">
        <v>2</v>
      </c>
      <c r="M466">
        <v>254.76</v>
      </c>
      <c r="N466">
        <v>509.52</v>
      </c>
      <c r="O466">
        <v>0.14000000000000001</v>
      </c>
      <c r="P466">
        <v>71.33</v>
      </c>
      <c r="Q466">
        <v>438.19</v>
      </c>
      <c r="R466">
        <v>280.24</v>
      </c>
      <c r="S466">
        <v>157.94999999999999</v>
      </c>
    </row>
    <row r="467" spans="1:19" x14ac:dyDescent="0.35">
      <c r="A467">
        <v>100465</v>
      </c>
      <c r="B467">
        <v>4428</v>
      </c>
      <c r="C467" t="s">
        <v>28</v>
      </c>
      <c r="D467" t="s">
        <v>29</v>
      </c>
      <c r="E467" t="s">
        <v>21</v>
      </c>
      <c r="F467" t="s">
        <v>38</v>
      </c>
      <c r="G467" s="1">
        <v>45231</v>
      </c>
      <c r="H467" s="1">
        <v>45232</v>
      </c>
      <c r="I467" s="1">
        <v>45246</v>
      </c>
      <c r="J467">
        <v>15</v>
      </c>
      <c r="K467">
        <v>1</v>
      </c>
      <c r="L467">
        <v>11</v>
      </c>
      <c r="M467">
        <v>341.5</v>
      </c>
      <c r="N467">
        <v>3756.5</v>
      </c>
      <c r="O467">
        <v>0.03</v>
      </c>
      <c r="P467">
        <v>112.7</v>
      </c>
      <c r="Q467">
        <v>3643.8</v>
      </c>
      <c r="R467">
        <v>2216.34</v>
      </c>
      <c r="S467">
        <v>1427.46</v>
      </c>
    </row>
    <row r="468" spans="1:19" x14ac:dyDescent="0.35">
      <c r="A468">
        <v>100466</v>
      </c>
      <c r="B468">
        <v>3281</v>
      </c>
      <c r="C468" t="s">
        <v>23</v>
      </c>
      <c r="D468" t="s">
        <v>20</v>
      </c>
      <c r="E468" t="s">
        <v>34</v>
      </c>
      <c r="F468" t="s">
        <v>45</v>
      </c>
      <c r="G468" s="1">
        <v>44967</v>
      </c>
      <c r="H468" s="1">
        <v>44968</v>
      </c>
      <c r="I468" s="1">
        <v>44972</v>
      </c>
      <c r="J468">
        <v>5</v>
      </c>
      <c r="K468">
        <v>1</v>
      </c>
      <c r="L468">
        <v>9</v>
      </c>
      <c r="M468">
        <v>614.74</v>
      </c>
      <c r="N468">
        <v>5532.66</v>
      </c>
      <c r="O468">
        <v>0.04</v>
      </c>
      <c r="P468">
        <v>221.31</v>
      </c>
      <c r="Q468">
        <v>5311.35</v>
      </c>
      <c r="R468">
        <v>3706.88</v>
      </c>
      <c r="S468">
        <v>1604.47</v>
      </c>
    </row>
    <row r="469" spans="1:19" x14ac:dyDescent="0.35">
      <c r="A469">
        <v>100467</v>
      </c>
      <c r="B469">
        <v>3079</v>
      </c>
      <c r="C469" t="s">
        <v>33</v>
      </c>
      <c r="D469" t="s">
        <v>20</v>
      </c>
      <c r="E469" t="s">
        <v>26</v>
      </c>
      <c r="F469" t="s">
        <v>44</v>
      </c>
      <c r="G469" s="1">
        <v>45049</v>
      </c>
      <c r="H469" s="1">
        <v>45052</v>
      </c>
      <c r="I469" s="1">
        <v>45060</v>
      </c>
      <c r="J469">
        <v>11</v>
      </c>
      <c r="K469">
        <v>3</v>
      </c>
      <c r="L469">
        <v>5</v>
      </c>
      <c r="M469">
        <v>32.74</v>
      </c>
      <c r="N469">
        <v>163.69999999999999</v>
      </c>
      <c r="O469">
        <v>0.09</v>
      </c>
      <c r="P469">
        <v>14.73</v>
      </c>
      <c r="Q469">
        <v>148.97</v>
      </c>
      <c r="R469">
        <v>98.22</v>
      </c>
      <c r="S469">
        <v>50.75</v>
      </c>
    </row>
    <row r="470" spans="1:19" x14ac:dyDescent="0.35">
      <c r="A470">
        <v>100468</v>
      </c>
      <c r="B470">
        <v>1507</v>
      </c>
      <c r="C470" t="s">
        <v>28</v>
      </c>
      <c r="D470" t="s">
        <v>29</v>
      </c>
      <c r="E470" t="s">
        <v>26</v>
      </c>
      <c r="F470" t="s">
        <v>36</v>
      </c>
      <c r="G470" s="1">
        <v>45114</v>
      </c>
      <c r="H470" s="1">
        <v>45115</v>
      </c>
      <c r="I470" s="1">
        <v>45119</v>
      </c>
      <c r="J470">
        <v>5</v>
      </c>
      <c r="K470">
        <v>1</v>
      </c>
      <c r="L470">
        <v>4</v>
      </c>
      <c r="M470">
        <v>539.41</v>
      </c>
      <c r="N470">
        <v>2157.64</v>
      </c>
      <c r="O470">
        <v>0.08</v>
      </c>
      <c r="P470">
        <v>172.61</v>
      </c>
      <c r="Q470">
        <v>1985.03</v>
      </c>
      <c r="R470">
        <v>1488.77</v>
      </c>
      <c r="S470">
        <v>496.26</v>
      </c>
    </row>
    <row r="471" spans="1:19" x14ac:dyDescent="0.35">
      <c r="A471">
        <v>100469</v>
      </c>
      <c r="B471">
        <v>1646</v>
      </c>
      <c r="C471" t="s">
        <v>19</v>
      </c>
      <c r="D471" t="s">
        <v>29</v>
      </c>
      <c r="E471" t="s">
        <v>26</v>
      </c>
      <c r="F471" t="s">
        <v>44</v>
      </c>
      <c r="G471" s="1">
        <v>45182</v>
      </c>
      <c r="H471" s="1">
        <v>45183</v>
      </c>
      <c r="I471" s="1">
        <v>45194</v>
      </c>
      <c r="J471">
        <v>12</v>
      </c>
      <c r="K471">
        <v>1</v>
      </c>
      <c r="L471">
        <v>8</v>
      </c>
      <c r="M471">
        <v>306.85000000000002</v>
      </c>
      <c r="N471">
        <v>2454.8000000000002</v>
      </c>
      <c r="O471">
        <v>0.11</v>
      </c>
      <c r="P471">
        <v>270.02999999999997</v>
      </c>
      <c r="Q471">
        <v>2184.77</v>
      </c>
      <c r="R471">
        <v>1399.24</v>
      </c>
      <c r="S471">
        <v>785.53</v>
      </c>
    </row>
    <row r="472" spans="1:19" x14ac:dyDescent="0.35">
      <c r="A472">
        <v>100470</v>
      </c>
      <c r="B472">
        <v>2780</v>
      </c>
      <c r="C472" t="s">
        <v>19</v>
      </c>
      <c r="D472" t="s">
        <v>20</v>
      </c>
      <c r="E472" t="s">
        <v>34</v>
      </c>
      <c r="F472" t="s">
        <v>45</v>
      </c>
      <c r="G472" s="1">
        <v>45247</v>
      </c>
      <c r="H472" s="1">
        <v>45250</v>
      </c>
      <c r="I472" s="1">
        <v>45253</v>
      </c>
      <c r="J472">
        <v>6</v>
      </c>
      <c r="K472">
        <v>3</v>
      </c>
      <c r="L472">
        <v>10</v>
      </c>
      <c r="M472">
        <v>236.75</v>
      </c>
      <c r="N472">
        <v>2367.5</v>
      </c>
      <c r="O472">
        <v>0.1</v>
      </c>
      <c r="P472">
        <v>236.75</v>
      </c>
      <c r="Q472">
        <v>2130.75</v>
      </c>
      <c r="R472">
        <v>1396.82</v>
      </c>
      <c r="S472">
        <v>733.93</v>
      </c>
    </row>
    <row r="473" spans="1:19" x14ac:dyDescent="0.35">
      <c r="A473">
        <v>100471</v>
      </c>
      <c r="B473">
        <v>2947</v>
      </c>
      <c r="C473" t="s">
        <v>28</v>
      </c>
      <c r="D473" t="s">
        <v>29</v>
      </c>
      <c r="E473" t="s">
        <v>26</v>
      </c>
      <c r="F473" t="s">
        <v>27</v>
      </c>
      <c r="G473" s="1">
        <v>44955</v>
      </c>
      <c r="H473" s="1">
        <v>44960</v>
      </c>
      <c r="I473" s="1">
        <v>44970</v>
      </c>
      <c r="J473">
        <v>15</v>
      </c>
      <c r="K473">
        <v>5</v>
      </c>
      <c r="L473">
        <v>12</v>
      </c>
      <c r="M473">
        <v>558.41</v>
      </c>
      <c r="N473">
        <v>6700.92</v>
      </c>
      <c r="O473">
        <v>0.03</v>
      </c>
      <c r="P473">
        <v>201.03</v>
      </c>
      <c r="Q473">
        <v>6499.89</v>
      </c>
      <c r="R473">
        <v>4556.63</v>
      </c>
      <c r="S473">
        <v>1943.26</v>
      </c>
    </row>
    <row r="474" spans="1:19" x14ac:dyDescent="0.35">
      <c r="A474">
        <v>100472</v>
      </c>
      <c r="B474">
        <v>4297</v>
      </c>
      <c r="C474" t="s">
        <v>28</v>
      </c>
      <c r="D474" t="s">
        <v>31</v>
      </c>
      <c r="E474" t="s">
        <v>34</v>
      </c>
      <c r="F474" t="s">
        <v>45</v>
      </c>
      <c r="G474" s="1">
        <v>44934</v>
      </c>
      <c r="H474" s="1">
        <v>44937</v>
      </c>
      <c r="I474" s="1">
        <v>44939</v>
      </c>
      <c r="J474">
        <v>5</v>
      </c>
      <c r="K474">
        <v>3</v>
      </c>
      <c r="L474">
        <v>10</v>
      </c>
      <c r="M474">
        <v>493.75</v>
      </c>
      <c r="N474">
        <v>4937.5</v>
      </c>
      <c r="O474">
        <v>0.08</v>
      </c>
      <c r="P474">
        <v>395</v>
      </c>
      <c r="Q474">
        <v>4542.5</v>
      </c>
      <c r="R474">
        <v>2616.88</v>
      </c>
      <c r="S474">
        <v>1925.62</v>
      </c>
    </row>
    <row r="475" spans="1:19" x14ac:dyDescent="0.35">
      <c r="A475">
        <v>100473</v>
      </c>
      <c r="B475">
        <v>4212</v>
      </c>
      <c r="C475" t="s">
        <v>23</v>
      </c>
      <c r="D475" t="s">
        <v>20</v>
      </c>
      <c r="E475" t="s">
        <v>21</v>
      </c>
      <c r="F475" t="s">
        <v>38</v>
      </c>
      <c r="G475" s="1">
        <v>44970</v>
      </c>
      <c r="H475" s="1">
        <v>44974</v>
      </c>
      <c r="I475" s="1">
        <v>44976</v>
      </c>
      <c r="J475">
        <v>6</v>
      </c>
      <c r="K475">
        <v>4</v>
      </c>
      <c r="L475">
        <v>11</v>
      </c>
      <c r="M475">
        <v>689.83</v>
      </c>
      <c r="N475">
        <v>7588.13</v>
      </c>
      <c r="O475">
        <v>0.08</v>
      </c>
      <c r="P475">
        <v>607.04999999999995</v>
      </c>
      <c r="Q475">
        <v>6981.08</v>
      </c>
      <c r="R475">
        <v>4856.3999999999996</v>
      </c>
      <c r="S475">
        <v>2124.6799999999998</v>
      </c>
    </row>
    <row r="476" spans="1:19" x14ac:dyDescent="0.35">
      <c r="A476">
        <v>100474</v>
      </c>
      <c r="B476">
        <v>2908</v>
      </c>
      <c r="C476" t="s">
        <v>33</v>
      </c>
      <c r="D476" t="s">
        <v>29</v>
      </c>
      <c r="E476" t="s">
        <v>34</v>
      </c>
      <c r="F476" t="s">
        <v>43</v>
      </c>
      <c r="G476" s="1">
        <v>45273</v>
      </c>
      <c r="H476" s="1">
        <v>45277</v>
      </c>
      <c r="I476" s="1">
        <v>45301</v>
      </c>
      <c r="J476">
        <v>28</v>
      </c>
      <c r="K476">
        <v>4</v>
      </c>
      <c r="L476">
        <v>7</v>
      </c>
      <c r="M476">
        <v>254.85</v>
      </c>
      <c r="N476">
        <v>1783.95</v>
      </c>
      <c r="O476">
        <v>0.01</v>
      </c>
      <c r="P476">
        <v>17.84</v>
      </c>
      <c r="Q476">
        <v>1766.11</v>
      </c>
      <c r="R476">
        <v>1106.05</v>
      </c>
      <c r="S476">
        <v>660.06</v>
      </c>
    </row>
    <row r="477" spans="1:19" x14ac:dyDescent="0.35">
      <c r="A477">
        <v>100475</v>
      </c>
      <c r="B477">
        <v>3218</v>
      </c>
      <c r="C477" t="s">
        <v>33</v>
      </c>
      <c r="D477" t="s">
        <v>20</v>
      </c>
      <c r="E477" t="s">
        <v>24</v>
      </c>
      <c r="F477" t="s">
        <v>42</v>
      </c>
      <c r="G477" s="1">
        <v>45060</v>
      </c>
      <c r="H477" s="1">
        <v>45063</v>
      </c>
      <c r="I477" s="1">
        <v>45084</v>
      </c>
      <c r="J477">
        <v>24</v>
      </c>
      <c r="K477">
        <v>3</v>
      </c>
      <c r="L477">
        <v>1</v>
      </c>
      <c r="M477">
        <v>329.38</v>
      </c>
      <c r="N477">
        <v>329.38</v>
      </c>
      <c r="O477">
        <v>0.11</v>
      </c>
      <c r="P477">
        <v>36.229999999999997</v>
      </c>
      <c r="Q477">
        <v>293.14999999999998</v>
      </c>
      <c r="R477">
        <v>167.98</v>
      </c>
      <c r="S477">
        <v>125.17</v>
      </c>
    </row>
    <row r="478" spans="1:19" x14ac:dyDescent="0.35">
      <c r="A478">
        <v>100476</v>
      </c>
      <c r="B478">
        <v>3337</v>
      </c>
      <c r="C478" t="s">
        <v>19</v>
      </c>
      <c r="D478" t="s">
        <v>20</v>
      </c>
      <c r="E478" t="s">
        <v>21</v>
      </c>
      <c r="F478" t="s">
        <v>41</v>
      </c>
      <c r="G478" s="1">
        <v>45259</v>
      </c>
      <c r="H478" s="1">
        <v>45261</v>
      </c>
      <c r="I478" s="1">
        <v>45273</v>
      </c>
      <c r="J478">
        <v>14</v>
      </c>
      <c r="K478">
        <v>2</v>
      </c>
      <c r="L478">
        <v>12</v>
      </c>
      <c r="M478">
        <v>782.71</v>
      </c>
      <c r="N478">
        <v>9392.52</v>
      </c>
      <c r="O478">
        <v>0.17</v>
      </c>
      <c r="P478">
        <v>1596.73</v>
      </c>
      <c r="Q478">
        <v>7795.79</v>
      </c>
      <c r="R478">
        <v>5541.59</v>
      </c>
      <c r="S478">
        <v>2254.1999999999998</v>
      </c>
    </row>
    <row r="479" spans="1:19" x14ac:dyDescent="0.35">
      <c r="A479">
        <v>100477</v>
      </c>
      <c r="B479">
        <v>4622</v>
      </c>
      <c r="C479" t="s">
        <v>33</v>
      </c>
      <c r="D479" t="s">
        <v>29</v>
      </c>
      <c r="E479" t="s">
        <v>26</v>
      </c>
      <c r="F479" t="s">
        <v>36</v>
      </c>
      <c r="G479" s="1">
        <v>45248</v>
      </c>
      <c r="H479" s="1">
        <v>45250</v>
      </c>
      <c r="I479" s="1">
        <v>45260</v>
      </c>
      <c r="J479">
        <v>12</v>
      </c>
      <c r="K479">
        <v>2</v>
      </c>
      <c r="L479">
        <v>6</v>
      </c>
      <c r="M479">
        <v>98.21</v>
      </c>
      <c r="N479">
        <v>589.26</v>
      </c>
      <c r="O479">
        <v>0.02</v>
      </c>
      <c r="P479">
        <v>11.79</v>
      </c>
      <c r="Q479">
        <v>577.47</v>
      </c>
      <c r="R479">
        <v>347.66</v>
      </c>
      <c r="S479">
        <v>229.81</v>
      </c>
    </row>
    <row r="480" spans="1:19" x14ac:dyDescent="0.35">
      <c r="A480">
        <v>100478</v>
      </c>
      <c r="B480">
        <v>1570</v>
      </c>
      <c r="C480" t="s">
        <v>28</v>
      </c>
      <c r="D480" t="s">
        <v>29</v>
      </c>
      <c r="E480" t="s">
        <v>21</v>
      </c>
      <c r="F480" t="s">
        <v>41</v>
      </c>
      <c r="G480" s="1">
        <v>45140</v>
      </c>
      <c r="H480" s="1">
        <v>45144</v>
      </c>
      <c r="I480" s="1">
        <v>45143</v>
      </c>
      <c r="J480">
        <v>3</v>
      </c>
      <c r="K480">
        <v>4</v>
      </c>
      <c r="L480">
        <v>8</v>
      </c>
      <c r="M480">
        <v>308.76</v>
      </c>
      <c r="N480">
        <v>2470.08</v>
      </c>
      <c r="O480">
        <v>0.08</v>
      </c>
      <c r="P480">
        <v>197.61</v>
      </c>
      <c r="Q480">
        <v>2272.4699999999998</v>
      </c>
      <c r="R480">
        <v>1630.25</v>
      </c>
      <c r="S480">
        <v>642.22</v>
      </c>
    </row>
    <row r="481" spans="1:19" x14ac:dyDescent="0.35">
      <c r="A481">
        <v>100479</v>
      </c>
      <c r="B481">
        <v>2769</v>
      </c>
      <c r="C481" t="s">
        <v>19</v>
      </c>
      <c r="D481" t="s">
        <v>29</v>
      </c>
      <c r="E481" t="s">
        <v>26</v>
      </c>
      <c r="F481" t="s">
        <v>37</v>
      </c>
      <c r="G481" s="1">
        <v>45016</v>
      </c>
      <c r="H481" s="1">
        <v>45021</v>
      </c>
      <c r="I481" s="1">
        <v>45033</v>
      </c>
      <c r="J481">
        <v>17</v>
      </c>
      <c r="K481">
        <v>5</v>
      </c>
      <c r="L481">
        <v>7</v>
      </c>
      <c r="M481">
        <v>259.13</v>
      </c>
      <c r="N481">
        <v>1813.91</v>
      </c>
      <c r="O481">
        <v>0.05</v>
      </c>
      <c r="P481">
        <v>90.7</v>
      </c>
      <c r="Q481">
        <v>1723.21</v>
      </c>
      <c r="R481">
        <v>1052.07</v>
      </c>
      <c r="S481">
        <v>671.14</v>
      </c>
    </row>
    <row r="482" spans="1:19" x14ac:dyDescent="0.35">
      <c r="A482">
        <v>100480</v>
      </c>
      <c r="B482">
        <v>3418</v>
      </c>
      <c r="C482" t="s">
        <v>23</v>
      </c>
      <c r="D482" t="s">
        <v>20</v>
      </c>
      <c r="E482" t="s">
        <v>21</v>
      </c>
      <c r="F482" t="s">
        <v>22</v>
      </c>
      <c r="G482" s="1">
        <v>45107</v>
      </c>
      <c r="H482" s="1">
        <v>45112</v>
      </c>
      <c r="I482" s="1">
        <v>45131</v>
      </c>
      <c r="J482">
        <v>24</v>
      </c>
      <c r="K482">
        <v>5</v>
      </c>
      <c r="L482">
        <v>9</v>
      </c>
      <c r="M482">
        <v>304.25</v>
      </c>
      <c r="N482">
        <v>2738.25</v>
      </c>
      <c r="O482">
        <v>0.15</v>
      </c>
      <c r="P482">
        <v>410.74</v>
      </c>
      <c r="Q482">
        <v>2327.5100000000002</v>
      </c>
      <c r="R482">
        <v>1670.33</v>
      </c>
      <c r="S482">
        <v>657.18</v>
      </c>
    </row>
    <row r="483" spans="1:19" x14ac:dyDescent="0.35">
      <c r="A483">
        <v>100481</v>
      </c>
      <c r="B483">
        <v>1754</v>
      </c>
      <c r="C483" t="s">
        <v>28</v>
      </c>
      <c r="D483" t="s">
        <v>20</v>
      </c>
      <c r="E483" t="s">
        <v>21</v>
      </c>
      <c r="F483" t="s">
        <v>39</v>
      </c>
      <c r="G483" s="1">
        <v>45016</v>
      </c>
      <c r="H483" s="1">
        <v>45017</v>
      </c>
      <c r="I483" s="1">
        <v>45041</v>
      </c>
      <c r="J483">
        <v>25</v>
      </c>
      <c r="K483">
        <v>1</v>
      </c>
      <c r="L483">
        <v>8</v>
      </c>
      <c r="M483">
        <v>438.74</v>
      </c>
      <c r="N483">
        <v>3509.92</v>
      </c>
      <c r="O483">
        <v>7.0000000000000007E-2</v>
      </c>
      <c r="P483">
        <v>245.69</v>
      </c>
      <c r="Q483">
        <v>3264.23</v>
      </c>
      <c r="R483">
        <v>2281.4499999999998</v>
      </c>
      <c r="S483">
        <v>982.78</v>
      </c>
    </row>
    <row r="484" spans="1:19" x14ac:dyDescent="0.35">
      <c r="A484">
        <v>100482</v>
      </c>
      <c r="B484">
        <v>1983</v>
      </c>
      <c r="C484" t="s">
        <v>33</v>
      </c>
      <c r="D484" t="s">
        <v>31</v>
      </c>
      <c r="E484" t="s">
        <v>21</v>
      </c>
      <c r="F484" t="s">
        <v>39</v>
      </c>
      <c r="G484" s="1">
        <v>44948</v>
      </c>
      <c r="H484" s="1">
        <v>44950</v>
      </c>
      <c r="I484" s="1">
        <v>44970</v>
      </c>
      <c r="J484">
        <v>22</v>
      </c>
      <c r="K484">
        <v>2</v>
      </c>
      <c r="L484">
        <v>3</v>
      </c>
      <c r="M484">
        <v>371.81</v>
      </c>
      <c r="N484">
        <v>1115.43</v>
      </c>
      <c r="O484">
        <v>0.01</v>
      </c>
      <c r="P484">
        <v>11.15</v>
      </c>
      <c r="Q484">
        <v>1104.28</v>
      </c>
      <c r="R484">
        <v>535.41</v>
      </c>
      <c r="S484">
        <v>568.87</v>
      </c>
    </row>
    <row r="485" spans="1:19" x14ac:dyDescent="0.35">
      <c r="A485">
        <v>100483</v>
      </c>
      <c r="B485">
        <v>4938</v>
      </c>
      <c r="C485" t="s">
        <v>23</v>
      </c>
      <c r="D485" t="s">
        <v>20</v>
      </c>
      <c r="E485" t="s">
        <v>26</v>
      </c>
      <c r="F485" t="s">
        <v>27</v>
      </c>
      <c r="G485" s="1">
        <v>45029</v>
      </c>
      <c r="H485" s="1">
        <v>45031</v>
      </c>
      <c r="I485" s="1">
        <v>45059</v>
      </c>
      <c r="J485">
        <v>30</v>
      </c>
      <c r="K485">
        <v>2</v>
      </c>
      <c r="L485">
        <v>1</v>
      </c>
      <c r="M485">
        <v>684.93</v>
      </c>
      <c r="N485">
        <v>684.93</v>
      </c>
      <c r="O485">
        <v>0.15</v>
      </c>
      <c r="P485">
        <v>102.74</v>
      </c>
      <c r="Q485">
        <v>582.19000000000005</v>
      </c>
      <c r="R485">
        <v>465.75</v>
      </c>
      <c r="S485">
        <v>116.44</v>
      </c>
    </row>
    <row r="486" spans="1:19" x14ac:dyDescent="0.35">
      <c r="A486">
        <v>100484</v>
      </c>
      <c r="B486">
        <v>4788</v>
      </c>
      <c r="C486" t="s">
        <v>23</v>
      </c>
      <c r="D486" t="s">
        <v>29</v>
      </c>
      <c r="E486" t="s">
        <v>34</v>
      </c>
      <c r="F486" t="s">
        <v>35</v>
      </c>
      <c r="G486" s="1">
        <v>45034</v>
      </c>
      <c r="H486" s="1">
        <v>45037</v>
      </c>
      <c r="I486" s="1">
        <v>45057</v>
      </c>
      <c r="J486">
        <v>23</v>
      </c>
      <c r="K486">
        <v>3</v>
      </c>
      <c r="L486">
        <v>10</v>
      </c>
      <c r="M486">
        <v>599.29999999999995</v>
      </c>
      <c r="N486">
        <v>5993</v>
      </c>
      <c r="O486">
        <v>0.05</v>
      </c>
      <c r="P486">
        <v>299.64999999999998</v>
      </c>
      <c r="Q486">
        <v>5693.35</v>
      </c>
      <c r="R486">
        <v>3296.15</v>
      </c>
      <c r="S486">
        <v>2397.1999999999998</v>
      </c>
    </row>
    <row r="487" spans="1:19" x14ac:dyDescent="0.35">
      <c r="A487">
        <v>100485</v>
      </c>
      <c r="B487">
        <v>4730</v>
      </c>
      <c r="C487" t="s">
        <v>23</v>
      </c>
      <c r="D487" t="s">
        <v>31</v>
      </c>
      <c r="E487" t="s">
        <v>34</v>
      </c>
      <c r="F487" t="s">
        <v>40</v>
      </c>
      <c r="G487" s="1">
        <v>45092</v>
      </c>
      <c r="H487" s="1">
        <v>45094</v>
      </c>
      <c r="I487" s="1">
        <v>45118</v>
      </c>
      <c r="J487">
        <v>26</v>
      </c>
      <c r="K487">
        <v>2</v>
      </c>
      <c r="L487">
        <v>1</v>
      </c>
      <c r="M487">
        <v>293.39999999999998</v>
      </c>
      <c r="N487">
        <v>293.39999999999998</v>
      </c>
      <c r="O487">
        <v>0.04</v>
      </c>
      <c r="P487">
        <v>11.74</v>
      </c>
      <c r="Q487">
        <v>281.66000000000003</v>
      </c>
      <c r="R487">
        <v>184.84</v>
      </c>
      <c r="S487">
        <v>96.82</v>
      </c>
    </row>
    <row r="488" spans="1:19" x14ac:dyDescent="0.35">
      <c r="A488">
        <v>100486</v>
      </c>
      <c r="B488">
        <v>4261</v>
      </c>
      <c r="C488" t="s">
        <v>19</v>
      </c>
      <c r="D488" t="s">
        <v>31</v>
      </c>
      <c r="E488" t="s">
        <v>34</v>
      </c>
      <c r="F488" t="s">
        <v>40</v>
      </c>
      <c r="G488" s="1">
        <v>45208</v>
      </c>
      <c r="H488" s="1">
        <v>45209</v>
      </c>
      <c r="I488" s="1">
        <v>45232</v>
      </c>
      <c r="J488">
        <v>24</v>
      </c>
      <c r="K488">
        <v>1</v>
      </c>
      <c r="L488">
        <v>11</v>
      </c>
      <c r="M488">
        <v>487.67</v>
      </c>
      <c r="N488">
        <v>5364.37</v>
      </c>
      <c r="O488">
        <v>0.12</v>
      </c>
      <c r="P488">
        <v>643.72</v>
      </c>
      <c r="Q488">
        <v>4720.6499999999996</v>
      </c>
      <c r="R488">
        <v>3218.62</v>
      </c>
      <c r="S488">
        <v>1502.03</v>
      </c>
    </row>
    <row r="489" spans="1:19" x14ac:dyDescent="0.35">
      <c r="A489">
        <v>100487</v>
      </c>
      <c r="B489">
        <v>3553</v>
      </c>
      <c r="C489" t="s">
        <v>19</v>
      </c>
      <c r="D489" t="s">
        <v>20</v>
      </c>
      <c r="E489" t="s">
        <v>26</v>
      </c>
      <c r="F489" t="s">
        <v>44</v>
      </c>
      <c r="G489" s="1">
        <v>44995</v>
      </c>
      <c r="H489" s="1">
        <v>44997</v>
      </c>
      <c r="I489" s="1">
        <v>45017</v>
      </c>
      <c r="J489">
        <v>22</v>
      </c>
      <c r="K489">
        <v>2</v>
      </c>
      <c r="L489">
        <v>13</v>
      </c>
      <c r="M489">
        <v>237.47</v>
      </c>
      <c r="N489">
        <v>3087.11</v>
      </c>
      <c r="O489">
        <v>0.08</v>
      </c>
      <c r="P489">
        <v>246.97</v>
      </c>
      <c r="Q489">
        <v>2840.14</v>
      </c>
      <c r="R489">
        <v>1883.14</v>
      </c>
      <c r="S489">
        <v>957</v>
      </c>
    </row>
    <row r="490" spans="1:19" x14ac:dyDescent="0.35">
      <c r="A490">
        <v>100488</v>
      </c>
      <c r="B490">
        <v>4013</v>
      </c>
      <c r="C490" t="s">
        <v>33</v>
      </c>
      <c r="D490" t="s">
        <v>29</v>
      </c>
      <c r="E490" t="s">
        <v>26</v>
      </c>
      <c r="F490" t="s">
        <v>27</v>
      </c>
      <c r="G490" s="1">
        <v>45077</v>
      </c>
      <c r="H490" s="1">
        <v>45081</v>
      </c>
      <c r="I490" s="1">
        <v>45083</v>
      </c>
      <c r="J490">
        <v>6</v>
      </c>
      <c r="K490">
        <v>4</v>
      </c>
      <c r="L490">
        <v>9</v>
      </c>
      <c r="M490">
        <v>280.66000000000003</v>
      </c>
      <c r="N490">
        <v>2525.94</v>
      </c>
      <c r="O490">
        <v>0.09</v>
      </c>
      <c r="P490">
        <v>227.33</v>
      </c>
      <c r="Q490">
        <v>2298.61</v>
      </c>
      <c r="R490">
        <v>1692.38</v>
      </c>
      <c r="S490">
        <v>606.23</v>
      </c>
    </row>
    <row r="491" spans="1:19" x14ac:dyDescent="0.35">
      <c r="A491">
        <v>100489</v>
      </c>
      <c r="B491">
        <v>3978</v>
      </c>
      <c r="C491" t="s">
        <v>28</v>
      </c>
      <c r="D491" t="s">
        <v>29</v>
      </c>
      <c r="E491" t="s">
        <v>21</v>
      </c>
      <c r="F491" t="s">
        <v>41</v>
      </c>
      <c r="G491" s="1">
        <v>44959</v>
      </c>
      <c r="H491" s="1">
        <v>44964</v>
      </c>
      <c r="I491" s="1">
        <v>44964</v>
      </c>
      <c r="J491">
        <v>5</v>
      </c>
      <c r="K491">
        <v>5</v>
      </c>
      <c r="L491">
        <v>8</v>
      </c>
      <c r="M491">
        <v>775.9</v>
      </c>
      <c r="N491">
        <v>6207.2</v>
      </c>
      <c r="O491">
        <v>0</v>
      </c>
      <c r="P491">
        <v>0</v>
      </c>
      <c r="Q491">
        <v>6207.2</v>
      </c>
      <c r="R491">
        <v>3538.1</v>
      </c>
      <c r="S491">
        <v>2669.1</v>
      </c>
    </row>
    <row r="492" spans="1:19" x14ac:dyDescent="0.35">
      <c r="A492">
        <v>100490</v>
      </c>
      <c r="B492">
        <v>1590</v>
      </c>
      <c r="C492" t="s">
        <v>33</v>
      </c>
      <c r="D492" t="s">
        <v>31</v>
      </c>
      <c r="E492" t="s">
        <v>21</v>
      </c>
      <c r="F492" t="s">
        <v>38</v>
      </c>
      <c r="G492" s="1">
        <v>45246</v>
      </c>
      <c r="H492" s="1">
        <v>45251</v>
      </c>
      <c r="I492" s="1">
        <v>45258</v>
      </c>
      <c r="J492">
        <v>12</v>
      </c>
      <c r="K492">
        <v>5</v>
      </c>
      <c r="L492">
        <v>13</v>
      </c>
      <c r="M492">
        <v>271.58</v>
      </c>
      <c r="N492">
        <v>3530.54</v>
      </c>
      <c r="O492">
        <v>7.0000000000000007E-2</v>
      </c>
      <c r="P492">
        <v>247.14</v>
      </c>
      <c r="Q492">
        <v>3283.4</v>
      </c>
      <c r="R492">
        <v>2083.02</v>
      </c>
      <c r="S492">
        <v>1200.3800000000001</v>
      </c>
    </row>
    <row r="493" spans="1:19" x14ac:dyDescent="0.35">
      <c r="A493">
        <v>100491</v>
      </c>
      <c r="B493">
        <v>3168</v>
      </c>
      <c r="C493" t="s">
        <v>23</v>
      </c>
      <c r="D493" t="s">
        <v>29</v>
      </c>
      <c r="E493" t="s">
        <v>24</v>
      </c>
      <c r="F493" t="s">
        <v>30</v>
      </c>
      <c r="G493" s="1">
        <v>45153</v>
      </c>
      <c r="H493" s="1">
        <v>45157</v>
      </c>
      <c r="I493" s="1">
        <v>45166</v>
      </c>
      <c r="J493">
        <v>13</v>
      </c>
      <c r="K493">
        <v>4</v>
      </c>
      <c r="L493">
        <v>13</v>
      </c>
      <c r="M493">
        <v>187.15</v>
      </c>
      <c r="N493">
        <v>2432.9499999999998</v>
      </c>
      <c r="O493">
        <v>0.04</v>
      </c>
      <c r="P493">
        <v>97.32</v>
      </c>
      <c r="Q493">
        <v>2335.63</v>
      </c>
      <c r="R493">
        <v>1532.76</v>
      </c>
      <c r="S493">
        <v>802.87</v>
      </c>
    </row>
    <row r="494" spans="1:19" x14ac:dyDescent="0.35">
      <c r="A494">
        <v>100492</v>
      </c>
      <c r="B494">
        <v>2009</v>
      </c>
      <c r="C494" t="s">
        <v>28</v>
      </c>
      <c r="D494" t="s">
        <v>29</v>
      </c>
      <c r="E494" t="s">
        <v>24</v>
      </c>
      <c r="F494" t="s">
        <v>32</v>
      </c>
      <c r="G494" s="1">
        <v>44937</v>
      </c>
      <c r="H494" s="1">
        <v>44941</v>
      </c>
      <c r="I494" s="1">
        <v>44940</v>
      </c>
      <c r="J494">
        <v>3</v>
      </c>
      <c r="K494">
        <v>4</v>
      </c>
      <c r="L494">
        <v>11</v>
      </c>
      <c r="M494">
        <v>5.38</v>
      </c>
      <c r="N494">
        <v>59.18</v>
      </c>
      <c r="O494">
        <v>0.09</v>
      </c>
      <c r="P494">
        <v>5.33</v>
      </c>
      <c r="Q494">
        <v>53.85</v>
      </c>
      <c r="R494">
        <v>34.92</v>
      </c>
      <c r="S494">
        <v>18.93</v>
      </c>
    </row>
    <row r="495" spans="1:19" x14ac:dyDescent="0.35">
      <c r="A495">
        <v>100493</v>
      </c>
      <c r="B495">
        <v>3505</v>
      </c>
      <c r="C495" t="s">
        <v>23</v>
      </c>
      <c r="D495" t="s">
        <v>20</v>
      </c>
      <c r="E495" t="s">
        <v>26</v>
      </c>
      <c r="F495" t="s">
        <v>27</v>
      </c>
      <c r="G495" s="1">
        <v>45260</v>
      </c>
      <c r="H495" s="1">
        <v>45265</v>
      </c>
      <c r="I495" s="1">
        <v>45280</v>
      </c>
      <c r="J495">
        <v>20</v>
      </c>
      <c r="K495">
        <v>5</v>
      </c>
      <c r="L495">
        <v>4</v>
      </c>
      <c r="M495">
        <v>395.82</v>
      </c>
      <c r="N495">
        <v>1583.28</v>
      </c>
      <c r="O495">
        <v>0.18</v>
      </c>
      <c r="P495">
        <v>284.99</v>
      </c>
      <c r="Q495">
        <v>1298.29</v>
      </c>
      <c r="R495">
        <v>1044.96</v>
      </c>
      <c r="S495">
        <v>253.33</v>
      </c>
    </row>
    <row r="496" spans="1:19" x14ac:dyDescent="0.35">
      <c r="A496">
        <v>100494</v>
      </c>
      <c r="B496">
        <v>4830</v>
      </c>
      <c r="C496" t="s">
        <v>19</v>
      </c>
      <c r="D496" t="s">
        <v>20</v>
      </c>
      <c r="E496" t="s">
        <v>26</v>
      </c>
      <c r="F496" t="s">
        <v>27</v>
      </c>
      <c r="G496" s="1">
        <v>45090</v>
      </c>
      <c r="H496" s="1">
        <v>45091</v>
      </c>
      <c r="I496" s="1">
        <v>45103</v>
      </c>
      <c r="J496">
        <v>13</v>
      </c>
      <c r="K496">
        <v>1</v>
      </c>
      <c r="L496">
        <v>12</v>
      </c>
      <c r="M496">
        <v>250.41</v>
      </c>
      <c r="N496">
        <v>3004.92</v>
      </c>
      <c r="O496">
        <v>7.0000000000000007E-2</v>
      </c>
      <c r="P496">
        <v>210.34</v>
      </c>
      <c r="Q496">
        <v>2794.58</v>
      </c>
      <c r="R496">
        <v>1802.95</v>
      </c>
      <c r="S496">
        <v>991.63</v>
      </c>
    </row>
    <row r="497" spans="1:19" x14ac:dyDescent="0.35">
      <c r="A497">
        <v>100495</v>
      </c>
      <c r="B497">
        <v>3574</v>
      </c>
      <c r="C497" t="s">
        <v>28</v>
      </c>
      <c r="D497" t="s">
        <v>29</v>
      </c>
      <c r="E497" t="s">
        <v>21</v>
      </c>
      <c r="F497" t="s">
        <v>41</v>
      </c>
      <c r="G497" s="1">
        <v>44965</v>
      </c>
      <c r="H497" s="1">
        <v>44967</v>
      </c>
      <c r="I497" s="1">
        <v>44971</v>
      </c>
      <c r="J497">
        <v>6</v>
      </c>
      <c r="K497">
        <v>2</v>
      </c>
      <c r="L497">
        <v>6</v>
      </c>
      <c r="M497">
        <v>319.42</v>
      </c>
      <c r="N497">
        <v>1916.52</v>
      </c>
      <c r="O497">
        <v>0.1</v>
      </c>
      <c r="P497">
        <v>191.65</v>
      </c>
      <c r="Q497">
        <v>1724.87</v>
      </c>
      <c r="R497">
        <v>1130.75</v>
      </c>
      <c r="S497">
        <v>594.12</v>
      </c>
    </row>
    <row r="498" spans="1:19" x14ac:dyDescent="0.35">
      <c r="A498">
        <v>100496</v>
      </c>
      <c r="B498">
        <v>4434</v>
      </c>
      <c r="C498" t="s">
        <v>19</v>
      </c>
      <c r="D498" t="s">
        <v>20</v>
      </c>
      <c r="E498" t="s">
        <v>34</v>
      </c>
      <c r="F498" t="s">
        <v>45</v>
      </c>
      <c r="G498" s="1">
        <v>45286</v>
      </c>
      <c r="H498" s="1">
        <v>45290</v>
      </c>
      <c r="I498" s="1">
        <v>45315</v>
      </c>
      <c r="J498">
        <v>29</v>
      </c>
      <c r="K498">
        <v>4</v>
      </c>
      <c r="L498">
        <v>7</v>
      </c>
      <c r="M498">
        <v>660.29</v>
      </c>
      <c r="N498">
        <v>4622.03</v>
      </c>
      <c r="O498">
        <v>0.03</v>
      </c>
      <c r="P498">
        <v>138.66</v>
      </c>
      <c r="Q498">
        <v>4483.37</v>
      </c>
      <c r="R498">
        <v>2911.88</v>
      </c>
      <c r="S498">
        <v>1571.49</v>
      </c>
    </row>
    <row r="499" spans="1:19" x14ac:dyDescent="0.35">
      <c r="A499">
        <v>100497</v>
      </c>
      <c r="B499">
        <v>4359</v>
      </c>
      <c r="C499" t="s">
        <v>23</v>
      </c>
      <c r="D499" t="s">
        <v>31</v>
      </c>
      <c r="E499" t="s">
        <v>34</v>
      </c>
      <c r="F499" t="s">
        <v>45</v>
      </c>
      <c r="G499" s="1">
        <v>45039</v>
      </c>
      <c r="H499" s="1">
        <v>45042</v>
      </c>
      <c r="I499" s="1">
        <v>45062</v>
      </c>
      <c r="J499">
        <v>23</v>
      </c>
      <c r="K499">
        <v>3</v>
      </c>
      <c r="L499">
        <v>13</v>
      </c>
      <c r="M499">
        <v>47.85</v>
      </c>
      <c r="N499">
        <v>622.04999999999995</v>
      </c>
      <c r="O499">
        <v>0.11</v>
      </c>
      <c r="P499">
        <v>68.430000000000007</v>
      </c>
      <c r="Q499">
        <v>553.62</v>
      </c>
      <c r="R499">
        <v>391.89</v>
      </c>
      <c r="S499">
        <v>161.72999999999999</v>
      </c>
    </row>
    <row r="500" spans="1:19" x14ac:dyDescent="0.35">
      <c r="A500">
        <v>100498</v>
      </c>
      <c r="B500">
        <v>1898</v>
      </c>
      <c r="C500" t="s">
        <v>19</v>
      </c>
      <c r="D500" t="s">
        <v>20</v>
      </c>
      <c r="E500" t="s">
        <v>24</v>
      </c>
      <c r="F500" t="s">
        <v>42</v>
      </c>
      <c r="G500" s="1">
        <v>44927</v>
      </c>
      <c r="H500" s="1">
        <v>44931</v>
      </c>
      <c r="I500" s="1">
        <v>44942</v>
      </c>
      <c r="J500">
        <v>15</v>
      </c>
      <c r="K500">
        <v>4</v>
      </c>
      <c r="L500">
        <v>13</v>
      </c>
      <c r="M500">
        <v>483.15</v>
      </c>
      <c r="N500">
        <v>6280.95</v>
      </c>
      <c r="O500">
        <v>0.03</v>
      </c>
      <c r="P500">
        <v>188.43</v>
      </c>
      <c r="Q500">
        <v>6092.52</v>
      </c>
      <c r="R500">
        <v>3580.14</v>
      </c>
      <c r="S500">
        <v>2512.38</v>
      </c>
    </row>
    <row r="501" spans="1:19" x14ac:dyDescent="0.35">
      <c r="A501">
        <v>100499</v>
      </c>
      <c r="B501">
        <v>1428</v>
      </c>
      <c r="C501" t="s">
        <v>23</v>
      </c>
      <c r="D501" t="s">
        <v>20</v>
      </c>
      <c r="E501" t="s">
        <v>21</v>
      </c>
      <c r="F501" t="s">
        <v>38</v>
      </c>
      <c r="G501" s="1">
        <v>45009</v>
      </c>
      <c r="H501" s="1">
        <v>45011</v>
      </c>
      <c r="I501" s="1">
        <v>45025</v>
      </c>
      <c r="J501">
        <v>16</v>
      </c>
      <c r="K501">
        <v>2</v>
      </c>
      <c r="L501">
        <v>13</v>
      </c>
      <c r="M501">
        <v>747.34</v>
      </c>
      <c r="N501">
        <v>9715.42</v>
      </c>
      <c r="O501">
        <v>7.0000000000000007E-2</v>
      </c>
      <c r="P501">
        <v>680.08</v>
      </c>
      <c r="Q501">
        <v>9035.34</v>
      </c>
      <c r="R501">
        <v>6412.18</v>
      </c>
      <c r="S501">
        <v>2623.16</v>
      </c>
    </row>
    <row r="502" spans="1:19" x14ac:dyDescent="0.35">
      <c r="A502">
        <v>100500</v>
      </c>
      <c r="B502">
        <v>2129</v>
      </c>
      <c r="C502" t="s">
        <v>23</v>
      </c>
      <c r="D502" t="s">
        <v>20</v>
      </c>
      <c r="E502" t="s">
        <v>21</v>
      </c>
      <c r="F502" t="s">
        <v>39</v>
      </c>
      <c r="G502" s="1">
        <v>45189</v>
      </c>
      <c r="H502" s="1">
        <v>45191</v>
      </c>
      <c r="I502" s="1">
        <v>45202</v>
      </c>
      <c r="J502">
        <v>13</v>
      </c>
      <c r="K502">
        <v>2</v>
      </c>
      <c r="L502">
        <v>5</v>
      </c>
      <c r="M502">
        <v>799.73</v>
      </c>
      <c r="N502">
        <v>3998.65</v>
      </c>
      <c r="O502">
        <v>0.08</v>
      </c>
      <c r="P502">
        <v>319.89</v>
      </c>
      <c r="Q502">
        <v>3678.76</v>
      </c>
      <c r="R502">
        <v>3078.96</v>
      </c>
      <c r="S502">
        <v>599.79999999999995</v>
      </c>
    </row>
    <row r="503" spans="1:19" x14ac:dyDescent="0.35">
      <c r="A503">
        <v>100501</v>
      </c>
      <c r="B503">
        <v>3263</v>
      </c>
      <c r="C503" t="s">
        <v>33</v>
      </c>
      <c r="D503" t="s">
        <v>31</v>
      </c>
      <c r="E503" t="s">
        <v>34</v>
      </c>
      <c r="F503" t="s">
        <v>43</v>
      </c>
      <c r="G503" s="1">
        <v>45185</v>
      </c>
      <c r="H503" s="1">
        <v>45188</v>
      </c>
      <c r="I503" s="1">
        <v>45198</v>
      </c>
      <c r="J503">
        <v>13</v>
      </c>
      <c r="K503">
        <v>3</v>
      </c>
      <c r="L503">
        <v>13</v>
      </c>
      <c r="M503">
        <v>437.12</v>
      </c>
      <c r="N503">
        <v>5682.56</v>
      </c>
      <c r="O503">
        <v>7.0000000000000007E-2</v>
      </c>
      <c r="P503">
        <v>397.78</v>
      </c>
      <c r="Q503">
        <v>5284.78</v>
      </c>
      <c r="R503">
        <v>3636.84</v>
      </c>
      <c r="S503">
        <v>1647.94</v>
      </c>
    </row>
    <row r="504" spans="1:19" x14ac:dyDescent="0.35">
      <c r="A504">
        <v>100502</v>
      </c>
      <c r="B504">
        <v>4692</v>
      </c>
      <c r="C504" t="s">
        <v>19</v>
      </c>
      <c r="D504" t="s">
        <v>20</v>
      </c>
      <c r="E504" t="s">
        <v>21</v>
      </c>
      <c r="F504" t="s">
        <v>39</v>
      </c>
      <c r="G504" s="1">
        <v>44941</v>
      </c>
      <c r="H504" s="1">
        <v>44946</v>
      </c>
      <c r="I504" s="1">
        <v>44946</v>
      </c>
      <c r="J504">
        <v>5</v>
      </c>
      <c r="K504">
        <v>5</v>
      </c>
      <c r="L504">
        <v>10</v>
      </c>
      <c r="M504">
        <v>10.83</v>
      </c>
      <c r="N504">
        <v>108.3</v>
      </c>
      <c r="O504">
        <v>0.09</v>
      </c>
      <c r="P504">
        <v>9.75</v>
      </c>
      <c r="Q504">
        <v>98.55</v>
      </c>
      <c r="R504">
        <v>63.9</v>
      </c>
      <c r="S504">
        <v>34.65</v>
      </c>
    </row>
    <row r="505" spans="1:19" x14ac:dyDescent="0.35">
      <c r="A505">
        <v>100503</v>
      </c>
      <c r="B505">
        <v>4274</v>
      </c>
      <c r="C505" t="s">
        <v>28</v>
      </c>
      <c r="D505" t="s">
        <v>20</v>
      </c>
      <c r="E505" t="s">
        <v>34</v>
      </c>
      <c r="F505" t="s">
        <v>45</v>
      </c>
      <c r="G505" s="1">
        <v>45101</v>
      </c>
      <c r="H505" s="1">
        <v>45102</v>
      </c>
      <c r="I505" s="1">
        <v>45105</v>
      </c>
      <c r="J505">
        <v>4</v>
      </c>
      <c r="K505">
        <v>1</v>
      </c>
      <c r="L505">
        <v>14</v>
      </c>
      <c r="M505">
        <v>253.48</v>
      </c>
      <c r="N505">
        <v>3548.72</v>
      </c>
      <c r="O505">
        <v>0.11</v>
      </c>
      <c r="P505">
        <v>390.36</v>
      </c>
      <c r="Q505">
        <v>3158.36</v>
      </c>
      <c r="R505">
        <v>2235.69</v>
      </c>
      <c r="S505">
        <v>922.67</v>
      </c>
    </row>
    <row r="506" spans="1:19" x14ac:dyDescent="0.35">
      <c r="A506">
        <v>100504</v>
      </c>
      <c r="B506">
        <v>1985</v>
      </c>
      <c r="C506" t="s">
        <v>28</v>
      </c>
      <c r="D506" t="s">
        <v>20</v>
      </c>
      <c r="E506" t="s">
        <v>21</v>
      </c>
      <c r="F506" t="s">
        <v>41</v>
      </c>
      <c r="G506" s="1">
        <v>45249</v>
      </c>
      <c r="H506" s="1">
        <v>45252</v>
      </c>
      <c r="I506" s="1">
        <v>45251</v>
      </c>
      <c r="J506">
        <v>2</v>
      </c>
      <c r="K506">
        <v>3</v>
      </c>
      <c r="L506">
        <v>10</v>
      </c>
      <c r="M506">
        <v>636.42999999999995</v>
      </c>
      <c r="N506">
        <v>6364.3</v>
      </c>
      <c r="O506">
        <v>0.08</v>
      </c>
      <c r="P506">
        <v>509.14</v>
      </c>
      <c r="Q506">
        <v>5855.16</v>
      </c>
      <c r="R506">
        <v>3627.65</v>
      </c>
      <c r="S506">
        <v>2227.5100000000002</v>
      </c>
    </row>
    <row r="507" spans="1:19" x14ac:dyDescent="0.35">
      <c r="A507">
        <v>100505</v>
      </c>
      <c r="B507">
        <v>4650</v>
      </c>
      <c r="C507" t="s">
        <v>33</v>
      </c>
      <c r="D507" t="s">
        <v>31</v>
      </c>
      <c r="E507" t="s">
        <v>26</v>
      </c>
      <c r="F507" t="s">
        <v>37</v>
      </c>
      <c r="G507" s="1">
        <v>45214</v>
      </c>
      <c r="H507" s="1">
        <v>45217</v>
      </c>
      <c r="I507" s="1">
        <v>45231</v>
      </c>
      <c r="J507">
        <v>17</v>
      </c>
      <c r="K507">
        <v>3</v>
      </c>
      <c r="L507">
        <v>8</v>
      </c>
      <c r="M507">
        <v>281.2</v>
      </c>
      <c r="N507">
        <v>2249.6</v>
      </c>
      <c r="O507">
        <v>0.08</v>
      </c>
      <c r="P507">
        <v>179.97</v>
      </c>
      <c r="Q507">
        <v>2069.63</v>
      </c>
      <c r="R507">
        <v>1417.25</v>
      </c>
      <c r="S507">
        <v>652.38</v>
      </c>
    </row>
    <row r="508" spans="1:19" x14ac:dyDescent="0.35">
      <c r="A508">
        <v>100506</v>
      </c>
      <c r="B508">
        <v>4286</v>
      </c>
      <c r="C508" t="s">
        <v>28</v>
      </c>
      <c r="D508" t="s">
        <v>29</v>
      </c>
      <c r="E508" t="s">
        <v>21</v>
      </c>
      <c r="F508" t="s">
        <v>38</v>
      </c>
      <c r="G508" s="1">
        <v>45004</v>
      </c>
      <c r="H508" s="1">
        <v>45005</v>
      </c>
      <c r="I508" s="1">
        <v>45016</v>
      </c>
      <c r="J508">
        <v>12</v>
      </c>
      <c r="K508">
        <v>1</v>
      </c>
      <c r="L508">
        <v>3</v>
      </c>
      <c r="M508">
        <v>747.84</v>
      </c>
      <c r="N508">
        <v>2243.52</v>
      </c>
      <c r="O508">
        <v>0.09</v>
      </c>
      <c r="P508">
        <v>201.92</v>
      </c>
      <c r="Q508">
        <v>2041.6</v>
      </c>
      <c r="R508">
        <v>1346.11</v>
      </c>
      <c r="S508">
        <v>695.49</v>
      </c>
    </row>
    <row r="509" spans="1:19" x14ac:dyDescent="0.35">
      <c r="A509">
        <v>100507</v>
      </c>
      <c r="B509">
        <v>1812</v>
      </c>
      <c r="C509" t="s">
        <v>23</v>
      </c>
      <c r="D509" t="s">
        <v>29</v>
      </c>
      <c r="E509" t="s">
        <v>21</v>
      </c>
      <c r="F509" t="s">
        <v>38</v>
      </c>
      <c r="G509" s="1">
        <v>45096</v>
      </c>
      <c r="H509" s="1">
        <v>45100</v>
      </c>
      <c r="I509" s="1">
        <v>45115</v>
      </c>
      <c r="J509">
        <v>19</v>
      </c>
      <c r="K509">
        <v>4</v>
      </c>
      <c r="L509">
        <v>7</v>
      </c>
      <c r="M509">
        <v>162.69999999999999</v>
      </c>
      <c r="N509">
        <v>1138.9000000000001</v>
      </c>
      <c r="O509">
        <v>0.1</v>
      </c>
      <c r="P509">
        <v>113.89</v>
      </c>
      <c r="Q509">
        <v>1025.01</v>
      </c>
      <c r="R509">
        <v>694.73</v>
      </c>
      <c r="S509">
        <v>330.28</v>
      </c>
    </row>
    <row r="510" spans="1:19" x14ac:dyDescent="0.35">
      <c r="A510">
        <v>100508</v>
      </c>
      <c r="B510">
        <v>1106</v>
      </c>
      <c r="C510" t="s">
        <v>28</v>
      </c>
      <c r="D510" t="s">
        <v>20</v>
      </c>
      <c r="E510" t="s">
        <v>24</v>
      </c>
      <c r="F510" t="s">
        <v>42</v>
      </c>
      <c r="G510" s="1">
        <v>45081</v>
      </c>
      <c r="H510" s="1">
        <v>45086</v>
      </c>
      <c r="I510" s="1">
        <v>45095</v>
      </c>
      <c r="J510">
        <v>14</v>
      </c>
      <c r="K510">
        <v>5</v>
      </c>
      <c r="L510">
        <v>4</v>
      </c>
      <c r="M510">
        <v>199.58</v>
      </c>
      <c r="N510">
        <v>798.32</v>
      </c>
      <c r="O510">
        <v>0.1</v>
      </c>
      <c r="P510">
        <v>79.83</v>
      </c>
      <c r="Q510">
        <v>718.49</v>
      </c>
      <c r="R510">
        <v>494.96</v>
      </c>
      <c r="S510">
        <v>223.53</v>
      </c>
    </row>
    <row r="511" spans="1:19" x14ac:dyDescent="0.35">
      <c r="A511">
        <v>100509</v>
      </c>
      <c r="B511">
        <v>2300</v>
      </c>
      <c r="C511" t="s">
        <v>23</v>
      </c>
      <c r="D511" t="s">
        <v>29</v>
      </c>
      <c r="E511" t="s">
        <v>21</v>
      </c>
      <c r="F511" t="s">
        <v>39</v>
      </c>
      <c r="G511" s="1">
        <v>45030</v>
      </c>
      <c r="H511" s="1">
        <v>45035</v>
      </c>
      <c r="I511" s="1">
        <v>45054</v>
      </c>
      <c r="J511">
        <v>24</v>
      </c>
      <c r="K511">
        <v>5</v>
      </c>
      <c r="L511">
        <v>10</v>
      </c>
      <c r="M511">
        <v>10.39</v>
      </c>
      <c r="N511">
        <v>103.9</v>
      </c>
      <c r="O511">
        <v>0.03</v>
      </c>
      <c r="P511">
        <v>3.12</v>
      </c>
      <c r="Q511">
        <v>100.78</v>
      </c>
      <c r="R511">
        <v>61.3</v>
      </c>
      <c r="S511">
        <v>39.479999999999997</v>
      </c>
    </row>
    <row r="512" spans="1:19" x14ac:dyDescent="0.35">
      <c r="A512">
        <v>100510</v>
      </c>
      <c r="B512">
        <v>4606</v>
      </c>
      <c r="C512" t="s">
        <v>23</v>
      </c>
      <c r="D512" t="s">
        <v>29</v>
      </c>
      <c r="E512" t="s">
        <v>21</v>
      </c>
      <c r="F512" t="s">
        <v>41</v>
      </c>
      <c r="G512" s="1">
        <v>45201</v>
      </c>
      <c r="H512" s="1">
        <v>45205</v>
      </c>
      <c r="I512" s="1">
        <v>45203</v>
      </c>
      <c r="J512">
        <v>2</v>
      </c>
      <c r="K512">
        <v>4</v>
      </c>
      <c r="L512">
        <v>11</v>
      </c>
      <c r="M512">
        <v>558.46</v>
      </c>
      <c r="N512">
        <v>6143.06</v>
      </c>
      <c r="O512">
        <v>0.06</v>
      </c>
      <c r="P512">
        <v>368.58</v>
      </c>
      <c r="Q512">
        <v>5774.48</v>
      </c>
      <c r="R512">
        <v>3685.84</v>
      </c>
      <c r="S512">
        <v>2088.64</v>
      </c>
    </row>
    <row r="513" spans="1:19" x14ac:dyDescent="0.35">
      <c r="A513">
        <v>100511</v>
      </c>
      <c r="B513">
        <v>3606</v>
      </c>
      <c r="C513" t="s">
        <v>33</v>
      </c>
      <c r="D513" t="s">
        <v>20</v>
      </c>
      <c r="E513" t="s">
        <v>21</v>
      </c>
      <c r="F513" t="s">
        <v>22</v>
      </c>
      <c r="G513" s="1">
        <v>45267</v>
      </c>
      <c r="H513" s="1">
        <v>45269</v>
      </c>
      <c r="I513" s="1">
        <v>45284</v>
      </c>
      <c r="J513">
        <v>17</v>
      </c>
      <c r="K513">
        <v>2</v>
      </c>
      <c r="L513">
        <v>14</v>
      </c>
      <c r="M513">
        <v>707.51</v>
      </c>
      <c r="N513">
        <v>9905.14</v>
      </c>
      <c r="O513">
        <v>0.08</v>
      </c>
      <c r="P513">
        <v>792.41</v>
      </c>
      <c r="Q513">
        <v>9112.73</v>
      </c>
      <c r="R513">
        <v>5249.72</v>
      </c>
      <c r="S513">
        <v>3863.01</v>
      </c>
    </row>
    <row r="514" spans="1:19" x14ac:dyDescent="0.35">
      <c r="A514">
        <v>100512</v>
      </c>
      <c r="B514">
        <v>3849</v>
      </c>
      <c r="C514" t="s">
        <v>33</v>
      </c>
      <c r="D514" t="s">
        <v>20</v>
      </c>
      <c r="E514" t="s">
        <v>21</v>
      </c>
      <c r="F514" t="s">
        <v>38</v>
      </c>
      <c r="G514" s="1">
        <v>44950</v>
      </c>
      <c r="H514" s="1">
        <v>44953</v>
      </c>
      <c r="I514" s="1">
        <v>44955</v>
      </c>
      <c r="J514">
        <v>5</v>
      </c>
      <c r="K514">
        <v>3</v>
      </c>
      <c r="L514">
        <v>3</v>
      </c>
      <c r="M514">
        <v>785.79</v>
      </c>
      <c r="N514">
        <v>2357.37</v>
      </c>
      <c r="O514">
        <v>0.02</v>
      </c>
      <c r="P514">
        <v>47.15</v>
      </c>
      <c r="Q514">
        <v>2310.2199999999998</v>
      </c>
      <c r="R514">
        <v>1320.13</v>
      </c>
      <c r="S514">
        <v>990.09</v>
      </c>
    </row>
    <row r="515" spans="1:19" x14ac:dyDescent="0.35">
      <c r="A515">
        <v>100513</v>
      </c>
      <c r="B515">
        <v>2077</v>
      </c>
      <c r="C515" t="s">
        <v>23</v>
      </c>
      <c r="D515" t="s">
        <v>29</v>
      </c>
      <c r="E515" t="s">
        <v>24</v>
      </c>
      <c r="F515" t="s">
        <v>42</v>
      </c>
      <c r="G515" s="1">
        <v>45110</v>
      </c>
      <c r="H515" s="1">
        <v>45114</v>
      </c>
      <c r="I515" s="1">
        <v>45128</v>
      </c>
      <c r="J515">
        <v>18</v>
      </c>
      <c r="K515">
        <v>4</v>
      </c>
      <c r="L515">
        <v>13</v>
      </c>
      <c r="M515">
        <v>93.07</v>
      </c>
      <c r="N515">
        <v>1209.9100000000001</v>
      </c>
      <c r="O515">
        <v>0.13</v>
      </c>
      <c r="P515">
        <v>157.29</v>
      </c>
      <c r="Q515">
        <v>1052.6199999999999</v>
      </c>
      <c r="R515">
        <v>762.24</v>
      </c>
      <c r="S515">
        <v>290.38</v>
      </c>
    </row>
    <row r="516" spans="1:19" x14ac:dyDescent="0.35">
      <c r="A516">
        <v>100514</v>
      </c>
      <c r="B516">
        <v>3028</v>
      </c>
      <c r="C516" t="s">
        <v>19</v>
      </c>
      <c r="D516" t="s">
        <v>31</v>
      </c>
      <c r="E516" t="s">
        <v>21</v>
      </c>
      <c r="F516" t="s">
        <v>41</v>
      </c>
      <c r="G516" s="1">
        <v>45275</v>
      </c>
      <c r="H516" s="1">
        <v>45280</v>
      </c>
      <c r="I516" s="1">
        <v>45292</v>
      </c>
      <c r="J516">
        <v>17</v>
      </c>
      <c r="K516">
        <v>5</v>
      </c>
      <c r="L516">
        <v>7</v>
      </c>
      <c r="M516">
        <v>43.75</v>
      </c>
      <c r="N516">
        <v>306.25</v>
      </c>
      <c r="O516">
        <v>0.04</v>
      </c>
      <c r="P516">
        <v>12.25</v>
      </c>
      <c r="Q516">
        <v>294</v>
      </c>
      <c r="R516">
        <v>199.06</v>
      </c>
      <c r="S516">
        <v>94.94</v>
      </c>
    </row>
    <row r="517" spans="1:19" x14ac:dyDescent="0.35">
      <c r="A517">
        <v>100515</v>
      </c>
      <c r="B517">
        <v>2118</v>
      </c>
      <c r="C517" t="s">
        <v>19</v>
      </c>
      <c r="D517" t="s">
        <v>31</v>
      </c>
      <c r="E517" t="s">
        <v>34</v>
      </c>
      <c r="F517" t="s">
        <v>43</v>
      </c>
      <c r="G517" s="1">
        <v>45134</v>
      </c>
      <c r="H517" s="1">
        <v>45135</v>
      </c>
      <c r="I517" s="1">
        <v>45160</v>
      </c>
      <c r="J517">
        <v>26</v>
      </c>
      <c r="K517">
        <v>1</v>
      </c>
      <c r="L517">
        <v>14</v>
      </c>
      <c r="M517">
        <v>366.38</v>
      </c>
      <c r="N517">
        <v>5129.32</v>
      </c>
      <c r="O517">
        <v>0.06</v>
      </c>
      <c r="P517">
        <v>307.76</v>
      </c>
      <c r="Q517">
        <v>4821.5600000000004</v>
      </c>
      <c r="R517">
        <v>2975.01</v>
      </c>
      <c r="S517">
        <v>1846.55</v>
      </c>
    </row>
    <row r="518" spans="1:19" x14ac:dyDescent="0.35">
      <c r="A518">
        <v>100516</v>
      </c>
      <c r="B518">
        <v>1848</v>
      </c>
      <c r="C518" t="s">
        <v>23</v>
      </c>
      <c r="D518" t="s">
        <v>31</v>
      </c>
      <c r="E518" t="s">
        <v>21</v>
      </c>
      <c r="F518" t="s">
        <v>39</v>
      </c>
      <c r="G518" s="1">
        <v>45228</v>
      </c>
      <c r="H518" s="1">
        <v>45232</v>
      </c>
      <c r="I518" s="1">
        <v>45255</v>
      </c>
      <c r="J518">
        <v>27</v>
      </c>
      <c r="K518">
        <v>4</v>
      </c>
      <c r="L518">
        <v>3</v>
      </c>
      <c r="M518">
        <v>506.44</v>
      </c>
      <c r="N518">
        <v>1519.32</v>
      </c>
      <c r="O518">
        <v>0.13</v>
      </c>
      <c r="P518">
        <v>197.51</v>
      </c>
      <c r="Q518">
        <v>1321.81</v>
      </c>
      <c r="R518">
        <v>850.82</v>
      </c>
      <c r="S518">
        <v>470.99</v>
      </c>
    </row>
    <row r="519" spans="1:19" x14ac:dyDescent="0.35">
      <c r="A519">
        <v>100517</v>
      </c>
      <c r="B519">
        <v>3483</v>
      </c>
      <c r="C519" t="s">
        <v>19</v>
      </c>
      <c r="D519" t="s">
        <v>31</v>
      </c>
      <c r="E519" t="s">
        <v>21</v>
      </c>
      <c r="F519" t="s">
        <v>22</v>
      </c>
      <c r="G519" s="1">
        <v>45280</v>
      </c>
      <c r="H519" s="1">
        <v>45282</v>
      </c>
      <c r="I519" s="1">
        <v>45304</v>
      </c>
      <c r="J519">
        <v>24</v>
      </c>
      <c r="K519">
        <v>2</v>
      </c>
      <c r="L519">
        <v>11</v>
      </c>
      <c r="M519">
        <v>256.70999999999998</v>
      </c>
      <c r="N519">
        <v>2823.81</v>
      </c>
      <c r="O519">
        <v>0.01</v>
      </c>
      <c r="P519">
        <v>28.24</v>
      </c>
      <c r="Q519">
        <v>2795.57</v>
      </c>
      <c r="R519">
        <v>1750.76</v>
      </c>
      <c r="S519">
        <v>1044.81</v>
      </c>
    </row>
    <row r="520" spans="1:19" x14ac:dyDescent="0.35">
      <c r="A520">
        <v>100518</v>
      </c>
      <c r="B520">
        <v>2731</v>
      </c>
      <c r="C520" t="s">
        <v>33</v>
      </c>
      <c r="D520" t="s">
        <v>31</v>
      </c>
      <c r="E520" t="s">
        <v>34</v>
      </c>
      <c r="F520" t="s">
        <v>35</v>
      </c>
      <c r="G520" s="1">
        <v>45184</v>
      </c>
      <c r="H520" s="1">
        <v>45188</v>
      </c>
      <c r="I520" s="1">
        <v>45210</v>
      </c>
      <c r="J520">
        <v>26</v>
      </c>
      <c r="K520">
        <v>4</v>
      </c>
      <c r="L520">
        <v>6</v>
      </c>
      <c r="M520">
        <v>683.89</v>
      </c>
      <c r="N520">
        <v>4103.34</v>
      </c>
      <c r="O520">
        <v>0.02</v>
      </c>
      <c r="P520">
        <v>82.07</v>
      </c>
      <c r="Q520">
        <v>4021.27</v>
      </c>
      <c r="R520">
        <v>2626.14</v>
      </c>
      <c r="S520">
        <v>1395.13</v>
      </c>
    </row>
    <row r="521" spans="1:19" x14ac:dyDescent="0.35">
      <c r="A521">
        <v>100519</v>
      </c>
      <c r="B521">
        <v>2869</v>
      </c>
      <c r="C521" t="s">
        <v>28</v>
      </c>
      <c r="D521" t="s">
        <v>20</v>
      </c>
      <c r="E521" t="s">
        <v>26</v>
      </c>
      <c r="F521" t="s">
        <v>37</v>
      </c>
      <c r="G521" s="1">
        <v>45207</v>
      </c>
      <c r="H521" s="1">
        <v>45212</v>
      </c>
      <c r="I521" s="1">
        <v>45219</v>
      </c>
      <c r="J521">
        <v>12</v>
      </c>
      <c r="K521">
        <v>5</v>
      </c>
      <c r="L521">
        <v>2</v>
      </c>
      <c r="M521">
        <v>183.56</v>
      </c>
      <c r="N521">
        <v>367.12</v>
      </c>
      <c r="O521">
        <v>7.0000000000000007E-2</v>
      </c>
      <c r="P521">
        <v>25.7</v>
      </c>
      <c r="Q521">
        <v>341.42</v>
      </c>
      <c r="R521">
        <v>238.63</v>
      </c>
      <c r="S521">
        <v>102.79</v>
      </c>
    </row>
    <row r="522" spans="1:19" x14ac:dyDescent="0.35">
      <c r="A522">
        <v>100520</v>
      </c>
      <c r="B522">
        <v>1838</v>
      </c>
      <c r="C522" t="s">
        <v>19</v>
      </c>
      <c r="D522" t="s">
        <v>20</v>
      </c>
      <c r="E522" t="s">
        <v>26</v>
      </c>
      <c r="F522" t="s">
        <v>44</v>
      </c>
      <c r="G522" s="1">
        <v>45030</v>
      </c>
      <c r="H522" s="1">
        <v>45034</v>
      </c>
      <c r="I522" s="1">
        <v>45035</v>
      </c>
      <c r="J522">
        <v>5</v>
      </c>
      <c r="K522">
        <v>4</v>
      </c>
      <c r="L522">
        <v>4</v>
      </c>
      <c r="M522">
        <v>244.06</v>
      </c>
      <c r="N522">
        <v>976.24</v>
      </c>
      <c r="O522">
        <v>0.05</v>
      </c>
      <c r="P522">
        <v>48.81</v>
      </c>
      <c r="Q522">
        <v>927.43</v>
      </c>
      <c r="R522">
        <v>615.03</v>
      </c>
      <c r="S522">
        <v>312.39999999999998</v>
      </c>
    </row>
    <row r="523" spans="1:19" x14ac:dyDescent="0.35">
      <c r="A523">
        <v>100521</v>
      </c>
      <c r="B523">
        <v>3131</v>
      </c>
      <c r="C523" t="s">
        <v>23</v>
      </c>
      <c r="D523" t="s">
        <v>29</v>
      </c>
      <c r="E523" t="s">
        <v>24</v>
      </c>
      <c r="F523" t="s">
        <v>25</v>
      </c>
      <c r="G523" s="1">
        <v>45241</v>
      </c>
      <c r="H523" s="1">
        <v>45245</v>
      </c>
      <c r="I523" s="1">
        <v>45255</v>
      </c>
      <c r="J523">
        <v>14</v>
      </c>
      <c r="K523">
        <v>4</v>
      </c>
      <c r="L523">
        <v>4</v>
      </c>
      <c r="M523">
        <v>240.47</v>
      </c>
      <c r="N523">
        <v>961.88</v>
      </c>
      <c r="O523">
        <v>0</v>
      </c>
      <c r="P523">
        <v>0</v>
      </c>
      <c r="Q523">
        <v>961.88</v>
      </c>
      <c r="R523">
        <v>625.22</v>
      </c>
      <c r="S523">
        <v>336.66</v>
      </c>
    </row>
    <row r="524" spans="1:19" x14ac:dyDescent="0.35">
      <c r="A524">
        <v>100522</v>
      </c>
      <c r="B524">
        <v>2327</v>
      </c>
      <c r="C524" t="s">
        <v>28</v>
      </c>
      <c r="D524" t="s">
        <v>31</v>
      </c>
      <c r="E524" t="s">
        <v>21</v>
      </c>
      <c r="F524" t="s">
        <v>38</v>
      </c>
      <c r="G524" s="1">
        <v>45219</v>
      </c>
      <c r="H524" s="1">
        <v>45222</v>
      </c>
      <c r="I524" s="1">
        <v>45229</v>
      </c>
      <c r="J524">
        <v>10</v>
      </c>
      <c r="K524">
        <v>3</v>
      </c>
      <c r="L524">
        <v>2</v>
      </c>
      <c r="M524">
        <v>685.64</v>
      </c>
      <c r="N524">
        <v>1371.28</v>
      </c>
      <c r="O524">
        <v>0.21</v>
      </c>
      <c r="P524">
        <v>287.97000000000003</v>
      </c>
      <c r="Q524">
        <v>1083.31</v>
      </c>
      <c r="R524">
        <v>726.78</v>
      </c>
      <c r="S524">
        <v>356.53</v>
      </c>
    </row>
    <row r="525" spans="1:19" x14ac:dyDescent="0.35">
      <c r="A525">
        <v>100523</v>
      </c>
      <c r="B525">
        <v>1952</v>
      </c>
      <c r="C525" t="s">
        <v>19</v>
      </c>
      <c r="D525" t="s">
        <v>31</v>
      </c>
      <c r="E525" t="s">
        <v>26</v>
      </c>
      <c r="F525" t="s">
        <v>27</v>
      </c>
      <c r="G525" s="1">
        <v>44969</v>
      </c>
      <c r="H525" s="1">
        <v>44971</v>
      </c>
      <c r="I525" s="1">
        <v>44983</v>
      </c>
      <c r="J525">
        <v>14</v>
      </c>
      <c r="K525">
        <v>2</v>
      </c>
      <c r="L525">
        <v>5</v>
      </c>
      <c r="M525">
        <v>467.28</v>
      </c>
      <c r="N525">
        <v>2336.4</v>
      </c>
      <c r="O525">
        <v>0.05</v>
      </c>
      <c r="P525">
        <v>116.82</v>
      </c>
      <c r="Q525">
        <v>2219.58</v>
      </c>
      <c r="R525">
        <v>1635.48</v>
      </c>
      <c r="S525">
        <v>584.1</v>
      </c>
    </row>
    <row r="526" spans="1:19" x14ac:dyDescent="0.35">
      <c r="A526">
        <v>100524</v>
      </c>
      <c r="B526">
        <v>3963</v>
      </c>
      <c r="C526" t="s">
        <v>28</v>
      </c>
      <c r="D526" t="s">
        <v>31</v>
      </c>
      <c r="E526" t="s">
        <v>21</v>
      </c>
      <c r="F526" t="s">
        <v>22</v>
      </c>
      <c r="G526" s="1">
        <v>44974</v>
      </c>
      <c r="H526" s="1">
        <v>44976</v>
      </c>
      <c r="I526" s="1">
        <v>44989</v>
      </c>
      <c r="J526">
        <v>15</v>
      </c>
      <c r="K526">
        <v>2</v>
      </c>
      <c r="L526">
        <v>13</v>
      </c>
      <c r="M526">
        <v>117.01</v>
      </c>
      <c r="N526">
        <v>1521.13</v>
      </c>
      <c r="O526">
        <v>0.03</v>
      </c>
      <c r="P526">
        <v>45.63</v>
      </c>
      <c r="Q526">
        <v>1475.5</v>
      </c>
      <c r="R526">
        <v>1019.16</v>
      </c>
      <c r="S526">
        <v>456.34</v>
      </c>
    </row>
    <row r="527" spans="1:19" x14ac:dyDescent="0.35">
      <c r="A527">
        <v>100525</v>
      </c>
      <c r="B527">
        <v>3136</v>
      </c>
      <c r="C527" t="s">
        <v>28</v>
      </c>
      <c r="D527" t="s">
        <v>31</v>
      </c>
      <c r="E527" t="s">
        <v>26</v>
      </c>
      <c r="F527" t="s">
        <v>27</v>
      </c>
      <c r="G527" s="1">
        <v>45269</v>
      </c>
      <c r="H527" s="1">
        <v>45274</v>
      </c>
      <c r="I527" s="1">
        <v>45285</v>
      </c>
      <c r="J527">
        <v>16</v>
      </c>
      <c r="K527">
        <v>5</v>
      </c>
      <c r="L527">
        <v>1</v>
      </c>
      <c r="M527">
        <v>570.89</v>
      </c>
      <c r="N527">
        <v>570.89</v>
      </c>
      <c r="O527">
        <v>7.0000000000000007E-2</v>
      </c>
      <c r="P527">
        <v>39.96</v>
      </c>
      <c r="Q527">
        <v>530.92999999999995</v>
      </c>
      <c r="R527">
        <v>348.24</v>
      </c>
      <c r="S527">
        <v>182.69</v>
      </c>
    </row>
    <row r="528" spans="1:19" x14ac:dyDescent="0.35">
      <c r="A528">
        <v>100526</v>
      </c>
      <c r="B528">
        <v>3730</v>
      </c>
      <c r="C528" t="s">
        <v>23</v>
      </c>
      <c r="D528" t="s">
        <v>31</v>
      </c>
      <c r="E528" t="s">
        <v>34</v>
      </c>
      <c r="F528" t="s">
        <v>40</v>
      </c>
      <c r="G528" s="1">
        <v>45011</v>
      </c>
      <c r="H528" s="1">
        <v>45012</v>
      </c>
      <c r="I528" s="1">
        <v>45029</v>
      </c>
      <c r="J528">
        <v>18</v>
      </c>
      <c r="K528">
        <v>1</v>
      </c>
      <c r="L528">
        <v>12</v>
      </c>
      <c r="M528">
        <v>307.7</v>
      </c>
      <c r="N528">
        <v>3692.4</v>
      </c>
      <c r="O528">
        <v>0</v>
      </c>
      <c r="P528">
        <v>0</v>
      </c>
      <c r="Q528">
        <v>3692.4</v>
      </c>
      <c r="R528">
        <v>2510.83</v>
      </c>
      <c r="S528">
        <v>1181.57</v>
      </c>
    </row>
    <row r="529" spans="1:19" x14ac:dyDescent="0.35">
      <c r="A529">
        <v>100527</v>
      </c>
      <c r="B529">
        <v>2994</v>
      </c>
      <c r="C529" t="s">
        <v>23</v>
      </c>
      <c r="D529" t="s">
        <v>29</v>
      </c>
      <c r="E529" t="s">
        <v>26</v>
      </c>
      <c r="F529" t="s">
        <v>37</v>
      </c>
      <c r="G529" s="1">
        <v>45127</v>
      </c>
      <c r="H529" s="1">
        <v>45130</v>
      </c>
      <c r="I529" s="1">
        <v>45142</v>
      </c>
      <c r="J529">
        <v>15</v>
      </c>
      <c r="K529">
        <v>3</v>
      </c>
      <c r="L529">
        <v>13</v>
      </c>
      <c r="M529">
        <v>116.96</v>
      </c>
      <c r="N529">
        <v>1520.48</v>
      </c>
      <c r="O529">
        <v>7.0000000000000007E-2</v>
      </c>
      <c r="P529">
        <v>106.43</v>
      </c>
      <c r="Q529">
        <v>1414.05</v>
      </c>
      <c r="R529">
        <v>866.67</v>
      </c>
      <c r="S529">
        <v>547.38</v>
      </c>
    </row>
    <row r="530" spans="1:19" x14ac:dyDescent="0.35">
      <c r="A530">
        <v>100528</v>
      </c>
      <c r="B530">
        <v>3266</v>
      </c>
      <c r="C530" t="s">
        <v>33</v>
      </c>
      <c r="D530" t="s">
        <v>29</v>
      </c>
      <c r="E530" t="s">
        <v>21</v>
      </c>
      <c r="F530" t="s">
        <v>22</v>
      </c>
      <c r="G530" s="1">
        <v>45270</v>
      </c>
      <c r="H530" s="1">
        <v>45271</v>
      </c>
      <c r="I530" s="1">
        <v>45293</v>
      </c>
      <c r="J530">
        <v>23</v>
      </c>
      <c r="K530">
        <v>1</v>
      </c>
      <c r="L530">
        <v>10</v>
      </c>
      <c r="M530">
        <v>481.54</v>
      </c>
      <c r="N530">
        <v>4815.3999999999996</v>
      </c>
      <c r="O530">
        <v>0.1</v>
      </c>
      <c r="P530">
        <v>481.54</v>
      </c>
      <c r="Q530">
        <v>4333.8599999999997</v>
      </c>
      <c r="R530">
        <v>2985.55</v>
      </c>
      <c r="S530">
        <v>1348.31</v>
      </c>
    </row>
    <row r="531" spans="1:19" x14ac:dyDescent="0.35">
      <c r="A531">
        <v>100529</v>
      </c>
      <c r="B531">
        <v>2994</v>
      </c>
      <c r="C531" t="s">
        <v>23</v>
      </c>
      <c r="D531" t="s">
        <v>29</v>
      </c>
      <c r="E531" t="s">
        <v>34</v>
      </c>
      <c r="F531" t="s">
        <v>35</v>
      </c>
      <c r="G531" s="1">
        <v>45101</v>
      </c>
      <c r="H531" s="1">
        <v>45106</v>
      </c>
      <c r="I531" s="1">
        <v>45103</v>
      </c>
      <c r="J531">
        <v>2</v>
      </c>
      <c r="K531">
        <v>5</v>
      </c>
      <c r="L531">
        <v>7</v>
      </c>
      <c r="M531">
        <v>343.4</v>
      </c>
      <c r="N531">
        <v>2403.8000000000002</v>
      </c>
      <c r="O531">
        <v>0.12</v>
      </c>
      <c r="P531">
        <v>288.45999999999998</v>
      </c>
      <c r="Q531">
        <v>2115.34</v>
      </c>
      <c r="R531">
        <v>1706.7</v>
      </c>
      <c r="S531">
        <v>408.64</v>
      </c>
    </row>
    <row r="532" spans="1:19" x14ac:dyDescent="0.35">
      <c r="A532">
        <v>100530</v>
      </c>
      <c r="B532">
        <v>2358</v>
      </c>
      <c r="C532" t="s">
        <v>23</v>
      </c>
      <c r="D532" t="s">
        <v>29</v>
      </c>
      <c r="E532" t="s">
        <v>26</v>
      </c>
      <c r="F532" t="s">
        <v>37</v>
      </c>
      <c r="G532" s="1">
        <v>45234</v>
      </c>
      <c r="H532" s="1">
        <v>45237</v>
      </c>
      <c r="I532" s="1">
        <v>45248</v>
      </c>
      <c r="J532">
        <v>14</v>
      </c>
      <c r="K532">
        <v>3</v>
      </c>
      <c r="L532">
        <v>13</v>
      </c>
      <c r="M532">
        <v>233.28</v>
      </c>
      <c r="N532">
        <v>3032.64</v>
      </c>
      <c r="O532">
        <v>0.21</v>
      </c>
      <c r="P532">
        <v>636.85</v>
      </c>
      <c r="Q532">
        <v>2395.79</v>
      </c>
      <c r="R532">
        <v>2062.1999999999998</v>
      </c>
      <c r="S532">
        <v>333.59</v>
      </c>
    </row>
    <row r="533" spans="1:19" x14ac:dyDescent="0.35">
      <c r="A533">
        <v>100531</v>
      </c>
      <c r="B533">
        <v>3728</v>
      </c>
      <c r="C533" t="s">
        <v>19</v>
      </c>
      <c r="D533" t="s">
        <v>20</v>
      </c>
      <c r="E533" t="s">
        <v>21</v>
      </c>
      <c r="F533" t="s">
        <v>39</v>
      </c>
      <c r="G533" s="1">
        <v>44954</v>
      </c>
      <c r="H533" s="1">
        <v>44958</v>
      </c>
      <c r="I533" s="1">
        <v>44966</v>
      </c>
      <c r="J533">
        <v>12</v>
      </c>
      <c r="K533">
        <v>4</v>
      </c>
      <c r="L533">
        <v>13</v>
      </c>
      <c r="M533">
        <v>723.4</v>
      </c>
      <c r="N533">
        <v>9404.2000000000007</v>
      </c>
      <c r="O533">
        <v>0.12</v>
      </c>
      <c r="P533">
        <v>1128.5</v>
      </c>
      <c r="Q533">
        <v>8275.7000000000007</v>
      </c>
      <c r="R533">
        <v>5830.6</v>
      </c>
      <c r="S533">
        <v>2445.1</v>
      </c>
    </row>
    <row r="534" spans="1:19" x14ac:dyDescent="0.35">
      <c r="A534">
        <v>100532</v>
      </c>
      <c r="B534">
        <v>2078</v>
      </c>
      <c r="C534" t="s">
        <v>19</v>
      </c>
      <c r="D534" t="s">
        <v>29</v>
      </c>
      <c r="E534" t="s">
        <v>24</v>
      </c>
      <c r="F534" t="s">
        <v>42</v>
      </c>
      <c r="G534" s="1">
        <v>45218</v>
      </c>
      <c r="H534" s="1">
        <v>45220</v>
      </c>
      <c r="I534" s="1">
        <v>45232</v>
      </c>
      <c r="J534">
        <v>14</v>
      </c>
      <c r="K534">
        <v>2</v>
      </c>
      <c r="L534">
        <v>7</v>
      </c>
      <c r="M534">
        <v>634.55999999999995</v>
      </c>
      <c r="N534">
        <v>4441.92</v>
      </c>
      <c r="O534">
        <v>0.09</v>
      </c>
      <c r="P534">
        <v>399.77</v>
      </c>
      <c r="Q534">
        <v>4042.15</v>
      </c>
      <c r="R534">
        <v>3109.34</v>
      </c>
      <c r="S534">
        <v>932.81</v>
      </c>
    </row>
    <row r="535" spans="1:19" x14ac:dyDescent="0.35">
      <c r="A535">
        <v>100533</v>
      </c>
      <c r="B535">
        <v>1850</v>
      </c>
      <c r="C535" t="s">
        <v>19</v>
      </c>
      <c r="D535" t="s">
        <v>20</v>
      </c>
      <c r="E535" t="s">
        <v>34</v>
      </c>
      <c r="F535" t="s">
        <v>45</v>
      </c>
      <c r="G535" s="1">
        <v>45133</v>
      </c>
      <c r="H535" s="1">
        <v>45137</v>
      </c>
      <c r="I535" s="1">
        <v>45148</v>
      </c>
      <c r="J535">
        <v>15</v>
      </c>
      <c r="K535">
        <v>4</v>
      </c>
      <c r="L535">
        <v>14</v>
      </c>
      <c r="M535">
        <v>410.82</v>
      </c>
      <c r="N535">
        <v>5751.48</v>
      </c>
      <c r="O535">
        <v>0.05</v>
      </c>
      <c r="P535">
        <v>287.57</v>
      </c>
      <c r="Q535">
        <v>5463.91</v>
      </c>
      <c r="R535">
        <v>3393.37</v>
      </c>
      <c r="S535">
        <v>2070.54</v>
      </c>
    </row>
    <row r="536" spans="1:19" x14ac:dyDescent="0.35">
      <c r="A536">
        <v>100534</v>
      </c>
      <c r="B536">
        <v>4455</v>
      </c>
      <c r="C536" t="s">
        <v>33</v>
      </c>
      <c r="D536" t="s">
        <v>20</v>
      </c>
      <c r="E536" t="s">
        <v>24</v>
      </c>
      <c r="F536" t="s">
        <v>32</v>
      </c>
      <c r="G536" s="1">
        <v>45077</v>
      </c>
      <c r="H536" s="1">
        <v>45082</v>
      </c>
      <c r="I536" s="1">
        <v>45095</v>
      </c>
      <c r="J536">
        <v>18</v>
      </c>
      <c r="K536">
        <v>5</v>
      </c>
      <c r="L536">
        <v>2</v>
      </c>
      <c r="M536">
        <v>621.69000000000005</v>
      </c>
      <c r="N536">
        <v>1243.3800000000001</v>
      </c>
      <c r="O536">
        <v>0.04</v>
      </c>
      <c r="P536">
        <v>49.74</v>
      </c>
      <c r="Q536">
        <v>1193.6400000000001</v>
      </c>
      <c r="R536">
        <v>746.03</v>
      </c>
      <c r="S536">
        <v>447.61</v>
      </c>
    </row>
    <row r="537" spans="1:19" x14ac:dyDescent="0.35">
      <c r="A537">
        <v>100535</v>
      </c>
      <c r="B537">
        <v>3930</v>
      </c>
      <c r="C537" t="s">
        <v>28</v>
      </c>
      <c r="D537" t="s">
        <v>20</v>
      </c>
      <c r="E537" t="s">
        <v>21</v>
      </c>
      <c r="F537" t="s">
        <v>41</v>
      </c>
      <c r="G537" s="1">
        <v>45043</v>
      </c>
      <c r="H537" s="1">
        <v>45047</v>
      </c>
      <c r="I537" s="1">
        <v>45072</v>
      </c>
      <c r="J537">
        <v>29</v>
      </c>
      <c r="K537">
        <v>4</v>
      </c>
      <c r="L537">
        <v>5</v>
      </c>
      <c r="M537">
        <v>746.09</v>
      </c>
      <c r="N537">
        <v>3730.45</v>
      </c>
      <c r="O537">
        <v>0.13</v>
      </c>
      <c r="P537">
        <v>484.96</v>
      </c>
      <c r="Q537">
        <v>3245.49</v>
      </c>
      <c r="R537">
        <v>2312.88</v>
      </c>
      <c r="S537">
        <v>932.61</v>
      </c>
    </row>
    <row r="538" spans="1:19" x14ac:dyDescent="0.35">
      <c r="A538">
        <v>100536</v>
      </c>
      <c r="B538">
        <v>1046</v>
      </c>
      <c r="C538" t="s">
        <v>19</v>
      </c>
      <c r="D538" t="s">
        <v>31</v>
      </c>
      <c r="E538" t="s">
        <v>21</v>
      </c>
      <c r="F538" t="s">
        <v>41</v>
      </c>
      <c r="G538" s="1">
        <v>45016</v>
      </c>
      <c r="H538" s="1">
        <v>45017</v>
      </c>
      <c r="I538" s="1">
        <v>45035</v>
      </c>
      <c r="J538">
        <v>19</v>
      </c>
      <c r="K538">
        <v>1</v>
      </c>
      <c r="L538">
        <v>7</v>
      </c>
      <c r="M538">
        <v>634.83000000000004</v>
      </c>
      <c r="N538">
        <v>4443.8100000000004</v>
      </c>
      <c r="O538">
        <v>0.04</v>
      </c>
      <c r="P538">
        <v>177.75</v>
      </c>
      <c r="Q538">
        <v>4266.0600000000004</v>
      </c>
      <c r="R538">
        <v>2710.72</v>
      </c>
      <c r="S538">
        <v>1555.34</v>
      </c>
    </row>
    <row r="539" spans="1:19" x14ac:dyDescent="0.35">
      <c r="A539">
        <v>100537</v>
      </c>
      <c r="B539">
        <v>3546</v>
      </c>
      <c r="C539" t="s">
        <v>23</v>
      </c>
      <c r="D539" t="s">
        <v>20</v>
      </c>
      <c r="E539" t="s">
        <v>21</v>
      </c>
      <c r="F539" t="s">
        <v>22</v>
      </c>
      <c r="G539" s="1">
        <v>45044</v>
      </c>
      <c r="H539" s="1">
        <v>45047</v>
      </c>
      <c r="I539" s="1">
        <v>45061</v>
      </c>
      <c r="J539">
        <v>17</v>
      </c>
      <c r="K539">
        <v>3</v>
      </c>
      <c r="L539">
        <v>7</v>
      </c>
      <c r="M539">
        <v>792.7</v>
      </c>
      <c r="N539">
        <v>5548.9</v>
      </c>
      <c r="O539">
        <v>0.13</v>
      </c>
      <c r="P539">
        <v>721.36</v>
      </c>
      <c r="Q539">
        <v>4827.54</v>
      </c>
      <c r="R539">
        <v>2996.41</v>
      </c>
      <c r="S539">
        <v>1831.13</v>
      </c>
    </row>
    <row r="540" spans="1:19" x14ac:dyDescent="0.35">
      <c r="A540">
        <v>100538</v>
      </c>
      <c r="B540">
        <v>3307</v>
      </c>
      <c r="C540" t="s">
        <v>19</v>
      </c>
      <c r="D540" t="s">
        <v>20</v>
      </c>
      <c r="E540" t="s">
        <v>21</v>
      </c>
      <c r="F540" t="s">
        <v>22</v>
      </c>
      <c r="G540" s="1">
        <v>45116</v>
      </c>
      <c r="H540" s="1">
        <v>45119</v>
      </c>
      <c r="I540" s="1">
        <v>45141</v>
      </c>
      <c r="J540">
        <v>25</v>
      </c>
      <c r="K540">
        <v>3</v>
      </c>
      <c r="L540">
        <v>4</v>
      </c>
      <c r="M540">
        <v>303.94</v>
      </c>
      <c r="N540">
        <v>1215.76</v>
      </c>
      <c r="O540">
        <v>0.11</v>
      </c>
      <c r="P540">
        <v>133.72999999999999</v>
      </c>
      <c r="Q540">
        <v>1082.03</v>
      </c>
      <c r="R540">
        <v>729.46</v>
      </c>
      <c r="S540">
        <v>352.57</v>
      </c>
    </row>
    <row r="541" spans="1:19" x14ac:dyDescent="0.35">
      <c r="A541">
        <v>100539</v>
      </c>
      <c r="B541">
        <v>4797</v>
      </c>
      <c r="C541" t="s">
        <v>23</v>
      </c>
      <c r="D541" t="s">
        <v>20</v>
      </c>
      <c r="E541" t="s">
        <v>26</v>
      </c>
      <c r="F541" t="s">
        <v>27</v>
      </c>
      <c r="G541" s="1">
        <v>45208</v>
      </c>
      <c r="H541" s="1">
        <v>45213</v>
      </c>
      <c r="I541" s="1">
        <v>45217</v>
      </c>
      <c r="J541">
        <v>9</v>
      </c>
      <c r="K541">
        <v>5</v>
      </c>
      <c r="L541">
        <v>4</v>
      </c>
      <c r="M541">
        <v>633.39</v>
      </c>
      <c r="N541">
        <v>2533.56</v>
      </c>
      <c r="O541">
        <v>0.09</v>
      </c>
      <c r="P541">
        <v>228.02</v>
      </c>
      <c r="Q541">
        <v>2305.54</v>
      </c>
      <c r="R541">
        <v>1469.46</v>
      </c>
      <c r="S541">
        <v>836.08</v>
      </c>
    </row>
    <row r="542" spans="1:19" x14ac:dyDescent="0.35">
      <c r="A542">
        <v>100540</v>
      </c>
      <c r="B542">
        <v>4106</v>
      </c>
      <c r="C542" t="s">
        <v>23</v>
      </c>
      <c r="D542" t="s">
        <v>20</v>
      </c>
      <c r="E542" t="s">
        <v>21</v>
      </c>
      <c r="F542" t="s">
        <v>22</v>
      </c>
      <c r="G542" s="1">
        <v>44957</v>
      </c>
      <c r="H542" s="1">
        <v>44959</v>
      </c>
      <c r="I542" s="1">
        <v>44986</v>
      </c>
      <c r="J542">
        <v>29</v>
      </c>
      <c r="K542">
        <v>2</v>
      </c>
      <c r="L542">
        <v>9</v>
      </c>
      <c r="M542">
        <v>275.76</v>
      </c>
      <c r="N542">
        <v>2481.84</v>
      </c>
      <c r="O542">
        <v>0.09</v>
      </c>
      <c r="P542">
        <v>223.37</v>
      </c>
      <c r="Q542">
        <v>2258.4699999999998</v>
      </c>
      <c r="R542">
        <v>1414.65</v>
      </c>
      <c r="S542">
        <v>843.82</v>
      </c>
    </row>
    <row r="543" spans="1:19" x14ac:dyDescent="0.35">
      <c r="A543">
        <v>100541</v>
      </c>
      <c r="B543">
        <v>1020</v>
      </c>
      <c r="C543" t="s">
        <v>28</v>
      </c>
      <c r="D543" t="s">
        <v>31</v>
      </c>
      <c r="E543" t="s">
        <v>24</v>
      </c>
      <c r="F543" t="s">
        <v>30</v>
      </c>
      <c r="G543" s="1">
        <v>45033</v>
      </c>
      <c r="H543" s="1">
        <v>45036</v>
      </c>
      <c r="I543" s="1">
        <v>45055</v>
      </c>
      <c r="J543">
        <v>22</v>
      </c>
      <c r="K543">
        <v>3</v>
      </c>
      <c r="L543">
        <v>1</v>
      </c>
      <c r="M543">
        <v>278.47000000000003</v>
      </c>
      <c r="N543">
        <v>278.47000000000003</v>
      </c>
      <c r="O543">
        <v>0.12</v>
      </c>
      <c r="P543">
        <v>33.42</v>
      </c>
      <c r="Q543">
        <v>245.05</v>
      </c>
      <c r="R543">
        <v>200.5</v>
      </c>
      <c r="S543">
        <v>44.55</v>
      </c>
    </row>
    <row r="544" spans="1:19" x14ac:dyDescent="0.35">
      <c r="A544">
        <v>100542</v>
      </c>
      <c r="B544">
        <v>3669</v>
      </c>
      <c r="C544" t="s">
        <v>23</v>
      </c>
      <c r="D544" t="s">
        <v>20</v>
      </c>
      <c r="E544" t="s">
        <v>34</v>
      </c>
      <c r="F544" t="s">
        <v>45</v>
      </c>
      <c r="G544" s="1">
        <v>45003</v>
      </c>
      <c r="H544" s="1">
        <v>45006</v>
      </c>
      <c r="I544" s="1">
        <v>45009</v>
      </c>
      <c r="J544">
        <v>6</v>
      </c>
      <c r="K544">
        <v>3</v>
      </c>
      <c r="L544">
        <v>3</v>
      </c>
      <c r="M544">
        <v>230.31</v>
      </c>
      <c r="N544">
        <v>690.93</v>
      </c>
      <c r="O544">
        <v>7.0000000000000007E-2</v>
      </c>
      <c r="P544">
        <v>48.37</v>
      </c>
      <c r="Q544">
        <v>642.55999999999995</v>
      </c>
      <c r="R544">
        <v>449.1</v>
      </c>
      <c r="S544">
        <v>193.46</v>
      </c>
    </row>
    <row r="545" spans="1:19" x14ac:dyDescent="0.35">
      <c r="A545">
        <v>100543</v>
      </c>
      <c r="B545">
        <v>3064</v>
      </c>
      <c r="C545" t="s">
        <v>28</v>
      </c>
      <c r="D545" t="s">
        <v>29</v>
      </c>
      <c r="E545" t="s">
        <v>24</v>
      </c>
      <c r="F545" t="s">
        <v>32</v>
      </c>
      <c r="G545" s="1">
        <v>45270</v>
      </c>
      <c r="H545" s="1">
        <v>45271</v>
      </c>
      <c r="I545" s="1">
        <v>45279</v>
      </c>
      <c r="J545">
        <v>9</v>
      </c>
      <c r="K545">
        <v>1</v>
      </c>
      <c r="L545">
        <v>13</v>
      </c>
      <c r="M545">
        <v>553.21</v>
      </c>
      <c r="N545">
        <v>7191.73</v>
      </c>
      <c r="O545">
        <v>0.09</v>
      </c>
      <c r="P545">
        <v>647.26</v>
      </c>
      <c r="Q545">
        <v>6544.47</v>
      </c>
      <c r="R545">
        <v>4027.37</v>
      </c>
      <c r="S545">
        <v>2517.1</v>
      </c>
    </row>
    <row r="546" spans="1:19" x14ac:dyDescent="0.35">
      <c r="A546">
        <v>100544</v>
      </c>
      <c r="B546">
        <v>2130</v>
      </c>
      <c r="C546" t="s">
        <v>28</v>
      </c>
      <c r="D546" t="s">
        <v>29</v>
      </c>
      <c r="E546" t="s">
        <v>34</v>
      </c>
      <c r="F546" t="s">
        <v>45</v>
      </c>
      <c r="G546" s="1">
        <v>45285</v>
      </c>
      <c r="H546" s="1">
        <v>45286</v>
      </c>
      <c r="I546" s="1">
        <v>45309</v>
      </c>
      <c r="J546">
        <v>24</v>
      </c>
      <c r="K546">
        <v>1</v>
      </c>
      <c r="L546">
        <v>7</v>
      </c>
      <c r="M546">
        <v>243.64</v>
      </c>
      <c r="N546">
        <v>1705.48</v>
      </c>
      <c r="O546">
        <v>0.02</v>
      </c>
      <c r="P546">
        <v>34.11</v>
      </c>
      <c r="Q546">
        <v>1671.37</v>
      </c>
      <c r="R546">
        <v>1006.23</v>
      </c>
      <c r="S546">
        <v>665.14</v>
      </c>
    </row>
    <row r="547" spans="1:19" x14ac:dyDescent="0.35">
      <c r="A547">
        <v>100545</v>
      </c>
      <c r="B547">
        <v>3797</v>
      </c>
      <c r="C547" t="s">
        <v>19</v>
      </c>
      <c r="D547" t="s">
        <v>29</v>
      </c>
      <c r="E547" t="s">
        <v>34</v>
      </c>
      <c r="F547" t="s">
        <v>35</v>
      </c>
      <c r="G547" s="1">
        <v>45176</v>
      </c>
      <c r="H547" s="1">
        <v>45180</v>
      </c>
      <c r="I547" s="1">
        <v>45204</v>
      </c>
      <c r="J547">
        <v>28</v>
      </c>
      <c r="K547">
        <v>4</v>
      </c>
      <c r="L547">
        <v>1</v>
      </c>
      <c r="M547">
        <v>632.88</v>
      </c>
      <c r="N547">
        <v>632.88</v>
      </c>
      <c r="O547">
        <v>0.05</v>
      </c>
      <c r="P547">
        <v>31.64</v>
      </c>
      <c r="Q547">
        <v>601.24</v>
      </c>
      <c r="R547">
        <v>405.04</v>
      </c>
      <c r="S547">
        <v>196.2</v>
      </c>
    </row>
    <row r="548" spans="1:19" x14ac:dyDescent="0.35">
      <c r="A548">
        <v>100546</v>
      </c>
      <c r="B548">
        <v>3838</v>
      </c>
      <c r="C548" t="s">
        <v>19</v>
      </c>
      <c r="D548" t="s">
        <v>31</v>
      </c>
      <c r="E548" t="s">
        <v>24</v>
      </c>
      <c r="F548" t="s">
        <v>32</v>
      </c>
      <c r="G548" s="1">
        <v>45175</v>
      </c>
      <c r="H548" s="1">
        <v>45178</v>
      </c>
      <c r="I548" s="1">
        <v>45182</v>
      </c>
      <c r="J548">
        <v>7</v>
      </c>
      <c r="K548">
        <v>3</v>
      </c>
      <c r="L548">
        <v>8</v>
      </c>
      <c r="M548">
        <v>267.41000000000003</v>
      </c>
      <c r="N548">
        <v>2139.2800000000002</v>
      </c>
      <c r="O548">
        <v>0.09</v>
      </c>
      <c r="P548">
        <v>192.54</v>
      </c>
      <c r="Q548">
        <v>1946.74</v>
      </c>
      <c r="R548">
        <v>1347.75</v>
      </c>
      <c r="S548">
        <v>598.99</v>
      </c>
    </row>
    <row r="549" spans="1:19" x14ac:dyDescent="0.35">
      <c r="A549">
        <v>100547</v>
      </c>
      <c r="B549">
        <v>2604</v>
      </c>
      <c r="C549" t="s">
        <v>23</v>
      </c>
      <c r="D549" t="s">
        <v>20</v>
      </c>
      <c r="E549" t="s">
        <v>24</v>
      </c>
      <c r="F549" t="s">
        <v>25</v>
      </c>
      <c r="G549" s="1">
        <v>45015</v>
      </c>
      <c r="H549" s="1">
        <v>45016</v>
      </c>
      <c r="I549" s="1">
        <v>45043</v>
      </c>
      <c r="J549">
        <v>28</v>
      </c>
      <c r="K549">
        <v>1</v>
      </c>
      <c r="L549">
        <v>13</v>
      </c>
      <c r="M549">
        <v>551.64</v>
      </c>
      <c r="N549">
        <v>7171.32</v>
      </c>
      <c r="O549">
        <v>0.03</v>
      </c>
      <c r="P549">
        <v>215.14</v>
      </c>
      <c r="Q549">
        <v>6956.18</v>
      </c>
      <c r="R549">
        <v>4948.21</v>
      </c>
      <c r="S549">
        <v>2007.97</v>
      </c>
    </row>
    <row r="550" spans="1:19" x14ac:dyDescent="0.35">
      <c r="A550">
        <v>100548</v>
      </c>
      <c r="B550">
        <v>3577</v>
      </c>
      <c r="C550" t="s">
        <v>19</v>
      </c>
      <c r="D550" t="s">
        <v>31</v>
      </c>
      <c r="E550" t="s">
        <v>24</v>
      </c>
      <c r="F550" t="s">
        <v>30</v>
      </c>
      <c r="G550" s="1">
        <v>45269</v>
      </c>
      <c r="H550" s="1">
        <v>45274</v>
      </c>
      <c r="I550" s="1">
        <v>45290</v>
      </c>
      <c r="J550">
        <v>21</v>
      </c>
      <c r="K550">
        <v>5</v>
      </c>
      <c r="L550">
        <v>10</v>
      </c>
      <c r="M550">
        <v>99.69</v>
      </c>
      <c r="N550">
        <v>996.9</v>
      </c>
      <c r="O550">
        <v>0.08</v>
      </c>
      <c r="P550">
        <v>79.75</v>
      </c>
      <c r="Q550">
        <v>917.15</v>
      </c>
      <c r="R550">
        <v>677.89</v>
      </c>
      <c r="S550">
        <v>239.26</v>
      </c>
    </row>
    <row r="551" spans="1:19" x14ac:dyDescent="0.35">
      <c r="A551">
        <v>100549</v>
      </c>
      <c r="B551">
        <v>2905</v>
      </c>
      <c r="C551" t="s">
        <v>23</v>
      </c>
      <c r="D551" t="s">
        <v>31</v>
      </c>
      <c r="E551" t="s">
        <v>34</v>
      </c>
      <c r="F551" t="s">
        <v>45</v>
      </c>
      <c r="G551" s="1">
        <v>45082</v>
      </c>
      <c r="H551" s="1">
        <v>45084</v>
      </c>
      <c r="I551" s="1">
        <v>45103</v>
      </c>
      <c r="J551">
        <v>21</v>
      </c>
      <c r="K551">
        <v>2</v>
      </c>
      <c r="L551">
        <v>10</v>
      </c>
      <c r="M551">
        <v>501.09</v>
      </c>
      <c r="N551">
        <v>5010.8999999999996</v>
      </c>
      <c r="O551">
        <v>7.0000000000000007E-2</v>
      </c>
      <c r="P551">
        <v>350.76</v>
      </c>
      <c r="Q551">
        <v>4660.1400000000003</v>
      </c>
      <c r="R551">
        <v>3156.87</v>
      </c>
      <c r="S551">
        <v>1503.27</v>
      </c>
    </row>
    <row r="552" spans="1:19" x14ac:dyDescent="0.35">
      <c r="A552">
        <v>100550</v>
      </c>
      <c r="B552">
        <v>2179</v>
      </c>
      <c r="C552" t="s">
        <v>23</v>
      </c>
      <c r="D552" t="s">
        <v>29</v>
      </c>
      <c r="E552" t="s">
        <v>24</v>
      </c>
      <c r="F552" t="s">
        <v>25</v>
      </c>
      <c r="G552" s="1">
        <v>45233</v>
      </c>
      <c r="H552" s="1">
        <v>45234</v>
      </c>
      <c r="I552" s="1">
        <v>45246</v>
      </c>
      <c r="J552">
        <v>13</v>
      </c>
      <c r="K552">
        <v>1</v>
      </c>
      <c r="L552">
        <v>10</v>
      </c>
      <c r="M552">
        <v>107.54</v>
      </c>
      <c r="N552">
        <v>1075.4000000000001</v>
      </c>
      <c r="O552">
        <v>0.03</v>
      </c>
      <c r="P552">
        <v>32.26</v>
      </c>
      <c r="Q552">
        <v>1043.1400000000001</v>
      </c>
      <c r="R552">
        <v>688.26</v>
      </c>
      <c r="S552">
        <v>354.88</v>
      </c>
    </row>
    <row r="553" spans="1:19" x14ac:dyDescent="0.35">
      <c r="A553">
        <v>100551</v>
      </c>
      <c r="B553">
        <v>3463</v>
      </c>
      <c r="C553" t="s">
        <v>28</v>
      </c>
      <c r="D553" t="s">
        <v>31</v>
      </c>
      <c r="E553" t="s">
        <v>26</v>
      </c>
      <c r="F553" t="s">
        <v>36</v>
      </c>
      <c r="G553" s="1">
        <v>45290</v>
      </c>
      <c r="H553" s="1">
        <v>45291</v>
      </c>
      <c r="I553" s="1">
        <v>45300</v>
      </c>
      <c r="J553">
        <v>10</v>
      </c>
      <c r="K553">
        <v>1</v>
      </c>
      <c r="L553">
        <v>7</v>
      </c>
      <c r="M553">
        <v>92.99</v>
      </c>
      <c r="N553">
        <v>650.92999999999995</v>
      </c>
      <c r="O553">
        <v>0.11</v>
      </c>
      <c r="P553">
        <v>71.599999999999994</v>
      </c>
      <c r="Q553">
        <v>579.33000000000004</v>
      </c>
      <c r="R553">
        <v>403.58</v>
      </c>
      <c r="S553">
        <v>175.75</v>
      </c>
    </row>
    <row r="554" spans="1:19" x14ac:dyDescent="0.35">
      <c r="A554">
        <v>100552</v>
      </c>
      <c r="B554">
        <v>3895</v>
      </c>
      <c r="C554" t="s">
        <v>28</v>
      </c>
      <c r="D554" t="s">
        <v>20</v>
      </c>
      <c r="E554" t="s">
        <v>26</v>
      </c>
      <c r="F554" t="s">
        <v>37</v>
      </c>
      <c r="G554" s="1">
        <v>44944</v>
      </c>
      <c r="H554" s="1">
        <v>44946</v>
      </c>
      <c r="I554" s="1">
        <v>44965</v>
      </c>
      <c r="J554">
        <v>21</v>
      </c>
      <c r="K554">
        <v>2</v>
      </c>
      <c r="L554">
        <v>3</v>
      </c>
      <c r="M554">
        <v>153.66</v>
      </c>
      <c r="N554">
        <v>460.98</v>
      </c>
      <c r="O554">
        <v>0.15</v>
      </c>
      <c r="P554">
        <v>69.150000000000006</v>
      </c>
      <c r="Q554">
        <v>391.83</v>
      </c>
      <c r="R554">
        <v>295.02999999999997</v>
      </c>
      <c r="S554">
        <v>96.8</v>
      </c>
    </row>
    <row r="555" spans="1:19" x14ac:dyDescent="0.35">
      <c r="A555">
        <v>100553</v>
      </c>
      <c r="B555">
        <v>2074</v>
      </c>
      <c r="C555" t="s">
        <v>19</v>
      </c>
      <c r="D555" t="s">
        <v>20</v>
      </c>
      <c r="E555" t="s">
        <v>34</v>
      </c>
      <c r="F555" t="s">
        <v>43</v>
      </c>
      <c r="G555" s="1">
        <v>44979</v>
      </c>
      <c r="H555" s="1">
        <v>44980</v>
      </c>
      <c r="I555" s="1">
        <v>45007</v>
      </c>
      <c r="J555">
        <v>28</v>
      </c>
      <c r="K555">
        <v>1</v>
      </c>
      <c r="L555">
        <v>5</v>
      </c>
      <c r="M555">
        <v>446.9</v>
      </c>
      <c r="N555">
        <v>2234.5</v>
      </c>
      <c r="O555">
        <v>0.16</v>
      </c>
      <c r="P555">
        <v>357.52</v>
      </c>
      <c r="Q555">
        <v>1876.98</v>
      </c>
      <c r="R555">
        <v>1407.74</v>
      </c>
      <c r="S555">
        <v>469.24</v>
      </c>
    </row>
    <row r="556" spans="1:19" x14ac:dyDescent="0.35">
      <c r="A556">
        <v>100554</v>
      </c>
      <c r="B556">
        <v>3008</v>
      </c>
      <c r="C556" t="s">
        <v>19</v>
      </c>
      <c r="D556" t="s">
        <v>31</v>
      </c>
      <c r="E556" t="s">
        <v>24</v>
      </c>
      <c r="F556" t="s">
        <v>32</v>
      </c>
      <c r="G556" s="1">
        <v>44931</v>
      </c>
      <c r="H556" s="1">
        <v>44932</v>
      </c>
      <c r="I556" s="1">
        <v>44954</v>
      </c>
      <c r="J556">
        <v>23</v>
      </c>
      <c r="K556">
        <v>1</v>
      </c>
      <c r="L556">
        <v>11</v>
      </c>
      <c r="M556">
        <v>117.74</v>
      </c>
      <c r="N556">
        <v>1295.1400000000001</v>
      </c>
      <c r="O556">
        <v>0.02</v>
      </c>
      <c r="P556">
        <v>25.9</v>
      </c>
      <c r="Q556">
        <v>1269.24</v>
      </c>
      <c r="R556">
        <v>660.52</v>
      </c>
      <c r="S556">
        <v>608.72</v>
      </c>
    </row>
    <row r="557" spans="1:19" x14ac:dyDescent="0.35">
      <c r="A557">
        <v>100555</v>
      </c>
      <c r="B557">
        <v>3728</v>
      </c>
      <c r="C557" t="s">
        <v>33</v>
      </c>
      <c r="D557" t="s">
        <v>29</v>
      </c>
      <c r="E557" t="s">
        <v>21</v>
      </c>
      <c r="F557" t="s">
        <v>22</v>
      </c>
      <c r="G557" s="1">
        <v>45016</v>
      </c>
      <c r="H557" s="1">
        <v>45019</v>
      </c>
      <c r="I557" s="1">
        <v>45032</v>
      </c>
      <c r="J557">
        <v>16</v>
      </c>
      <c r="K557">
        <v>3</v>
      </c>
      <c r="L557">
        <v>5</v>
      </c>
      <c r="M557">
        <v>729.54</v>
      </c>
      <c r="N557">
        <v>3647.7</v>
      </c>
      <c r="O557">
        <v>0.1</v>
      </c>
      <c r="P557">
        <v>364.77</v>
      </c>
      <c r="Q557">
        <v>3282.93</v>
      </c>
      <c r="R557">
        <v>2188.62</v>
      </c>
      <c r="S557">
        <v>1094.31</v>
      </c>
    </row>
    <row r="558" spans="1:19" x14ac:dyDescent="0.35">
      <c r="A558">
        <v>100556</v>
      </c>
      <c r="B558">
        <v>4347</v>
      </c>
      <c r="C558" t="s">
        <v>33</v>
      </c>
      <c r="D558" t="s">
        <v>29</v>
      </c>
      <c r="E558" t="s">
        <v>34</v>
      </c>
      <c r="F558" t="s">
        <v>43</v>
      </c>
      <c r="G558" s="1">
        <v>45148</v>
      </c>
      <c r="H558" s="1">
        <v>45149</v>
      </c>
      <c r="I558" s="1">
        <v>45163</v>
      </c>
      <c r="J558">
        <v>15</v>
      </c>
      <c r="K558">
        <v>1</v>
      </c>
      <c r="L558">
        <v>11</v>
      </c>
      <c r="M558">
        <v>675.49</v>
      </c>
      <c r="N558">
        <v>7430.39</v>
      </c>
      <c r="O558">
        <v>0.05</v>
      </c>
      <c r="P558">
        <v>371.52</v>
      </c>
      <c r="Q558">
        <v>7058.87</v>
      </c>
      <c r="R558">
        <v>4978.3599999999997</v>
      </c>
      <c r="S558">
        <v>2080.5100000000002</v>
      </c>
    </row>
    <row r="559" spans="1:19" x14ac:dyDescent="0.35">
      <c r="A559">
        <v>100557</v>
      </c>
      <c r="B559">
        <v>2271</v>
      </c>
      <c r="C559" t="s">
        <v>33</v>
      </c>
      <c r="D559" t="s">
        <v>31</v>
      </c>
      <c r="E559" t="s">
        <v>24</v>
      </c>
      <c r="F559" t="s">
        <v>25</v>
      </c>
      <c r="G559" s="1">
        <v>45258</v>
      </c>
      <c r="H559" s="1">
        <v>45261</v>
      </c>
      <c r="I559" s="1">
        <v>45284</v>
      </c>
      <c r="J559">
        <v>26</v>
      </c>
      <c r="K559">
        <v>3</v>
      </c>
      <c r="L559">
        <v>8</v>
      </c>
      <c r="M559">
        <v>624.94000000000005</v>
      </c>
      <c r="N559">
        <v>4999.5200000000004</v>
      </c>
      <c r="O559">
        <v>0.06</v>
      </c>
      <c r="P559">
        <v>299.97000000000003</v>
      </c>
      <c r="Q559">
        <v>4699.55</v>
      </c>
      <c r="R559">
        <v>3149.7</v>
      </c>
      <c r="S559">
        <v>1549.85</v>
      </c>
    </row>
    <row r="560" spans="1:19" x14ac:dyDescent="0.35">
      <c r="A560">
        <v>100558</v>
      </c>
      <c r="B560">
        <v>4977</v>
      </c>
      <c r="C560" t="s">
        <v>23</v>
      </c>
      <c r="D560" t="s">
        <v>31</v>
      </c>
      <c r="E560" t="s">
        <v>34</v>
      </c>
      <c r="F560" t="s">
        <v>35</v>
      </c>
      <c r="G560" s="1">
        <v>45028</v>
      </c>
      <c r="H560" s="1">
        <v>45030</v>
      </c>
      <c r="I560" s="1">
        <v>45040</v>
      </c>
      <c r="J560">
        <v>12</v>
      </c>
      <c r="K560">
        <v>2</v>
      </c>
      <c r="L560">
        <v>14</v>
      </c>
      <c r="M560">
        <v>467.23</v>
      </c>
      <c r="N560">
        <v>6541.22</v>
      </c>
      <c r="O560">
        <v>0.03</v>
      </c>
      <c r="P560">
        <v>196.24</v>
      </c>
      <c r="Q560">
        <v>6344.98</v>
      </c>
      <c r="R560">
        <v>4120.97</v>
      </c>
      <c r="S560">
        <v>2224.0100000000002</v>
      </c>
    </row>
    <row r="561" spans="1:19" x14ac:dyDescent="0.35">
      <c r="A561">
        <v>100559</v>
      </c>
      <c r="B561">
        <v>4790</v>
      </c>
      <c r="C561" t="s">
        <v>23</v>
      </c>
      <c r="D561" t="s">
        <v>31</v>
      </c>
      <c r="E561" t="s">
        <v>21</v>
      </c>
      <c r="F561" t="s">
        <v>39</v>
      </c>
      <c r="G561" s="1">
        <v>45181</v>
      </c>
      <c r="H561" s="1">
        <v>45184</v>
      </c>
      <c r="I561" s="1">
        <v>45204</v>
      </c>
      <c r="J561">
        <v>23</v>
      </c>
      <c r="K561">
        <v>3</v>
      </c>
      <c r="L561">
        <v>13</v>
      </c>
      <c r="M561">
        <v>689.56</v>
      </c>
      <c r="N561">
        <v>8964.2800000000007</v>
      </c>
      <c r="O561">
        <v>0.13</v>
      </c>
      <c r="P561">
        <v>1165.3599999999999</v>
      </c>
      <c r="Q561">
        <v>7798.92</v>
      </c>
      <c r="R561">
        <v>5557.85</v>
      </c>
      <c r="S561">
        <v>2241.0700000000002</v>
      </c>
    </row>
    <row r="562" spans="1:19" x14ac:dyDescent="0.35">
      <c r="A562">
        <v>100560</v>
      </c>
      <c r="B562">
        <v>4515</v>
      </c>
      <c r="C562" t="s">
        <v>23</v>
      </c>
      <c r="D562" t="s">
        <v>29</v>
      </c>
      <c r="E562" t="s">
        <v>21</v>
      </c>
      <c r="F562" t="s">
        <v>39</v>
      </c>
      <c r="G562" s="1">
        <v>45150</v>
      </c>
      <c r="H562" s="1">
        <v>45154</v>
      </c>
      <c r="I562" s="1">
        <v>45172</v>
      </c>
      <c r="J562">
        <v>22</v>
      </c>
      <c r="K562">
        <v>4</v>
      </c>
      <c r="L562">
        <v>13</v>
      </c>
      <c r="M562">
        <v>795.34</v>
      </c>
      <c r="N562">
        <v>10339.42</v>
      </c>
      <c r="O562">
        <v>0.01</v>
      </c>
      <c r="P562">
        <v>103.39</v>
      </c>
      <c r="Q562">
        <v>10236.030000000001</v>
      </c>
      <c r="R562">
        <v>6617.23</v>
      </c>
      <c r="S562">
        <v>3618.8</v>
      </c>
    </row>
    <row r="563" spans="1:19" x14ac:dyDescent="0.35">
      <c r="A563">
        <v>100561</v>
      </c>
      <c r="B563">
        <v>2058</v>
      </c>
      <c r="C563" t="s">
        <v>19</v>
      </c>
      <c r="D563" t="s">
        <v>29</v>
      </c>
      <c r="E563" t="s">
        <v>24</v>
      </c>
      <c r="F563" t="s">
        <v>25</v>
      </c>
      <c r="G563" s="1">
        <v>44985</v>
      </c>
      <c r="H563" s="1">
        <v>44986</v>
      </c>
      <c r="I563" s="1">
        <v>44992</v>
      </c>
      <c r="J563">
        <v>7</v>
      </c>
      <c r="K563">
        <v>1</v>
      </c>
      <c r="L563">
        <v>9</v>
      </c>
      <c r="M563">
        <v>409.03</v>
      </c>
      <c r="N563">
        <v>3681.27</v>
      </c>
      <c r="O563">
        <v>0.13</v>
      </c>
      <c r="P563">
        <v>478.57</v>
      </c>
      <c r="Q563">
        <v>3202.7</v>
      </c>
      <c r="R563">
        <v>2429.64</v>
      </c>
      <c r="S563">
        <v>773.06</v>
      </c>
    </row>
    <row r="564" spans="1:19" x14ac:dyDescent="0.35">
      <c r="A564">
        <v>100562</v>
      </c>
      <c r="B564">
        <v>3846</v>
      </c>
      <c r="C564" t="s">
        <v>19</v>
      </c>
      <c r="D564" t="s">
        <v>20</v>
      </c>
      <c r="E564" t="s">
        <v>24</v>
      </c>
      <c r="F564" t="s">
        <v>32</v>
      </c>
      <c r="G564" s="1">
        <v>44930</v>
      </c>
      <c r="H564" s="1">
        <v>44931</v>
      </c>
      <c r="I564" s="1">
        <v>44947</v>
      </c>
      <c r="J564">
        <v>17</v>
      </c>
      <c r="K564">
        <v>1</v>
      </c>
      <c r="L564">
        <v>14</v>
      </c>
      <c r="M564">
        <v>671.76</v>
      </c>
      <c r="N564">
        <v>9404.64</v>
      </c>
      <c r="O564">
        <v>0.16</v>
      </c>
      <c r="P564">
        <v>1504.74</v>
      </c>
      <c r="Q564">
        <v>7899.9</v>
      </c>
      <c r="R564">
        <v>6771.34</v>
      </c>
      <c r="S564">
        <v>1128.56</v>
      </c>
    </row>
    <row r="565" spans="1:19" x14ac:dyDescent="0.35">
      <c r="A565">
        <v>100563</v>
      </c>
      <c r="B565">
        <v>2437</v>
      </c>
      <c r="C565" t="s">
        <v>19</v>
      </c>
      <c r="D565" t="s">
        <v>20</v>
      </c>
      <c r="E565" t="s">
        <v>21</v>
      </c>
      <c r="F565" t="s">
        <v>38</v>
      </c>
      <c r="G565" s="1">
        <v>45175</v>
      </c>
      <c r="H565" s="1">
        <v>45180</v>
      </c>
      <c r="I565" s="1">
        <v>45195</v>
      </c>
      <c r="J565">
        <v>20</v>
      </c>
      <c r="K565">
        <v>5</v>
      </c>
      <c r="L565">
        <v>5</v>
      </c>
      <c r="M565">
        <v>396.96</v>
      </c>
      <c r="N565">
        <v>1984.8</v>
      </c>
      <c r="O565">
        <v>7.0000000000000007E-2</v>
      </c>
      <c r="P565">
        <v>138.94</v>
      </c>
      <c r="Q565">
        <v>1845.86</v>
      </c>
      <c r="R565">
        <v>1429.06</v>
      </c>
      <c r="S565">
        <v>416.8</v>
      </c>
    </row>
    <row r="566" spans="1:19" x14ac:dyDescent="0.35">
      <c r="A566">
        <v>100564</v>
      </c>
      <c r="B566">
        <v>2494</v>
      </c>
      <c r="C566" t="s">
        <v>28</v>
      </c>
      <c r="D566" t="s">
        <v>20</v>
      </c>
      <c r="E566" t="s">
        <v>26</v>
      </c>
      <c r="F566" t="s">
        <v>37</v>
      </c>
      <c r="G566" s="1">
        <v>45158</v>
      </c>
      <c r="H566" s="1">
        <v>45161</v>
      </c>
      <c r="I566" s="1">
        <v>45177</v>
      </c>
      <c r="J566">
        <v>19</v>
      </c>
      <c r="K566">
        <v>3</v>
      </c>
      <c r="L566">
        <v>14</v>
      </c>
      <c r="M566">
        <v>788.32</v>
      </c>
      <c r="N566">
        <v>11036.48</v>
      </c>
      <c r="O566">
        <v>0.02</v>
      </c>
      <c r="P566">
        <v>220.73</v>
      </c>
      <c r="Q566">
        <v>10815.75</v>
      </c>
      <c r="R566">
        <v>6952.98</v>
      </c>
      <c r="S566">
        <v>3862.77</v>
      </c>
    </row>
    <row r="567" spans="1:19" x14ac:dyDescent="0.35">
      <c r="A567">
        <v>100565</v>
      </c>
      <c r="B567">
        <v>3731</v>
      </c>
      <c r="C567" t="s">
        <v>23</v>
      </c>
      <c r="D567" t="s">
        <v>29</v>
      </c>
      <c r="E567" t="s">
        <v>26</v>
      </c>
      <c r="F567" t="s">
        <v>36</v>
      </c>
      <c r="G567" s="1">
        <v>44989</v>
      </c>
      <c r="H567" s="1">
        <v>44990</v>
      </c>
      <c r="I567" s="1">
        <v>45006</v>
      </c>
      <c r="J567">
        <v>17</v>
      </c>
      <c r="K567">
        <v>1</v>
      </c>
      <c r="L567">
        <v>2</v>
      </c>
      <c r="M567">
        <v>607.41</v>
      </c>
      <c r="N567">
        <v>1214.82</v>
      </c>
      <c r="O567">
        <v>0.16</v>
      </c>
      <c r="P567">
        <v>194.37</v>
      </c>
      <c r="Q567">
        <v>1020.45</v>
      </c>
      <c r="R567">
        <v>850.37</v>
      </c>
      <c r="S567">
        <v>170.08</v>
      </c>
    </row>
    <row r="568" spans="1:19" x14ac:dyDescent="0.35">
      <c r="A568">
        <v>100566</v>
      </c>
      <c r="B568">
        <v>1481</v>
      </c>
      <c r="C568" t="s">
        <v>19</v>
      </c>
      <c r="D568" t="s">
        <v>29</v>
      </c>
      <c r="E568" t="s">
        <v>34</v>
      </c>
      <c r="F568" t="s">
        <v>45</v>
      </c>
      <c r="G568" s="1">
        <v>44927</v>
      </c>
      <c r="H568" s="1">
        <v>44929</v>
      </c>
      <c r="I568" s="1">
        <v>44952</v>
      </c>
      <c r="J568">
        <v>25</v>
      </c>
      <c r="K568">
        <v>2</v>
      </c>
      <c r="L568">
        <v>9</v>
      </c>
      <c r="M568">
        <v>489.03</v>
      </c>
      <c r="N568">
        <v>4401.2700000000004</v>
      </c>
      <c r="O568">
        <v>0.09</v>
      </c>
      <c r="P568">
        <v>396.11</v>
      </c>
      <c r="Q568">
        <v>4005.16</v>
      </c>
      <c r="R568">
        <v>2904.84</v>
      </c>
      <c r="S568">
        <v>1100.32</v>
      </c>
    </row>
    <row r="569" spans="1:19" x14ac:dyDescent="0.35">
      <c r="A569">
        <v>100567</v>
      </c>
      <c r="B569">
        <v>4932</v>
      </c>
      <c r="C569" t="s">
        <v>23</v>
      </c>
      <c r="D569" t="s">
        <v>29</v>
      </c>
      <c r="E569" t="s">
        <v>26</v>
      </c>
      <c r="F569" t="s">
        <v>36</v>
      </c>
      <c r="G569" s="1">
        <v>45291</v>
      </c>
      <c r="H569" s="1">
        <v>45294</v>
      </c>
      <c r="I569" s="1">
        <v>45301</v>
      </c>
      <c r="J569">
        <v>10</v>
      </c>
      <c r="K569">
        <v>3</v>
      </c>
      <c r="L569">
        <v>8</v>
      </c>
      <c r="M569">
        <v>769.94</v>
      </c>
      <c r="N569">
        <v>6159.52</v>
      </c>
      <c r="O569">
        <v>0</v>
      </c>
      <c r="P569">
        <v>0</v>
      </c>
      <c r="Q569">
        <v>6159.52</v>
      </c>
      <c r="R569">
        <v>3757.31</v>
      </c>
      <c r="S569">
        <v>2402.21</v>
      </c>
    </row>
    <row r="570" spans="1:19" x14ac:dyDescent="0.35">
      <c r="A570">
        <v>100568</v>
      </c>
      <c r="B570">
        <v>3252</v>
      </c>
      <c r="C570" t="s">
        <v>33</v>
      </c>
      <c r="D570" t="s">
        <v>29</v>
      </c>
      <c r="E570" t="s">
        <v>24</v>
      </c>
      <c r="F570" t="s">
        <v>25</v>
      </c>
      <c r="G570" s="1">
        <v>45047</v>
      </c>
      <c r="H570" s="1">
        <v>45048</v>
      </c>
      <c r="I570" s="1">
        <v>45073</v>
      </c>
      <c r="J570">
        <v>26</v>
      </c>
      <c r="K570">
        <v>1</v>
      </c>
      <c r="L570">
        <v>2</v>
      </c>
      <c r="M570">
        <v>747.21</v>
      </c>
      <c r="N570">
        <v>1494.42</v>
      </c>
      <c r="O570">
        <v>0.04</v>
      </c>
      <c r="P570">
        <v>59.78</v>
      </c>
      <c r="Q570">
        <v>1434.64</v>
      </c>
      <c r="R570">
        <v>926.54</v>
      </c>
      <c r="S570">
        <v>508.1</v>
      </c>
    </row>
    <row r="571" spans="1:19" x14ac:dyDescent="0.35">
      <c r="A571">
        <v>100569</v>
      </c>
      <c r="B571">
        <v>3006</v>
      </c>
      <c r="C571" t="s">
        <v>28</v>
      </c>
      <c r="D571" t="s">
        <v>31</v>
      </c>
      <c r="E571" t="s">
        <v>34</v>
      </c>
      <c r="F571" t="s">
        <v>35</v>
      </c>
      <c r="G571" s="1">
        <v>45006</v>
      </c>
      <c r="H571" s="1">
        <v>45008</v>
      </c>
      <c r="I571" s="1">
        <v>45035</v>
      </c>
      <c r="J571">
        <v>29</v>
      </c>
      <c r="K571">
        <v>2</v>
      </c>
      <c r="L571">
        <v>4</v>
      </c>
      <c r="M571">
        <v>589.63</v>
      </c>
      <c r="N571">
        <v>2358.52</v>
      </c>
      <c r="O571">
        <v>0.13</v>
      </c>
      <c r="P571">
        <v>306.61</v>
      </c>
      <c r="Q571">
        <v>2051.91</v>
      </c>
      <c r="R571">
        <v>1415.11</v>
      </c>
      <c r="S571">
        <v>636.79999999999995</v>
      </c>
    </row>
    <row r="572" spans="1:19" x14ac:dyDescent="0.35">
      <c r="A572">
        <v>100570</v>
      </c>
      <c r="B572">
        <v>1203</v>
      </c>
      <c r="C572" t="s">
        <v>33</v>
      </c>
      <c r="D572" t="s">
        <v>29</v>
      </c>
      <c r="E572" t="s">
        <v>21</v>
      </c>
      <c r="F572" t="s">
        <v>39</v>
      </c>
      <c r="G572" s="1">
        <v>45172</v>
      </c>
      <c r="H572" s="1">
        <v>45174</v>
      </c>
      <c r="I572" s="1">
        <v>45197</v>
      </c>
      <c r="J572">
        <v>25</v>
      </c>
      <c r="K572">
        <v>2</v>
      </c>
      <c r="L572">
        <v>9</v>
      </c>
      <c r="M572">
        <v>439.35</v>
      </c>
      <c r="N572">
        <v>3954.15</v>
      </c>
      <c r="O572">
        <v>0.04</v>
      </c>
      <c r="P572">
        <v>158.16999999999999</v>
      </c>
      <c r="Q572">
        <v>3795.98</v>
      </c>
      <c r="R572">
        <v>2056.16</v>
      </c>
      <c r="S572">
        <v>1739.82</v>
      </c>
    </row>
    <row r="573" spans="1:19" x14ac:dyDescent="0.35">
      <c r="A573">
        <v>100571</v>
      </c>
      <c r="B573">
        <v>3659</v>
      </c>
      <c r="C573" t="s">
        <v>28</v>
      </c>
      <c r="D573" t="s">
        <v>29</v>
      </c>
      <c r="E573" t="s">
        <v>21</v>
      </c>
      <c r="F573" t="s">
        <v>39</v>
      </c>
      <c r="G573" s="1">
        <v>45027</v>
      </c>
      <c r="H573" s="1">
        <v>45032</v>
      </c>
      <c r="I573" s="1">
        <v>45031</v>
      </c>
      <c r="J573">
        <v>4</v>
      </c>
      <c r="K573">
        <v>5</v>
      </c>
      <c r="L573">
        <v>1</v>
      </c>
      <c r="M573">
        <v>541.45000000000005</v>
      </c>
      <c r="N573">
        <v>541.45000000000005</v>
      </c>
      <c r="O573">
        <v>0.12</v>
      </c>
      <c r="P573">
        <v>64.97</v>
      </c>
      <c r="Q573">
        <v>476.48</v>
      </c>
      <c r="R573">
        <v>330.28</v>
      </c>
      <c r="S573">
        <v>146.19999999999999</v>
      </c>
    </row>
    <row r="574" spans="1:19" x14ac:dyDescent="0.35">
      <c r="A574">
        <v>100572</v>
      </c>
      <c r="B574">
        <v>4107</v>
      </c>
      <c r="C574" t="s">
        <v>19</v>
      </c>
      <c r="D574" t="s">
        <v>20</v>
      </c>
      <c r="E574" t="s">
        <v>34</v>
      </c>
      <c r="F574" t="s">
        <v>40</v>
      </c>
      <c r="G574" s="1">
        <v>44971</v>
      </c>
      <c r="H574" s="1">
        <v>44975</v>
      </c>
      <c r="I574" s="1">
        <v>44997</v>
      </c>
      <c r="J574">
        <v>26</v>
      </c>
      <c r="K574">
        <v>4</v>
      </c>
      <c r="L574">
        <v>1</v>
      </c>
      <c r="M574">
        <v>197.55</v>
      </c>
      <c r="N574">
        <v>197.55</v>
      </c>
      <c r="O574">
        <v>0.05</v>
      </c>
      <c r="P574">
        <v>9.8800000000000008</v>
      </c>
      <c r="Q574">
        <v>187.67</v>
      </c>
      <c r="R574">
        <v>116.55</v>
      </c>
      <c r="S574">
        <v>71.12</v>
      </c>
    </row>
    <row r="575" spans="1:19" x14ac:dyDescent="0.35">
      <c r="A575">
        <v>100573</v>
      </c>
      <c r="B575">
        <v>3437</v>
      </c>
      <c r="C575" t="s">
        <v>28</v>
      </c>
      <c r="D575" t="s">
        <v>31</v>
      </c>
      <c r="E575" t="s">
        <v>24</v>
      </c>
      <c r="F575" t="s">
        <v>32</v>
      </c>
      <c r="G575" s="1">
        <v>45068</v>
      </c>
      <c r="H575" s="1">
        <v>45070</v>
      </c>
      <c r="I575" s="1">
        <v>45075</v>
      </c>
      <c r="J575">
        <v>7</v>
      </c>
      <c r="K575">
        <v>2</v>
      </c>
      <c r="L575">
        <v>1</v>
      </c>
      <c r="M575">
        <v>170.74</v>
      </c>
      <c r="N575">
        <v>170.74</v>
      </c>
      <c r="O575">
        <v>0.08</v>
      </c>
      <c r="P575">
        <v>13.66</v>
      </c>
      <c r="Q575">
        <v>157.08000000000001</v>
      </c>
      <c r="R575">
        <v>95.61</v>
      </c>
      <c r="S575">
        <v>61.47</v>
      </c>
    </row>
    <row r="576" spans="1:19" x14ac:dyDescent="0.35">
      <c r="A576">
        <v>100574</v>
      </c>
      <c r="B576">
        <v>3140</v>
      </c>
      <c r="C576" t="s">
        <v>33</v>
      </c>
      <c r="D576" t="s">
        <v>20</v>
      </c>
      <c r="E576" t="s">
        <v>26</v>
      </c>
      <c r="F576" t="s">
        <v>37</v>
      </c>
      <c r="G576" s="1">
        <v>45023</v>
      </c>
      <c r="H576" s="1">
        <v>45028</v>
      </c>
      <c r="I576" s="1">
        <v>45033</v>
      </c>
      <c r="J576">
        <v>10</v>
      </c>
      <c r="K576">
        <v>5</v>
      </c>
      <c r="L576">
        <v>3</v>
      </c>
      <c r="M576">
        <v>70.599999999999994</v>
      </c>
      <c r="N576">
        <v>211.8</v>
      </c>
      <c r="O576">
        <v>7.0000000000000007E-2</v>
      </c>
      <c r="P576">
        <v>14.83</v>
      </c>
      <c r="Q576">
        <v>196.97</v>
      </c>
      <c r="R576">
        <v>116.49</v>
      </c>
      <c r="S576">
        <v>80.48</v>
      </c>
    </row>
    <row r="577" spans="1:19" x14ac:dyDescent="0.35">
      <c r="A577">
        <v>100575</v>
      </c>
      <c r="B577">
        <v>1301</v>
      </c>
      <c r="C577" t="s">
        <v>33</v>
      </c>
      <c r="D577" t="s">
        <v>20</v>
      </c>
      <c r="E577" t="s">
        <v>21</v>
      </c>
      <c r="F577" t="s">
        <v>39</v>
      </c>
      <c r="G577" s="1">
        <v>45043</v>
      </c>
      <c r="H577" s="1">
        <v>45044</v>
      </c>
      <c r="I577" s="1">
        <v>45069</v>
      </c>
      <c r="J577">
        <v>26</v>
      </c>
      <c r="K577">
        <v>1</v>
      </c>
      <c r="L577">
        <v>6</v>
      </c>
      <c r="M577">
        <v>645.36</v>
      </c>
      <c r="N577">
        <v>3872.16</v>
      </c>
      <c r="O577">
        <v>0.13</v>
      </c>
      <c r="P577">
        <v>503.38</v>
      </c>
      <c r="Q577">
        <v>3368.78</v>
      </c>
      <c r="R577">
        <v>2594.35</v>
      </c>
      <c r="S577">
        <v>774.43</v>
      </c>
    </row>
    <row r="578" spans="1:19" x14ac:dyDescent="0.35">
      <c r="A578">
        <v>100576</v>
      </c>
      <c r="B578">
        <v>3993</v>
      </c>
      <c r="C578" t="s">
        <v>28</v>
      </c>
      <c r="D578" t="s">
        <v>31</v>
      </c>
      <c r="E578" t="s">
        <v>21</v>
      </c>
      <c r="F578" t="s">
        <v>22</v>
      </c>
      <c r="G578" s="1">
        <v>44982</v>
      </c>
      <c r="H578" s="1">
        <v>44986</v>
      </c>
      <c r="I578" s="1">
        <v>44999</v>
      </c>
      <c r="J578">
        <v>17</v>
      </c>
      <c r="K578">
        <v>4</v>
      </c>
      <c r="L578">
        <v>1</v>
      </c>
      <c r="M578">
        <v>306.12</v>
      </c>
      <c r="N578">
        <v>306.12</v>
      </c>
      <c r="O578">
        <v>0.05</v>
      </c>
      <c r="P578">
        <v>15.31</v>
      </c>
      <c r="Q578">
        <v>290.81</v>
      </c>
      <c r="R578">
        <v>235.71</v>
      </c>
      <c r="S578">
        <v>55.1</v>
      </c>
    </row>
    <row r="579" spans="1:19" x14ac:dyDescent="0.35">
      <c r="A579">
        <v>100577</v>
      </c>
      <c r="B579">
        <v>2262</v>
      </c>
      <c r="C579" t="s">
        <v>28</v>
      </c>
      <c r="D579" t="s">
        <v>20</v>
      </c>
      <c r="E579" t="s">
        <v>24</v>
      </c>
      <c r="F579" t="s">
        <v>25</v>
      </c>
      <c r="G579" s="1">
        <v>45109</v>
      </c>
      <c r="H579" s="1">
        <v>45111</v>
      </c>
      <c r="I579" s="1">
        <v>45124</v>
      </c>
      <c r="J579">
        <v>15</v>
      </c>
      <c r="K579">
        <v>2</v>
      </c>
      <c r="L579">
        <v>4</v>
      </c>
      <c r="M579">
        <v>356.89</v>
      </c>
      <c r="N579">
        <v>1427.56</v>
      </c>
      <c r="O579">
        <v>0</v>
      </c>
      <c r="P579">
        <v>0</v>
      </c>
      <c r="Q579">
        <v>1427.56</v>
      </c>
      <c r="R579">
        <v>813.71</v>
      </c>
      <c r="S579">
        <v>613.85</v>
      </c>
    </row>
    <row r="580" spans="1:19" x14ac:dyDescent="0.35">
      <c r="A580">
        <v>100578</v>
      </c>
      <c r="B580">
        <v>3070</v>
      </c>
      <c r="C580" t="s">
        <v>28</v>
      </c>
      <c r="D580" t="s">
        <v>29</v>
      </c>
      <c r="E580" t="s">
        <v>26</v>
      </c>
      <c r="F580" t="s">
        <v>27</v>
      </c>
      <c r="G580" s="1">
        <v>45258</v>
      </c>
      <c r="H580" s="1">
        <v>45259</v>
      </c>
      <c r="I580" s="1">
        <v>45266</v>
      </c>
      <c r="J580">
        <v>8</v>
      </c>
      <c r="K580">
        <v>1</v>
      </c>
      <c r="L580">
        <v>2</v>
      </c>
      <c r="M580">
        <v>532.89</v>
      </c>
      <c r="N580">
        <v>1065.78</v>
      </c>
      <c r="O580">
        <v>0.16</v>
      </c>
      <c r="P580">
        <v>170.52</v>
      </c>
      <c r="Q580">
        <v>895.26</v>
      </c>
      <c r="R580">
        <v>618.15</v>
      </c>
      <c r="S580">
        <v>277.11</v>
      </c>
    </row>
    <row r="581" spans="1:19" x14ac:dyDescent="0.35">
      <c r="A581">
        <v>100579</v>
      </c>
      <c r="B581">
        <v>3370</v>
      </c>
      <c r="C581" t="s">
        <v>28</v>
      </c>
      <c r="D581" t="s">
        <v>31</v>
      </c>
      <c r="E581" t="s">
        <v>26</v>
      </c>
      <c r="F581" t="s">
        <v>36</v>
      </c>
      <c r="G581" s="1">
        <v>45162</v>
      </c>
      <c r="H581" s="1">
        <v>45167</v>
      </c>
      <c r="I581" s="1">
        <v>45186</v>
      </c>
      <c r="J581">
        <v>24</v>
      </c>
      <c r="K581">
        <v>5</v>
      </c>
      <c r="L581">
        <v>2</v>
      </c>
      <c r="M581">
        <v>33.31</v>
      </c>
      <c r="N581">
        <v>66.62</v>
      </c>
      <c r="O581">
        <v>0.13</v>
      </c>
      <c r="P581">
        <v>8.66</v>
      </c>
      <c r="Q581">
        <v>57.96</v>
      </c>
      <c r="R581">
        <v>34.64</v>
      </c>
      <c r="S581">
        <v>23.32</v>
      </c>
    </row>
    <row r="582" spans="1:19" x14ac:dyDescent="0.35">
      <c r="A582">
        <v>100580</v>
      </c>
      <c r="B582">
        <v>1336</v>
      </c>
      <c r="C582" t="s">
        <v>33</v>
      </c>
      <c r="D582" t="s">
        <v>29</v>
      </c>
      <c r="E582" t="s">
        <v>34</v>
      </c>
      <c r="F582" t="s">
        <v>40</v>
      </c>
      <c r="G582" s="1">
        <v>45120</v>
      </c>
      <c r="H582" s="1">
        <v>45125</v>
      </c>
      <c r="I582" s="1">
        <v>45129</v>
      </c>
      <c r="J582">
        <v>9</v>
      </c>
      <c r="K582">
        <v>5</v>
      </c>
      <c r="L582">
        <v>2</v>
      </c>
      <c r="M582">
        <v>98.24</v>
      </c>
      <c r="N582">
        <v>196.48</v>
      </c>
      <c r="O582">
        <v>0.08</v>
      </c>
      <c r="P582">
        <v>15.72</v>
      </c>
      <c r="Q582">
        <v>180.76</v>
      </c>
      <c r="R582">
        <v>110.03</v>
      </c>
      <c r="S582">
        <v>70.73</v>
      </c>
    </row>
    <row r="583" spans="1:19" x14ac:dyDescent="0.35">
      <c r="A583">
        <v>100581</v>
      </c>
      <c r="B583">
        <v>4551</v>
      </c>
      <c r="C583" t="s">
        <v>23</v>
      </c>
      <c r="D583" t="s">
        <v>29</v>
      </c>
      <c r="E583" t="s">
        <v>26</v>
      </c>
      <c r="F583" t="s">
        <v>44</v>
      </c>
      <c r="G583" s="1">
        <v>45279</v>
      </c>
      <c r="H583" s="1">
        <v>45281</v>
      </c>
      <c r="I583" s="1">
        <v>45309</v>
      </c>
      <c r="J583">
        <v>30</v>
      </c>
      <c r="K583">
        <v>2</v>
      </c>
      <c r="L583">
        <v>12</v>
      </c>
      <c r="M583">
        <v>736.7</v>
      </c>
      <c r="N583">
        <v>8840.4</v>
      </c>
      <c r="O583">
        <v>0</v>
      </c>
      <c r="P583">
        <v>0</v>
      </c>
      <c r="Q583">
        <v>8840.4</v>
      </c>
      <c r="R583">
        <v>5746.26</v>
      </c>
      <c r="S583">
        <v>3094.14</v>
      </c>
    </row>
    <row r="584" spans="1:19" x14ac:dyDescent="0.35">
      <c r="A584">
        <v>100582</v>
      </c>
      <c r="B584">
        <v>1238</v>
      </c>
      <c r="C584" t="s">
        <v>23</v>
      </c>
      <c r="D584" t="s">
        <v>20</v>
      </c>
      <c r="E584" t="s">
        <v>21</v>
      </c>
      <c r="F584" t="s">
        <v>22</v>
      </c>
      <c r="G584" s="1">
        <v>45158</v>
      </c>
      <c r="H584" s="1">
        <v>45161</v>
      </c>
      <c r="I584" s="1">
        <v>45182</v>
      </c>
      <c r="J584">
        <v>24</v>
      </c>
      <c r="K584">
        <v>3</v>
      </c>
      <c r="L584">
        <v>8</v>
      </c>
      <c r="M584">
        <v>487.94</v>
      </c>
      <c r="N584">
        <v>3903.52</v>
      </c>
      <c r="O584">
        <v>0.18</v>
      </c>
      <c r="P584">
        <v>702.63</v>
      </c>
      <c r="Q584">
        <v>3200.89</v>
      </c>
      <c r="R584">
        <v>3005.71</v>
      </c>
      <c r="S584">
        <v>195.18</v>
      </c>
    </row>
    <row r="585" spans="1:19" x14ac:dyDescent="0.35">
      <c r="A585">
        <v>100583</v>
      </c>
      <c r="B585">
        <v>3222</v>
      </c>
      <c r="C585" t="s">
        <v>23</v>
      </c>
      <c r="D585" t="s">
        <v>31</v>
      </c>
      <c r="E585" t="s">
        <v>34</v>
      </c>
      <c r="F585" t="s">
        <v>35</v>
      </c>
      <c r="G585" s="1">
        <v>45231</v>
      </c>
      <c r="H585" s="1">
        <v>45232</v>
      </c>
      <c r="I585" s="1">
        <v>45247</v>
      </c>
      <c r="J585">
        <v>16</v>
      </c>
      <c r="K585">
        <v>1</v>
      </c>
      <c r="L585">
        <v>8</v>
      </c>
      <c r="M585">
        <v>40.020000000000003</v>
      </c>
      <c r="N585">
        <v>320.16000000000003</v>
      </c>
      <c r="O585">
        <v>0.11</v>
      </c>
      <c r="P585">
        <v>35.22</v>
      </c>
      <c r="Q585">
        <v>284.94</v>
      </c>
      <c r="R585">
        <v>179.29</v>
      </c>
      <c r="S585">
        <v>105.65</v>
      </c>
    </row>
    <row r="586" spans="1:19" x14ac:dyDescent="0.35">
      <c r="A586">
        <v>100584</v>
      </c>
      <c r="B586">
        <v>2907</v>
      </c>
      <c r="C586" t="s">
        <v>23</v>
      </c>
      <c r="D586" t="s">
        <v>31</v>
      </c>
      <c r="E586" t="s">
        <v>26</v>
      </c>
      <c r="F586" t="s">
        <v>44</v>
      </c>
      <c r="G586" s="1">
        <v>44982</v>
      </c>
      <c r="H586" s="1">
        <v>44985</v>
      </c>
      <c r="I586" s="1">
        <v>45000</v>
      </c>
      <c r="J586">
        <v>18</v>
      </c>
      <c r="K586">
        <v>3</v>
      </c>
      <c r="L586">
        <v>10</v>
      </c>
      <c r="M586">
        <v>440.06</v>
      </c>
      <c r="N586">
        <v>4400.6000000000004</v>
      </c>
      <c r="O586">
        <v>0.09</v>
      </c>
      <c r="P586">
        <v>396.05</v>
      </c>
      <c r="Q586">
        <v>4004.55</v>
      </c>
      <c r="R586">
        <v>2596.35</v>
      </c>
      <c r="S586">
        <v>1408.2</v>
      </c>
    </row>
    <row r="587" spans="1:19" x14ac:dyDescent="0.35">
      <c r="A587">
        <v>100585</v>
      </c>
      <c r="B587">
        <v>3741</v>
      </c>
      <c r="C587" t="s">
        <v>19</v>
      </c>
      <c r="D587" t="s">
        <v>20</v>
      </c>
      <c r="E587" t="s">
        <v>24</v>
      </c>
      <c r="F587" t="s">
        <v>25</v>
      </c>
      <c r="G587" s="1">
        <v>45146</v>
      </c>
      <c r="H587" s="1">
        <v>45149</v>
      </c>
      <c r="I587" s="1">
        <v>45153</v>
      </c>
      <c r="J587">
        <v>7</v>
      </c>
      <c r="K587">
        <v>3</v>
      </c>
      <c r="L587">
        <v>10</v>
      </c>
      <c r="M587">
        <v>482.07</v>
      </c>
      <c r="N587">
        <v>4820.7</v>
      </c>
      <c r="O587">
        <v>0</v>
      </c>
      <c r="P587">
        <v>0</v>
      </c>
      <c r="Q587">
        <v>4820.7</v>
      </c>
      <c r="R587">
        <v>3181.66</v>
      </c>
      <c r="S587">
        <v>1639.04</v>
      </c>
    </row>
    <row r="588" spans="1:19" x14ac:dyDescent="0.35">
      <c r="A588">
        <v>100586</v>
      </c>
      <c r="B588">
        <v>4253</v>
      </c>
      <c r="C588" t="s">
        <v>28</v>
      </c>
      <c r="D588" t="s">
        <v>31</v>
      </c>
      <c r="E588" t="s">
        <v>24</v>
      </c>
      <c r="F588" t="s">
        <v>25</v>
      </c>
      <c r="G588" s="1">
        <v>45031</v>
      </c>
      <c r="H588" s="1">
        <v>45033</v>
      </c>
      <c r="I588" s="1">
        <v>45040</v>
      </c>
      <c r="J588">
        <v>9</v>
      </c>
      <c r="K588">
        <v>2</v>
      </c>
      <c r="L588">
        <v>10</v>
      </c>
      <c r="M588">
        <v>208.77</v>
      </c>
      <c r="N588">
        <v>2087.6999999999998</v>
      </c>
      <c r="O588">
        <v>7.0000000000000007E-2</v>
      </c>
      <c r="P588">
        <v>146.13999999999999</v>
      </c>
      <c r="Q588">
        <v>1941.56</v>
      </c>
      <c r="R588">
        <v>1357.01</v>
      </c>
      <c r="S588">
        <v>584.54999999999995</v>
      </c>
    </row>
    <row r="589" spans="1:19" x14ac:dyDescent="0.35">
      <c r="A589">
        <v>100587</v>
      </c>
      <c r="B589">
        <v>4306</v>
      </c>
      <c r="C589" t="s">
        <v>23</v>
      </c>
      <c r="D589" t="s">
        <v>31</v>
      </c>
      <c r="E589" t="s">
        <v>34</v>
      </c>
      <c r="F589" t="s">
        <v>40</v>
      </c>
      <c r="G589" s="1">
        <v>45213</v>
      </c>
      <c r="H589" s="1">
        <v>45215</v>
      </c>
      <c r="I589" s="1">
        <v>45238</v>
      </c>
      <c r="J589">
        <v>25</v>
      </c>
      <c r="K589">
        <v>2</v>
      </c>
      <c r="L589">
        <v>10</v>
      </c>
      <c r="M589">
        <v>616.01</v>
      </c>
      <c r="N589">
        <v>6160.1</v>
      </c>
      <c r="O589">
        <v>7.0000000000000007E-2</v>
      </c>
      <c r="P589">
        <v>431.21</v>
      </c>
      <c r="Q589">
        <v>5728.89</v>
      </c>
      <c r="R589">
        <v>4127.2700000000004</v>
      </c>
      <c r="S589">
        <v>1601.62</v>
      </c>
    </row>
    <row r="590" spans="1:19" x14ac:dyDescent="0.35">
      <c r="A590">
        <v>100588</v>
      </c>
      <c r="B590">
        <v>3645</v>
      </c>
      <c r="C590" t="s">
        <v>19</v>
      </c>
      <c r="D590" t="s">
        <v>29</v>
      </c>
      <c r="E590" t="s">
        <v>24</v>
      </c>
      <c r="F590" t="s">
        <v>30</v>
      </c>
      <c r="G590" s="1">
        <v>45209</v>
      </c>
      <c r="H590" s="1">
        <v>45214</v>
      </c>
      <c r="I590" s="1">
        <v>45235</v>
      </c>
      <c r="J590">
        <v>26</v>
      </c>
      <c r="K590">
        <v>5</v>
      </c>
      <c r="L590">
        <v>2</v>
      </c>
      <c r="M590">
        <v>614.58000000000004</v>
      </c>
      <c r="N590">
        <v>1229.1600000000001</v>
      </c>
      <c r="O590">
        <v>0.09</v>
      </c>
      <c r="P590">
        <v>110.62</v>
      </c>
      <c r="Q590">
        <v>1118.54</v>
      </c>
      <c r="R590">
        <v>798.95</v>
      </c>
      <c r="S590">
        <v>319.58999999999997</v>
      </c>
    </row>
    <row r="591" spans="1:19" x14ac:dyDescent="0.35">
      <c r="A591">
        <v>100589</v>
      </c>
      <c r="B591">
        <v>2255</v>
      </c>
      <c r="C591" t="s">
        <v>33</v>
      </c>
      <c r="D591" t="s">
        <v>20</v>
      </c>
      <c r="E591" t="s">
        <v>21</v>
      </c>
      <c r="F591" t="s">
        <v>39</v>
      </c>
      <c r="G591" s="1">
        <v>45229</v>
      </c>
      <c r="H591" s="1">
        <v>45232</v>
      </c>
      <c r="I591" s="1">
        <v>45249</v>
      </c>
      <c r="J591">
        <v>20</v>
      </c>
      <c r="K591">
        <v>3</v>
      </c>
      <c r="L591">
        <v>1</v>
      </c>
      <c r="M591">
        <v>409.84</v>
      </c>
      <c r="N591">
        <v>409.84</v>
      </c>
      <c r="O591">
        <v>0.12</v>
      </c>
      <c r="P591">
        <v>49.18</v>
      </c>
      <c r="Q591">
        <v>360.66</v>
      </c>
      <c r="R591">
        <v>270.49</v>
      </c>
      <c r="S591">
        <v>90.17</v>
      </c>
    </row>
    <row r="592" spans="1:19" x14ac:dyDescent="0.35">
      <c r="A592">
        <v>100590</v>
      </c>
      <c r="B592">
        <v>4238</v>
      </c>
      <c r="C592" t="s">
        <v>19</v>
      </c>
      <c r="D592" t="s">
        <v>31</v>
      </c>
      <c r="E592" t="s">
        <v>21</v>
      </c>
      <c r="F592" t="s">
        <v>41</v>
      </c>
      <c r="G592" s="1">
        <v>44982</v>
      </c>
      <c r="H592" s="1">
        <v>44986</v>
      </c>
      <c r="I592" s="1">
        <v>44996</v>
      </c>
      <c r="J592">
        <v>14</v>
      </c>
      <c r="K592">
        <v>4</v>
      </c>
      <c r="L592">
        <v>10</v>
      </c>
      <c r="M592">
        <v>798.35</v>
      </c>
      <c r="N592">
        <v>7983.5</v>
      </c>
      <c r="O592">
        <v>0.02</v>
      </c>
      <c r="P592">
        <v>159.66999999999999</v>
      </c>
      <c r="Q592">
        <v>7823.83</v>
      </c>
      <c r="R592">
        <v>5029.6099999999997</v>
      </c>
      <c r="S592">
        <v>2794.22</v>
      </c>
    </row>
    <row r="593" spans="1:19" x14ac:dyDescent="0.35">
      <c r="A593">
        <v>100591</v>
      </c>
      <c r="B593">
        <v>1300</v>
      </c>
      <c r="C593" t="s">
        <v>23</v>
      </c>
      <c r="D593" t="s">
        <v>20</v>
      </c>
      <c r="E593" t="s">
        <v>21</v>
      </c>
      <c r="F593" t="s">
        <v>39</v>
      </c>
      <c r="G593" s="1">
        <v>44968</v>
      </c>
      <c r="H593" s="1">
        <v>44972</v>
      </c>
      <c r="I593" s="1">
        <v>44977</v>
      </c>
      <c r="J593">
        <v>9</v>
      </c>
      <c r="K593">
        <v>4</v>
      </c>
      <c r="L593">
        <v>13</v>
      </c>
      <c r="M593">
        <v>293.47000000000003</v>
      </c>
      <c r="N593">
        <v>3815.11</v>
      </c>
      <c r="O593">
        <v>0.02</v>
      </c>
      <c r="P593">
        <v>76.3</v>
      </c>
      <c r="Q593">
        <v>3738.81</v>
      </c>
      <c r="R593">
        <v>2060.16</v>
      </c>
      <c r="S593">
        <v>1678.65</v>
      </c>
    </row>
    <row r="594" spans="1:19" x14ac:dyDescent="0.35">
      <c r="A594">
        <v>100592</v>
      </c>
      <c r="B594">
        <v>2892</v>
      </c>
      <c r="C594" t="s">
        <v>28</v>
      </c>
      <c r="D594" t="s">
        <v>31</v>
      </c>
      <c r="E594" t="s">
        <v>21</v>
      </c>
      <c r="F594" t="s">
        <v>38</v>
      </c>
      <c r="G594" s="1">
        <v>45237</v>
      </c>
      <c r="H594" s="1">
        <v>45242</v>
      </c>
      <c r="I594" s="1">
        <v>45253</v>
      </c>
      <c r="J594">
        <v>16</v>
      </c>
      <c r="K594">
        <v>5</v>
      </c>
      <c r="L594">
        <v>9</v>
      </c>
      <c r="M594">
        <v>428.21</v>
      </c>
      <c r="N594">
        <v>3853.89</v>
      </c>
      <c r="O594">
        <v>0.11</v>
      </c>
      <c r="P594">
        <v>423.93</v>
      </c>
      <c r="Q594">
        <v>3429.96</v>
      </c>
      <c r="R594">
        <v>2350.87</v>
      </c>
      <c r="S594">
        <v>1079.0899999999999</v>
      </c>
    </row>
    <row r="595" spans="1:19" x14ac:dyDescent="0.35">
      <c r="A595">
        <v>100593</v>
      </c>
      <c r="B595">
        <v>2622</v>
      </c>
      <c r="C595" t="s">
        <v>23</v>
      </c>
      <c r="D595" t="s">
        <v>20</v>
      </c>
      <c r="E595" t="s">
        <v>21</v>
      </c>
      <c r="F595" t="s">
        <v>39</v>
      </c>
      <c r="G595" s="1">
        <v>45209</v>
      </c>
      <c r="H595" s="1">
        <v>45212</v>
      </c>
      <c r="I595" s="1">
        <v>45229</v>
      </c>
      <c r="J595">
        <v>20</v>
      </c>
      <c r="K595">
        <v>3</v>
      </c>
      <c r="L595">
        <v>11</v>
      </c>
      <c r="M595">
        <v>67.88</v>
      </c>
      <c r="N595">
        <v>746.68</v>
      </c>
      <c r="O595">
        <v>0.1</v>
      </c>
      <c r="P595">
        <v>74.67</v>
      </c>
      <c r="Q595">
        <v>672.01</v>
      </c>
      <c r="R595">
        <v>515.21</v>
      </c>
      <c r="S595">
        <v>156.80000000000001</v>
      </c>
    </row>
    <row r="596" spans="1:19" x14ac:dyDescent="0.35">
      <c r="A596">
        <v>100594</v>
      </c>
      <c r="B596">
        <v>2301</v>
      </c>
      <c r="C596" t="s">
        <v>28</v>
      </c>
      <c r="D596" t="s">
        <v>20</v>
      </c>
      <c r="E596" t="s">
        <v>34</v>
      </c>
      <c r="F596" t="s">
        <v>45</v>
      </c>
      <c r="G596" s="1">
        <v>45018</v>
      </c>
      <c r="H596" s="1">
        <v>45021</v>
      </c>
      <c r="I596" s="1">
        <v>45039</v>
      </c>
      <c r="J596">
        <v>21</v>
      </c>
      <c r="K596">
        <v>3</v>
      </c>
      <c r="L596">
        <v>3</v>
      </c>
      <c r="M596">
        <v>145.63</v>
      </c>
      <c r="N596">
        <v>436.89</v>
      </c>
      <c r="O596">
        <v>0.11</v>
      </c>
      <c r="P596">
        <v>48.06</v>
      </c>
      <c r="Q596">
        <v>388.83</v>
      </c>
      <c r="R596">
        <v>288.35000000000002</v>
      </c>
      <c r="S596">
        <v>100.48</v>
      </c>
    </row>
    <row r="597" spans="1:19" x14ac:dyDescent="0.35">
      <c r="A597">
        <v>100595</v>
      </c>
      <c r="B597">
        <v>2006</v>
      </c>
      <c r="C597" t="s">
        <v>33</v>
      </c>
      <c r="D597" t="s">
        <v>31</v>
      </c>
      <c r="E597" t="s">
        <v>24</v>
      </c>
      <c r="F597" t="s">
        <v>42</v>
      </c>
      <c r="G597" s="1">
        <v>45144</v>
      </c>
      <c r="H597" s="1">
        <v>45147</v>
      </c>
      <c r="I597" s="1">
        <v>45147</v>
      </c>
      <c r="J597">
        <v>3</v>
      </c>
      <c r="K597">
        <v>3</v>
      </c>
      <c r="L597">
        <v>3</v>
      </c>
      <c r="M597">
        <v>73.08</v>
      </c>
      <c r="N597">
        <v>219.24</v>
      </c>
      <c r="O597">
        <v>0.02</v>
      </c>
      <c r="P597">
        <v>4.38</v>
      </c>
      <c r="Q597">
        <v>214.86</v>
      </c>
      <c r="R597">
        <v>153.47</v>
      </c>
      <c r="S597">
        <v>61.39</v>
      </c>
    </row>
    <row r="598" spans="1:19" x14ac:dyDescent="0.35">
      <c r="A598">
        <v>100596</v>
      </c>
      <c r="B598">
        <v>4922</v>
      </c>
      <c r="C598" t="s">
        <v>23</v>
      </c>
      <c r="D598" t="s">
        <v>20</v>
      </c>
      <c r="E598" t="s">
        <v>21</v>
      </c>
      <c r="F598" t="s">
        <v>38</v>
      </c>
      <c r="G598" s="1">
        <v>45076</v>
      </c>
      <c r="H598" s="1">
        <v>45081</v>
      </c>
      <c r="I598" s="1">
        <v>45085</v>
      </c>
      <c r="J598">
        <v>9</v>
      </c>
      <c r="K598">
        <v>5</v>
      </c>
      <c r="L598">
        <v>6</v>
      </c>
      <c r="M598">
        <v>501.31</v>
      </c>
      <c r="N598">
        <v>3007.86</v>
      </c>
      <c r="O598">
        <v>0.1</v>
      </c>
      <c r="P598">
        <v>300.79000000000002</v>
      </c>
      <c r="Q598">
        <v>2707.07</v>
      </c>
      <c r="R598">
        <v>1624.24</v>
      </c>
      <c r="S598">
        <v>1082.83</v>
      </c>
    </row>
    <row r="599" spans="1:19" x14ac:dyDescent="0.35">
      <c r="A599">
        <v>100597</v>
      </c>
      <c r="B599">
        <v>1491</v>
      </c>
      <c r="C599" t="s">
        <v>28</v>
      </c>
      <c r="D599" t="s">
        <v>20</v>
      </c>
      <c r="E599" t="s">
        <v>21</v>
      </c>
      <c r="F599" t="s">
        <v>41</v>
      </c>
      <c r="G599" s="1">
        <v>45163</v>
      </c>
      <c r="H599" s="1">
        <v>45167</v>
      </c>
      <c r="I599" s="1">
        <v>45167</v>
      </c>
      <c r="J599">
        <v>4</v>
      </c>
      <c r="K599">
        <v>4</v>
      </c>
      <c r="L599">
        <v>13</v>
      </c>
      <c r="M599">
        <v>486.45</v>
      </c>
      <c r="N599">
        <v>6323.85</v>
      </c>
      <c r="O599">
        <v>0.08</v>
      </c>
      <c r="P599">
        <v>505.91</v>
      </c>
      <c r="Q599">
        <v>5817.94</v>
      </c>
      <c r="R599">
        <v>3478.12</v>
      </c>
      <c r="S599">
        <v>2339.8200000000002</v>
      </c>
    </row>
    <row r="600" spans="1:19" x14ac:dyDescent="0.35">
      <c r="A600">
        <v>100598</v>
      </c>
      <c r="B600">
        <v>1555</v>
      </c>
      <c r="C600" t="s">
        <v>23</v>
      </c>
      <c r="D600" t="s">
        <v>31</v>
      </c>
      <c r="E600" t="s">
        <v>24</v>
      </c>
      <c r="F600" t="s">
        <v>25</v>
      </c>
      <c r="G600" s="1">
        <v>45129</v>
      </c>
      <c r="H600" s="1">
        <v>45133</v>
      </c>
      <c r="I600" s="1">
        <v>45138</v>
      </c>
      <c r="J600">
        <v>9</v>
      </c>
      <c r="K600">
        <v>4</v>
      </c>
      <c r="L600">
        <v>9</v>
      </c>
      <c r="M600">
        <v>437.15</v>
      </c>
      <c r="N600">
        <v>3934.35</v>
      </c>
      <c r="O600">
        <v>0.1</v>
      </c>
      <c r="P600">
        <v>393.44</v>
      </c>
      <c r="Q600">
        <v>3540.92</v>
      </c>
      <c r="R600">
        <v>2636.01</v>
      </c>
      <c r="S600">
        <v>904.91</v>
      </c>
    </row>
    <row r="601" spans="1:19" x14ac:dyDescent="0.35">
      <c r="A601">
        <v>100599</v>
      </c>
      <c r="B601">
        <v>2319</v>
      </c>
      <c r="C601" t="s">
        <v>23</v>
      </c>
      <c r="D601" t="s">
        <v>31</v>
      </c>
      <c r="E601" t="s">
        <v>34</v>
      </c>
      <c r="F601" t="s">
        <v>45</v>
      </c>
      <c r="G601" s="1">
        <v>45280</v>
      </c>
      <c r="H601" s="1">
        <v>45284</v>
      </c>
      <c r="I601" s="1">
        <v>45300</v>
      </c>
      <c r="J601">
        <v>20</v>
      </c>
      <c r="K601">
        <v>4</v>
      </c>
      <c r="L601">
        <v>11</v>
      </c>
      <c r="M601">
        <v>537.87</v>
      </c>
      <c r="N601">
        <v>5916.57</v>
      </c>
      <c r="O601">
        <v>0.02</v>
      </c>
      <c r="P601">
        <v>118.33</v>
      </c>
      <c r="Q601">
        <v>5798.24</v>
      </c>
      <c r="R601">
        <v>3490.78</v>
      </c>
      <c r="S601">
        <v>2307.46</v>
      </c>
    </row>
    <row r="602" spans="1:19" x14ac:dyDescent="0.35">
      <c r="A602">
        <v>100600</v>
      </c>
      <c r="B602">
        <v>3153</v>
      </c>
      <c r="C602" t="s">
        <v>19</v>
      </c>
      <c r="D602" t="s">
        <v>20</v>
      </c>
      <c r="E602" t="s">
        <v>26</v>
      </c>
      <c r="F602" t="s">
        <v>27</v>
      </c>
      <c r="G602" s="1">
        <v>44964</v>
      </c>
      <c r="H602" s="1">
        <v>44967</v>
      </c>
      <c r="I602" s="1">
        <v>44967</v>
      </c>
      <c r="J602">
        <v>3</v>
      </c>
      <c r="K602">
        <v>3</v>
      </c>
      <c r="L602">
        <v>4</v>
      </c>
      <c r="M602">
        <v>83.71</v>
      </c>
      <c r="N602">
        <v>334.84</v>
      </c>
      <c r="O602">
        <v>0.12</v>
      </c>
      <c r="P602">
        <v>40.18</v>
      </c>
      <c r="Q602">
        <v>294.66000000000003</v>
      </c>
      <c r="R602">
        <v>200.9</v>
      </c>
      <c r="S602">
        <v>93.76</v>
      </c>
    </row>
    <row r="603" spans="1:19" x14ac:dyDescent="0.35">
      <c r="A603">
        <v>100601</v>
      </c>
      <c r="B603">
        <v>1626</v>
      </c>
      <c r="C603" t="s">
        <v>23</v>
      </c>
      <c r="D603" t="s">
        <v>31</v>
      </c>
      <c r="E603" t="s">
        <v>34</v>
      </c>
      <c r="F603" t="s">
        <v>35</v>
      </c>
      <c r="G603" s="1">
        <v>45227</v>
      </c>
      <c r="H603" s="1">
        <v>45228</v>
      </c>
      <c r="I603" s="1">
        <v>45231</v>
      </c>
      <c r="J603">
        <v>4</v>
      </c>
      <c r="K603">
        <v>1</v>
      </c>
      <c r="L603">
        <v>4</v>
      </c>
      <c r="M603">
        <v>8.44</v>
      </c>
      <c r="N603">
        <v>33.76</v>
      </c>
      <c r="O603">
        <v>0.09</v>
      </c>
      <c r="P603">
        <v>3.04</v>
      </c>
      <c r="Q603">
        <v>30.72</v>
      </c>
      <c r="R603">
        <v>22.62</v>
      </c>
      <c r="S603">
        <v>8.1</v>
      </c>
    </row>
    <row r="604" spans="1:19" x14ac:dyDescent="0.35">
      <c r="A604">
        <v>100602</v>
      </c>
      <c r="B604">
        <v>2205</v>
      </c>
      <c r="C604" t="s">
        <v>33</v>
      </c>
      <c r="D604" t="s">
        <v>20</v>
      </c>
      <c r="E604" t="s">
        <v>26</v>
      </c>
      <c r="F604" t="s">
        <v>27</v>
      </c>
      <c r="G604" s="1">
        <v>45104</v>
      </c>
      <c r="H604" s="1">
        <v>45105</v>
      </c>
      <c r="I604" s="1">
        <v>45112</v>
      </c>
      <c r="J604">
        <v>8</v>
      </c>
      <c r="K604">
        <v>1</v>
      </c>
      <c r="L604">
        <v>8</v>
      </c>
      <c r="M604">
        <v>82.39</v>
      </c>
      <c r="N604">
        <v>659.12</v>
      </c>
      <c r="O604">
        <v>0.09</v>
      </c>
      <c r="P604">
        <v>59.32</v>
      </c>
      <c r="Q604">
        <v>599.79999999999995</v>
      </c>
      <c r="R604">
        <v>474.57</v>
      </c>
      <c r="S604">
        <v>125.23</v>
      </c>
    </row>
    <row r="605" spans="1:19" x14ac:dyDescent="0.35">
      <c r="A605">
        <v>100603</v>
      </c>
      <c r="B605">
        <v>1077</v>
      </c>
      <c r="C605" t="s">
        <v>33</v>
      </c>
      <c r="D605" t="s">
        <v>29</v>
      </c>
      <c r="E605" t="s">
        <v>24</v>
      </c>
      <c r="F605" t="s">
        <v>32</v>
      </c>
      <c r="G605" s="1">
        <v>45137</v>
      </c>
      <c r="H605" s="1">
        <v>45140</v>
      </c>
      <c r="I605" s="1">
        <v>45149</v>
      </c>
      <c r="J605">
        <v>12</v>
      </c>
      <c r="K605">
        <v>3</v>
      </c>
      <c r="L605">
        <v>3</v>
      </c>
      <c r="M605">
        <v>486.88</v>
      </c>
      <c r="N605">
        <v>1460.64</v>
      </c>
      <c r="O605">
        <v>0.1</v>
      </c>
      <c r="P605">
        <v>146.06</v>
      </c>
      <c r="Q605">
        <v>1314.58</v>
      </c>
      <c r="R605">
        <v>934.81</v>
      </c>
      <c r="S605">
        <v>379.77</v>
      </c>
    </row>
    <row r="606" spans="1:19" x14ac:dyDescent="0.35">
      <c r="A606">
        <v>100604</v>
      </c>
      <c r="B606">
        <v>2413</v>
      </c>
      <c r="C606" t="s">
        <v>23</v>
      </c>
      <c r="D606" t="s">
        <v>29</v>
      </c>
      <c r="E606" t="s">
        <v>26</v>
      </c>
      <c r="F606" t="s">
        <v>27</v>
      </c>
      <c r="G606" s="1">
        <v>45228</v>
      </c>
      <c r="H606" s="1">
        <v>45232</v>
      </c>
      <c r="I606" s="1">
        <v>45246</v>
      </c>
      <c r="J606">
        <v>18</v>
      </c>
      <c r="K606">
        <v>4</v>
      </c>
      <c r="L606">
        <v>7</v>
      </c>
      <c r="M606">
        <v>349.21</v>
      </c>
      <c r="N606">
        <v>2444.4699999999998</v>
      </c>
      <c r="O606">
        <v>0.11</v>
      </c>
      <c r="P606">
        <v>268.89</v>
      </c>
      <c r="Q606">
        <v>2175.58</v>
      </c>
      <c r="R606">
        <v>1442.24</v>
      </c>
      <c r="S606">
        <v>733.34</v>
      </c>
    </row>
    <row r="607" spans="1:19" x14ac:dyDescent="0.35">
      <c r="A607">
        <v>100605</v>
      </c>
      <c r="B607">
        <v>2889</v>
      </c>
      <c r="C607" t="s">
        <v>28</v>
      </c>
      <c r="D607" t="s">
        <v>20</v>
      </c>
      <c r="E607" t="s">
        <v>26</v>
      </c>
      <c r="F607" t="s">
        <v>44</v>
      </c>
      <c r="G607" s="1">
        <v>45264</v>
      </c>
      <c r="H607" s="1">
        <v>45265</v>
      </c>
      <c r="I607" s="1">
        <v>45282</v>
      </c>
      <c r="J607">
        <v>18</v>
      </c>
      <c r="K607">
        <v>1</v>
      </c>
      <c r="L607">
        <v>11</v>
      </c>
      <c r="M607">
        <v>681.65</v>
      </c>
      <c r="N607">
        <v>7498.15</v>
      </c>
      <c r="O607">
        <v>0.08</v>
      </c>
      <c r="P607">
        <v>599.85</v>
      </c>
      <c r="Q607">
        <v>6898.3</v>
      </c>
      <c r="R607">
        <v>3899.04</v>
      </c>
      <c r="S607">
        <v>2999.26</v>
      </c>
    </row>
    <row r="608" spans="1:19" x14ac:dyDescent="0.35">
      <c r="A608">
        <v>100606</v>
      </c>
      <c r="B608">
        <v>2297</v>
      </c>
      <c r="C608" t="s">
        <v>19</v>
      </c>
      <c r="D608" t="s">
        <v>31</v>
      </c>
      <c r="E608" t="s">
        <v>24</v>
      </c>
      <c r="F608" t="s">
        <v>32</v>
      </c>
      <c r="G608" s="1">
        <v>45238</v>
      </c>
      <c r="H608" s="1">
        <v>45239</v>
      </c>
      <c r="I608" s="1">
        <v>45259</v>
      </c>
      <c r="J608">
        <v>21</v>
      </c>
      <c r="K608">
        <v>1</v>
      </c>
      <c r="L608">
        <v>5</v>
      </c>
      <c r="M608">
        <v>557.20000000000005</v>
      </c>
      <c r="N608">
        <v>2786</v>
      </c>
      <c r="O608">
        <v>0.21</v>
      </c>
      <c r="P608">
        <v>585.05999999999995</v>
      </c>
      <c r="Q608">
        <v>2200.94</v>
      </c>
      <c r="R608">
        <v>1504.44</v>
      </c>
      <c r="S608">
        <v>696.5</v>
      </c>
    </row>
    <row r="609" spans="1:19" x14ac:dyDescent="0.35">
      <c r="A609">
        <v>100607</v>
      </c>
      <c r="B609">
        <v>3062</v>
      </c>
      <c r="C609" t="s">
        <v>19</v>
      </c>
      <c r="D609" t="s">
        <v>20</v>
      </c>
      <c r="E609" t="s">
        <v>21</v>
      </c>
      <c r="F609" t="s">
        <v>22</v>
      </c>
      <c r="G609" s="1">
        <v>45200</v>
      </c>
      <c r="H609" s="1">
        <v>45202</v>
      </c>
      <c r="I609" s="1">
        <v>45208</v>
      </c>
      <c r="J609">
        <v>8</v>
      </c>
      <c r="K609">
        <v>2</v>
      </c>
      <c r="L609">
        <v>1</v>
      </c>
      <c r="M609">
        <v>270.25</v>
      </c>
      <c r="N609">
        <v>270.25</v>
      </c>
      <c r="O609">
        <v>0.14000000000000001</v>
      </c>
      <c r="P609">
        <v>37.840000000000003</v>
      </c>
      <c r="Q609">
        <v>232.42</v>
      </c>
      <c r="R609">
        <v>175.66</v>
      </c>
      <c r="S609">
        <v>56.76</v>
      </c>
    </row>
    <row r="610" spans="1:19" x14ac:dyDescent="0.35">
      <c r="A610">
        <v>100608</v>
      </c>
      <c r="B610">
        <v>3557</v>
      </c>
      <c r="C610" t="s">
        <v>19</v>
      </c>
      <c r="D610" t="s">
        <v>29</v>
      </c>
      <c r="E610" t="s">
        <v>21</v>
      </c>
      <c r="F610" t="s">
        <v>39</v>
      </c>
      <c r="G610" s="1">
        <v>45153</v>
      </c>
      <c r="H610" s="1">
        <v>45158</v>
      </c>
      <c r="I610" s="1">
        <v>45169</v>
      </c>
      <c r="J610">
        <v>16</v>
      </c>
      <c r="K610">
        <v>5</v>
      </c>
      <c r="L610">
        <v>13</v>
      </c>
      <c r="M610">
        <v>327.27</v>
      </c>
      <c r="N610">
        <v>4254.51</v>
      </c>
      <c r="O610">
        <v>0.12</v>
      </c>
      <c r="P610">
        <v>510.54</v>
      </c>
      <c r="Q610">
        <v>3743.97</v>
      </c>
      <c r="R610">
        <v>2467.62</v>
      </c>
      <c r="S610">
        <v>1276.3499999999999</v>
      </c>
    </row>
    <row r="611" spans="1:19" x14ac:dyDescent="0.35">
      <c r="A611">
        <v>100609</v>
      </c>
      <c r="B611">
        <v>1586</v>
      </c>
      <c r="C611" t="s">
        <v>33</v>
      </c>
      <c r="D611" t="s">
        <v>29</v>
      </c>
      <c r="E611" t="s">
        <v>26</v>
      </c>
      <c r="F611" t="s">
        <v>36</v>
      </c>
      <c r="G611" s="1">
        <v>45004</v>
      </c>
      <c r="H611" s="1">
        <v>45008</v>
      </c>
      <c r="I611" s="1">
        <v>45027</v>
      </c>
      <c r="J611">
        <v>23</v>
      </c>
      <c r="K611">
        <v>4</v>
      </c>
      <c r="L611">
        <v>9</v>
      </c>
      <c r="M611">
        <v>321.79000000000002</v>
      </c>
      <c r="N611">
        <v>2896.11</v>
      </c>
      <c r="O611">
        <v>0</v>
      </c>
      <c r="P611">
        <v>0</v>
      </c>
      <c r="Q611">
        <v>2896.11</v>
      </c>
      <c r="R611">
        <v>1766.63</v>
      </c>
      <c r="S611">
        <v>1129.48</v>
      </c>
    </row>
    <row r="612" spans="1:19" x14ac:dyDescent="0.35">
      <c r="A612">
        <v>100610</v>
      </c>
      <c r="B612">
        <v>4954</v>
      </c>
      <c r="C612" t="s">
        <v>19</v>
      </c>
      <c r="D612" t="s">
        <v>29</v>
      </c>
      <c r="E612" t="s">
        <v>24</v>
      </c>
      <c r="F612" t="s">
        <v>25</v>
      </c>
      <c r="G612" s="1">
        <v>44989</v>
      </c>
      <c r="H612" s="1">
        <v>44991</v>
      </c>
      <c r="I612" s="1">
        <v>45018</v>
      </c>
      <c r="J612">
        <v>29</v>
      </c>
      <c r="K612">
        <v>2</v>
      </c>
      <c r="L612">
        <v>7</v>
      </c>
      <c r="M612">
        <v>289.42</v>
      </c>
      <c r="N612">
        <v>2025.94</v>
      </c>
      <c r="O612">
        <v>0.05</v>
      </c>
      <c r="P612">
        <v>101.3</v>
      </c>
      <c r="Q612">
        <v>1924.64</v>
      </c>
      <c r="R612">
        <v>1296.5999999999999</v>
      </c>
      <c r="S612">
        <v>628.04</v>
      </c>
    </row>
    <row r="613" spans="1:19" x14ac:dyDescent="0.35">
      <c r="A613">
        <v>100611</v>
      </c>
      <c r="B613">
        <v>2319</v>
      </c>
      <c r="C613" t="s">
        <v>28</v>
      </c>
      <c r="D613" t="s">
        <v>20</v>
      </c>
      <c r="E613" t="s">
        <v>21</v>
      </c>
      <c r="F613" t="s">
        <v>39</v>
      </c>
      <c r="G613" s="1">
        <v>44974</v>
      </c>
      <c r="H613" s="1">
        <v>44975</v>
      </c>
      <c r="I613" s="1">
        <v>44994</v>
      </c>
      <c r="J613">
        <v>20</v>
      </c>
      <c r="K613">
        <v>1</v>
      </c>
      <c r="L613">
        <v>10</v>
      </c>
      <c r="M613">
        <v>183.08</v>
      </c>
      <c r="N613">
        <v>1830.8</v>
      </c>
      <c r="O613">
        <v>7.0000000000000007E-2</v>
      </c>
      <c r="P613">
        <v>128.16</v>
      </c>
      <c r="Q613">
        <v>1702.64</v>
      </c>
      <c r="R613">
        <v>1208.33</v>
      </c>
      <c r="S613">
        <v>494.31</v>
      </c>
    </row>
    <row r="614" spans="1:19" x14ac:dyDescent="0.35">
      <c r="A614">
        <v>100612</v>
      </c>
      <c r="B614">
        <v>2611</v>
      </c>
      <c r="C614" t="s">
        <v>19</v>
      </c>
      <c r="D614" t="s">
        <v>29</v>
      </c>
      <c r="E614" t="s">
        <v>21</v>
      </c>
      <c r="F614" t="s">
        <v>39</v>
      </c>
      <c r="G614" s="1">
        <v>44996</v>
      </c>
      <c r="H614" s="1">
        <v>44997</v>
      </c>
      <c r="I614" s="1">
        <v>45010</v>
      </c>
      <c r="J614">
        <v>14</v>
      </c>
      <c r="K614">
        <v>1</v>
      </c>
      <c r="L614">
        <v>7</v>
      </c>
      <c r="M614">
        <v>425.41</v>
      </c>
      <c r="N614">
        <v>2977.87</v>
      </c>
      <c r="O614">
        <v>7.0000000000000007E-2</v>
      </c>
      <c r="P614">
        <v>208.45</v>
      </c>
      <c r="Q614">
        <v>2769.42</v>
      </c>
      <c r="R614">
        <v>1637.83</v>
      </c>
      <c r="S614">
        <v>1131.5899999999999</v>
      </c>
    </row>
    <row r="615" spans="1:19" x14ac:dyDescent="0.35">
      <c r="A615">
        <v>100613</v>
      </c>
      <c r="B615">
        <v>1291</v>
      </c>
      <c r="C615" t="s">
        <v>19</v>
      </c>
      <c r="D615" t="s">
        <v>31</v>
      </c>
      <c r="E615" t="s">
        <v>26</v>
      </c>
      <c r="F615" t="s">
        <v>36</v>
      </c>
      <c r="G615" s="1">
        <v>44967</v>
      </c>
      <c r="H615" s="1">
        <v>44970</v>
      </c>
      <c r="I615" s="1">
        <v>44977</v>
      </c>
      <c r="J615">
        <v>10</v>
      </c>
      <c r="K615">
        <v>3</v>
      </c>
      <c r="L615">
        <v>9</v>
      </c>
      <c r="M615">
        <v>189.16</v>
      </c>
      <c r="N615">
        <v>1702.44</v>
      </c>
      <c r="O615">
        <v>0.09</v>
      </c>
      <c r="P615">
        <v>153.22</v>
      </c>
      <c r="Q615">
        <v>1549.22</v>
      </c>
      <c r="R615">
        <v>1038.49</v>
      </c>
      <c r="S615">
        <v>510.73</v>
      </c>
    </row>
    <row r="616" spans="1:19" x14ac:dyDescent="0.35">
      <c r="A616">
        <v>100614</v>
      </c>
      <c r="B616">
        <v>4720</v>
      </c>
      <c r="C616" t="s">
        <v>19</v>
      </c>
      <c r="D616" t="s">
        <v>31</v>
      </c>
      <c r="E616" t="s">
        <v>21</v>
      </c>
      <c r="F616" t="s">
        <v>41</v>
      </c>
      <c r="G616" s="1">
        <v>45234</v>
      </c>
      <c r="H616" s="1">
        <v>45236</v>
      </c>
      <c r="I616" s="1">
        <v>45247</v>
      </c>
      <c r="J616">
        <v>13</v>
      </c>
      <c r="K616">
        <v>2</v>
      </c>
      <c r="L616">
        <v>10</v>
      </c>
      <c r="M616">
        <v>548.27</v>
      </c>
      <c r="N616">
        <v>5482.7</v>
      </c>
      <c r="O616">
        <v>0.09</v>
      </c>
      <c r="P616">
        <v>493.44</v>
      </c>
      <c r="Q616">
        <v>4989.26</v>
      </c>
      <c r="R616">
        <v>4002.37</v>
      </c>
      <c r="S616">
        <v>986.89</v>
      </c>
    </row>
    <row r="617" spans="1:19" x14ac:dyDescent="0.35">
      <c r="A617">
        <v>100615</v>
      </c>
      <c r="B617">
        <v>3044</v>
      </c>
      <c r="C617" t="s">
        <v>28</v>
      </c>
      <c r="D617" t="s">
        <v>20</v>
      </c>
      <c r="E617" t="s">
        <v>26</v>
      </c>
      <c r="F617" t="s">
        <v>37</v>
      </c>
      <c r="G617" s="1">
        <v>44992</v>
      </c>
      <c r="H617" s="1">
        <v>44997</v>
      </c>
      <c r="I617" s="1">
        <v>45001</v>
      </c>
      <c r="J617">
        <v>9</v>
      </c>
      <c r="K617">
        <v>5</v>
      </c>
      <c r="L617">
        <v>7</v>
      </c>
      <c r="M617">
        <v>10.93</v>
      </c>
      <c r="N617">
        <v>76.510000000000005</v>
      </c>
      <c r="O617">
        <v>0.04</v>
      </c>
      <c r="P617">
        <v>3.06</v>
      </c>
      <c r="Q617">
        <v>73.45</v>
      </c>
      <c r="R617">
        <v>49.73</v>
      </c>
      <c r="S617">
        <v>23.72</v>
      </c>
    </row>
    <row r="618" spans="1:19" x14ac:dyDescent="0.35">
      <c r="A618">
        <v>100616</v>
      </c>
      <c r="B618">
        <v>3157</v>
      </c>
      <c r="C618" t="s">
        <v>28</v>
      </c>
      <c r="D618" t="s">
        <v>31</v>
      </c>
      <c r="E618" t="s">
        <v>24</v>
      </c>
      <c r="F618" t="s">
        <v>42</v>
      </c>
      <c r="G618" s="1">
        <v>44959</v>
      </c>
      <c r="H618" s="1">
        <v>44961</v>
      </c>
      <c r="I618" s="1">
        <v>44984</v>
      </c>
      <c r="J618">
        <v>25</v>
      </c>
      <c r="K618">
        <v>2</v>
      </c>
      <c r="L618">
        <v>7</v>
      </c>
      <c r="M618">
        <v>764.41</v>
      </c>
      <c r="N618">
        <v>5350.87</v>
      </c>
      <c r="O618">
        <v>0.16</v>
      </c>
      <c r="P618">
        <v>856.14</v>
      </c>
      <c r="Q618">
        <v>4494.7299999999996</v>
      </c>
      <c r="R618">
        <v>3103.5</v>
      </c>
      <c r="S618">
        <v>1391.23</v>
      </c>
    </row>
    <row r="619" spans="1:19" x14ac:dyDescent="0.35">
      <c r="A619">
        <v>100617</v>
      </c>
      <c r="B619">
        <v>2611</v>
      </c>
      <c r="C619" t="s">
        <v>28</v>
      </c>
      <c r="D619" t="s">
        <v>29</v>
      </c>
      <c r="E619" t="s">
        <v>26</v>
      </c>
      <c r="F619" t="s">
        <v>36</v>
      </c>
      <c r="G619" s="1">
        <v>45107</v>
      </c>
      <c r="H619" s="1">
        <v>45109</v>
      </c>
      <c r="I619" s="1">
        <v>45115</v>
      </c>
      <c r="J619">
        <v>8</v>
      </c>
      <c r="K619">
        <v>2</v>
      </c>
      <c r="L619">
        <v>11</v>
      </c>
      <c r="M619">
        <v>518.71</v>
      </c>
      <c r="N619">
        <v>5705.81</v>
      </c>
      <c r="O619">
        <v>0.06</v>
      </c>
      <c r="P619">
        <v>342.35</v>
      </c>
      <c r="Q619">
        <v>5363.46</v>
      </c>
      <c r="R619">
        <v>4108.18</v>
      </c>
      <c r="S619">
        <v>1255.28</v>
      </c>
    </row>
    <row r="620" spans="1:19" x14ac:dyDescent="0.35">
      <c r="A620">
        <v>100618</v>
      </c>
      <c r="B620">
        <v>4389</v>
      </c>
      <c r="C620" t="s">
        <v>33</v>
      </c>
      <c r="D620" t="s">
        <v>20</v>
      </c>
      <c r="E620" t="s">
        <v>26</v>
      </c>
      <c r="F620" t="s">
        <v>27</v>
      </c>
      <c r="G620" s="1">
        <v>45126</v>
      </c>
      <c r="H620" s="1">
        <v>45128</v>
      </c>
      <c r="I620" s="1">
        <v>45129</v>
      </c>
      <c r="J620">
        <v>3</v>
      </c>
      <c r="K620">
        <v>2</v>
      </c>
      <c r="L620">
        <v>4</v>
      </c>
      <c r="M620">
        <v>283.67</v>
      </c>
      <c r="N620">
        <v>1134.68</v>
      </c>
      <c r="O620">
        <v>0.08</v>
      </c>
      <c r="P620">
        <v>90.77</v>
      </c>
      <c r="Q620">
        <v>1043.9100000000001</v>
      </c>
      <c r="R620">
        <v>680.81</v>
      </c>
      <c r="S620">
        <v>363.1</v>
      </c>
    </row>
    <row r="621" spans="1:19" x14ac:dyDescent="0.35">
      <c r="A621">
        <v>100619</v>
      </c>
      <c r="B621">
        <v>4859</v>
      </c>
      <c r="C621" t="s">
        <v>28</v>
      </c>
      <c r="D621" t="s">
        <v>20</v>
      </c>
      <c r="E621" t="s">
        <v>26</v>
      </c>
      <c r="F621" t="s">
        <v>36</v>
      </c>
      <c r="G621" s="1">
        <v>44956</v>
      </c>
      <c r="H621" s="1">
        <v>44961</v>
      </c>
      <c r="I621" s="1">
        <v>44958</v>
      </c>
      <c r="J621">
        <v>2</v>
      </c>
      <c r="K621">
        <v>5</v>
      </c>
      <c r="L621">
        <v>14</v>
      </c>
      <c r="M621">
        <v>280.27</v>
      </c>
      <c r="N621">
        <v>3923.78</v>
      </c>
      <c r="O621">
        <v>0</v>
      </c>
      <c r="P621">
        <v>0</v>
      </c>
      <c r="Q621">
        <v>3923.78</v>
      </c>
      <c r="R621">
        <v>2354.27</v>
      </c>
      <c r="S621">
        <v>1569.51</v>
      </c>
    </row>
    <row r="622" spans="1:19" x14ac:dyDescent="0.35">
      <c r="A622">
        <v>100620</v>
      </c>
      <c r="B622">
        <v>3295</v>
      </c>
      <c r="C622" t="s">
        <v>33</v>
      </c>
      <c r="D622" t="s">
        <v>20</v>
      </c>
      <c r="E622" t="s">
        <v>24</v>
      </c>
      <c r="F622" t="s">
        <v>25</v>
      </c>
      <c r="G622" s="1">
        <v>45003</v>
      </c>
      <c r="H622" s="1">
        <v>45004</v>
      </c>
      <c r="I622" s="1">
        <v>45023</v>
      </c>
      <c r="J622">
        <v>20</v>
      </c>
      <c r="K622">
        <v>1</v>
      </c>
      <c r="L622">
        <v>11</v>
      </c>
      <c r="M622">
        <v>781.72</v>
      </c>
      <c r="N622">
        <v>8598.92</v>
      </c>
      <c r="O622">
        <v>7.0000000000000007E-2</v>
      </c>
      <c r="P622">
        <v>601.91999999999996</v>
      </c>
      <c r="Q622">
        <v>7997</v>
      </c>
      <c r="R622">
        <v>5073.3599999999997</v>
      </c>
      <c r="S622">
        <v>2923.64</v>
      </c>
    </row>
    <row r="623" spans="1:19" x14ac:dyDescent="0.35">
      <c r="A623">
        <v>100621</v>
      </c>
      <c r="B623">
        <v>4734</v>
      </c>
      <c r="C623" t="s">
        <v>28</v>
      </c>
      <c r="D623" t="s">
        <v>29</v>
      </c>
      <c r="E623" t="s">
        <v>34</v>
      </c>
      <c r="F623" t="s">
        <v>43</v>
      </c>
      <c r="G623" s="1">
        <v>45283</v>
      </c>
      <c r="H623" s="1">
        <v>45286</v>
      </c>
      <c r="I623" s="1">
        <v>45302</v>
      </c>
      <c r="J623">
        <v>19</v>
      </c>
      <c r="K623">
        <v>3</v>
      </c>
      <c r="L623">
        <v>6</v>
      </c>
      <c r="M623">
        <v>758.81</v>
      </c>
      <c r="N623">
        <v>4552.8599999999997</v>
      </c>
      <c r="O623">
        <v>0.1</v>
      </c>
      <c r="P623">
        <v>455.29</v>
      </c>
      <c r="Q623">
        <v>4097.57</v>
      </c>
      <c r="R623">
        <v>2959.36</v>
      </c>
      <c r="S623">
        <v>1138.21</v>
      </c>
    </row>
    <row r="624" spans="1:19" x14ac:dyDescent="0.35">
      <c r="A624">
        <v>100622</v>
      </c>
      <c r="B624">
        <v>3552</v>
      </c>
      <c r="C624" t="s">
        <v>23</v>
      </c>
      <c r="D624" t="s">
        <v>29</v>
      </c>
      <c r="E624" t="s">
        <v>26</v>
      </c>
      <c r="F624" t="s">
        <v>37</v>
      </c>
      <c r="G624" s="1">
        <v>44927</v>
      </c>
      <c r="H624" s="1">
        <v>44928</v>
      </c>
      <c r="I624" s="1">
        <v>44953</v>
      </c>
      <c r="J624">
        <v>26</v>
      </c>
      <c r="K624">
        <v>1</v>
      </c>
      <c r="L624">
        <v>10</v>
      </c>
      <c r="M624">
        <v>613.66999999999996</v>
      </c>
      <c r="N624">
        <v>6136.7</v>
      </c>
      <c r="O624">
        <v>0.04</v>
      </c>
      <c r="P624">
        <v>245.47</v>
      </c>
      <c r="Q624">
        <v>5891.23</v>
      </c>
      <c r="R624">
        <v>3743.39</v>
      </c>
      <c r="S624">
        <v>2147.84</v>
      </c>
    </row>
    <row r="625" spans="1:19" x14ac:dyDescent="0.35">
      <c r="A625">
        <v>100623</v>
      </c>
      <c r="B625">
        <v>2552</v>
      </c>
      <c r="C625" t="s">
        <v>28</v>
      </c>
      <c r="D625" t="s">
        <v>20</v>
      </c>
      <c r="E625" t="s">
        <v>34</v>
      </c>
      <c r="F625" t="s">
        <v>35</v>
      </c>
      <c r="G625" s="1">
        <v>45156</v>
      </c>
      <c r="H625" s="1">
        <v>45159</v>
      </c>
      <c r="I625" s="1">
        <v>45169</v>
      </c>
      <c r="J625">
        <v>13</v>
      </c>
      <c r="K625">
        <v>3</v>
      </c>
      <c r="L625">
        <v>10</v>
      </c>
      <c r="M625">
        <v>64.37</v>
      </c>
      <c r="N625">
        <v>643.70000000000005</v>
      </c>
      <c r="O625">
        <v>0.04</v>
      </c>
      <c r="P625">
        <v>25.75</v>
      </c>
      <c r="Q625">
        <v>617.95000000000005</v>
      </c>
      <c r="R625">
        <v>463.46</v>
      </c>
      <c r="S625">
        <v>154.49</v>
      </c>
    </row>
    <row r="626" spans="1:19" x14ac:dyDescent="0.35">
      <c r="A626">
        <v>100624</v>
      </c>
      <c r="B626">
        <v>2825</v>
      </c>
      <c r="C626" t="s">
        <v>33</v>
      </c>
      <c r="D626" t="s">
        <v>31</v>
      </c>
      <c r="E626" t="s">
        <v>34</v>
      </c>
      <c r="F626" t="s">
        <v>45</v>
      </c>
      <c r="G626" s="1">
        <v>44929</v>
      </c>
      <c r="H626" s="1">
        <v>44933</v>
      </c>
      <c r="I626" s="1">
        <v>44941</v>
      </c>
      <c r="J626">
        <v>12</v>
      </c>
      <c r="K626">
        <v>4</v>
      </c>
      <c r="L626">
        <v>6</v>
      </c>
      <c r="M626">
        <v>117.67</v>
      </c>
      <c r="N626">
        <v>706.02</v>
      </c>
      <c r="O626">
        <v>0.13</v>
      </c>
      <c r="P626">
        <v>91.78</v>
      </c>
      <c r="Q626">
        <v>614.24</v>
      </c>
      <c r="R626">
        <v>430.67</v>
      </c>
      <c r="S626">
        <v>183.57</v>
      </c>
    </row>
    <row r="627" spans="1:19" x14ac:dyDescent="0.35">
      <c r="A627">
        <v>100625</v>
      </c>
      <c r="B627">
        <v>1212</v>
      </c>
      <c r="C627" t="s">
        <v>28</v>
      </c>
      <c r="D627" t="s">
        <v>20</v>
      </c>
      <c r="E627" t="s">
        <v>26</v>
      </c>
      <c r="F627" t="s">
        <v>36</v>
      </c>
      <c r="G627" s="1">
        <v>45230</v>
      </c>
      <c r="H627" s="1">
        <v>45233</v>
      </c>
      <c r="I627" s="1">
        <v>45260</v>
      </c>
      <c r="J627">
        <v>30</v>
      </c>
      <c r="K627">
        <v>3</v>
      </c>
      <c r="L627">
        <v>6</v>
      </c>
      <c r="M627">
        <v>102.43</v>
      </c>
      <c r="N627">
        <v>614.58000000000004</v>
      </c>
      <c r="O627">
        <v>7.0000000000000007E-2</v>
      </c>
      <c r="P627">
        <v>43.02</v>
      </c>
      <c r="Q627">
        <v>571.55999999999995</v>
      </c>
      <c r="R627">
        <v>405.62</v>
      </c>
      <c r="S627">
        <v>165.94</v>
      </c>
    </row>
    <row r="628" spans="1:19" x14ac:dyDescent="0.35">
      <c r="A628">
        <v>100626</v>
      </c>
      <c r="B628">
        <v>4480</v>
      </c>
      <c r="C628" t="s">
        <v>28</v>
      </c>
      <c r="D628" t="s">
        <v>29</v>
      </c>
      <c r="E628" t="s">
        <v>26</v>
      </c>
      <c r="F628" t="s">
        <v>36</v>
      </c>
      <c r="G628" s="1">
        <v>45268</v>
      </c>
      <c r="H628" s="1">
        <v>45270</v>
      </c>
      <c r="I628" s="1">
        <v>45279</v>
      </c>
      <c r="J628">
        <v>11</v>
      </c>
      <c r="K628">
        <v>2</v>
      </c>
      <c r="L628">
        <v>7</v>
      </c>
      <c r="M628">
        <v>287.64</v>
      </c>
      <c r="N628">
        <v>2013.48</v>
      </c>
      <c r="O628">
        <v>0</v>
      </c>
      <c r="P628">
        <v>0</v>
      </c>
      <c r="Q628">
        <v>2013.48</v>
      </c>
      <c r="R628">
        <v>1328.9</v>
      </c>
      <c r="S628">
        <v>684.58</v>
      </c>
    </row>
    <row r="629" spans="1:19" x14ac:dyDescent="0.35">
      <c r="A629">
        <v>100627</v>
      </c>
      <c r="B629">
        <v>4545</v>
      </c>
      <c r="C629" t="s">
        <v>23</v>
      </c>
      <c r="D629" t="s">
        <v>20</v>
      </c>
      <c r="E629" t="s">
        <v>21</v>
      </c>
      <c r="F629" t="s">
        <v>39</v>
      </c>
      <c r="G629" s="1">
        <v>45205</v>
      </c>
      <c r="H629" s="1">
        <v>45209</v>
      </c>
      <c r="I629" s="1">
        <v>45210</v>
      </c>
      <c r="J629">
        <v>5</v>
      </c>
      <c r="K629">
        <v>4</v>
      </c>
      <c r="L629">
        <v>1</v>
      </c>
      <c r="M629">
        <v>27.36</v>
      </c>
      <c r="N629">
        <v>27.36</v>
      </c>
      <c r="O629">
        <v>7.0000000000000007E-2</v>
      </c>
      <c r="P629">
        <v>1.92</v>
      </c>
      <c r="Q629">
        <v>25.44</v>
      </c>
      <c r="R629">
        <v>18.329999999999998</v>
      </c>
      <c r="S629">
        <v>7.11</v>
      </c>
    </row>
    <row r="630" spans="1:19" x14ac:dyDescent="0.35">
      <c r="A630">
        <v>100628</v>
      </c>
      <c r="B630">
        <v>3291</v>
      </c>
      <c r="C630" t="s">
        <v>19</v>
      </c>
      <c r="D630" t="s">
        <v>29</v>
      </c>
      <c r="E630" t="s">
        <v>34</v>
      </c>
      <c r="F630" t="s">
        <v>43</v>
      </c>
      <c r="G630" s="1">
        <v>45256</v>
      </c>
      <c r="H630" s="1">
        <v>45257</v>
      </c>
      <c r="I630" s="1">
        <v>45265</v>
      </c>
      <c r="J630">
        <v>9</v>
      </c>
      <c r="K630">
        <v>1</v>
      </c>
      <c r="L630">
        <v>6</v>
      </c>
      <c r="M630">
        <v>500.54</v>
      </c>
      <c r="N630">
        <v>3003.24</v>
      </c>
      <c r="O630">
        <v>0.12</v>
      </c>
      <c r="P630">
        <v>360.39</v>
      </c>
      <c r="Q630">
        <v>2642.85</v>
      </c>
      <c r="R630">
        <v>1892.04</v>
      </c>
      <c r="S630">
        <v>750.81</v>
      </c>
    </row>
    <row r="631" spans="1:19" x14ac:dyDescent="0.35">
      <c r="A631">
        <v>100629</v>
      </c>
      <c r="B631">
        <v>3677</v>
      </c>
      <c r="C631" t="s">
        <v>23</v>
      </c>
      <c r="D631" t="s">
        <v>29</v>
      </c>
      <c r="E631" t="s">
        <v>34</v>
      </c>
      <c r="F631" t="s">
        <v>43</v>
      </c>
      <c r="G631" s="1">
        <v>45269</v>
      </c>
      <c r="H631" s="1">
        <v>45271</v>
      </c>
      <c r="I631" s="1">
        <v>45281</v>
      </c>
      <c r="J631">
        <v>12</v>
      </c>
      <c r="K631">
        <v>2</v>
      </c>
      <c r="L631">
        <v>9</v>
      </c>
      <c r="M631">
        <v>648.38</v>
      </c>
      <c r="N631">
        <v>5835.42</v>
      </c>
      <c r="O631">
        <v>0.04</v>
      </c>
      <c r="P631">
        <v>233.42</v>
      </c>
      <c r="Q631">
        <v>5602</v>
      </c>
      <c r="R631">
        <v>3676.31</v>
      </c>
      <c r="S631">
        <v>1925.69</v>
      </c>
    </row>
    <row r="632" spans="1:19" x14ac:dyDescent="0.35">
      <c r="A632">
        <v>100630</v>
      </c>
      <c r="B632">
        <v>3959</v>
      </c>
      <c r="C632" t="s">
        <v>33</v>
      </c>
      <c r="D632" t="s">
        <v>29</v>
      </c>
      <c r="E632" t="s">
        <v>24</v>
      </c>
      <c r="F632" t="s">
        <v>25</v>
      </c>
      <c r="G632" s="1">
        <v>45046</v>
      </c>
      <c r="H632" s="1">
        <v>45048</v>
      </c>
      <c r="I632" s="1">
        <v>45067</v>
      </c>
      <c r="J632">
        <v>21</v>
      </c>
      <c r="K632">
        <v>2</v>
      </c>
      <c r="L632">
        <v>13</v>
      </c>
      <c r="M632">
        <v>345.47</v>
      </c>
      <c r="N632">
        <v>4491.1099999999997</v>
      </c>
      <c r="O632">
        <v>0.1</v>
      </c>
      <c r="P632">
        <v>449.11</v>
      </c>
      <c r="Q632">
        <v>4042</v>
      </c>
      <c r="R632">
        <v>2919.22</v>
      </c>
      <c r="S632">
        <v>1122.78</v>
      </c>
    </row>
    <row r="633" spans="1:19" x14ac:dyDescent="0.35">
      <c r="A633">
        <v>100631</v>
      </c>
      <c r="B633">
        <v>1135</v>
      </c>
      <c r="C633" t="s">
        <v>28</v>
      </c>
      <c r="D633" t="s">
        <v>29</v>
      </c>
      <c r="E633" t="s">
        <v>34</v>
      </c>
      <c r="F633" t="s">
        <v>45</v>
      </c>
      <c r="G633" s="1">
        <v>45270</v>
      </c>
      <c r="H633" s="1">
        <v>45275</v>
      </c>
      <c r="I633" s="1">
        <v>45287</v>
      </c>
      <c r="J633">
        <v>17</v>
      </c>
      <c r="K633">
        <v>5</v>
      </c>
      <c r="L633">
        <v>8</v>
      </c>
      <c r="M633">
        <v>316.48</v>
      </c>
      <c r="N633">
        <v>2531.84</v>
      </c>
      <c r="O633">
        <v>0.09</v>
      </c>
      <c r="P633">
        <v>227.87</v>
      </c>
      <c r="Q633">
        <v>2303.9699999999998</v>
      </c>
      <c r="R633">
        <v>1519.1</v>
      </c>
      <c r="S633">
        <v>784.87</v>
      </c>
    </row>
    <row r="634" spans="1:19" x14ac:dyDescent="0.35">
      <c r="A634">
        <v>100632</v>
      </c>
      <c r="B634">
        <v>1466</v>
      </c>
      <c r="C634" t="s">
        <v>33</v>
      </c>
      <c r="D634" t="s">
        <v>29</v>
      </c>
      <c r="E634" t="s">
        <v>24</v>
      </c>
      <c r="F634" t="s">
        <v>42</v>
      </c>
      <c r="G634" s="1">
        <v>44979</v>
      </c>
      <c r="H634" s="1">
        <v>44983</v>
      </c>
      <c r="I634" s="1">
        <v>44996</v>
      </c>
      <c r="J634">
        <v>17</v>
      </c>
      <c r="K634">
        <v>4</v>
      </c>
      <c r="L634">
        <v>3</v>
      </c>
      <c r="M634">
        <v>235.49</v>
      </c>
      <c r="N634">
        <v>706.47</v>
      </c>
      <c r="O634">
        <v>0.09</v>
      </c>
      <c r="P634">
        <v>63.58</v>
      </c>
      <c r="Q634">
        <v>642.89</v>
      </c>
      <c r="R634">
        <v>381.49</v>
      </c>
      <c r="S634">
        <v>261.39999999999998</v>
      </c>
    </row>
    <row r="635" spans="1:19" x14ac:dyDescent="0.35">
      <c r="A635">
        <v>100633</v>
      </c>
      <c r="B635">
        <v>1570</v>
      </c>
      <c r="C635" t="s">
        <v>33</v>
      </c>
      <c r="D635" t="s">
        <v>29</v>
      </c>
      <c r="E635" t="s">
        <v>21</v>
      </c>
      <c r="F635" t="s">
        <v>41</v>
      </c>
      <c r="G635" s="1">
        <v>45193</v>
      </c>
      <c r="H635" s="1">
        <v>45196</v>
      </c>
      <c r="I635" s="1">
        <v>45204</v>
      </c>
      <c r="J635">
        <v>11</v>
      </c>
      <c r="K635">
        <v>3</v>
      </c>
      <c r="L635">
        <v>4</v>
      </c>
      <c r="M635">
        <v>111.99</v>
      </c>
      <c r="N635">
        <v>447.96</v>
      </c>
      <c r="O635">
        <v>0.04</v>
      </c>
      <c r="P635">
        <v>17.920000000000002</v>
      </c>
      <c r="Q635">
        <v>430.04</v>
      </c>
      <c r="R635">
        <v>268.77999999999997</v>
      </c>
      <c r="S635">
        <v>161.26</v>
      </c>
    </row>
    <row r="636" spans="1:19" x14ac:dyDescent="0.35">
      <c r="A636">
        <v>100634</v>
      </c>
      <c r="B636">
        <v>1547</v>
      </c>
      <c r="C636" t="s">
        <v>33</v>
      </c>
      <c r="D636" t="s">
        <v>29</v>
      </c>
      <c r="E636" t="s">
        <v>26</v>
      </c>
      <c r="F636" t="s">
        <v>37</v>
      </c>
      <c r="G636" s="1">
        <v>45063</v>
      </c>
      <c r="H636" s="1">
        <v>45064</v>
      </c>
      <c r="I636" s="1">
        <v>45069</v>
      </c>
      <c r="J636">
        <v>6</v>
      </c>
      <c r="K636">
        <v>1</v>
      </c>
      <c r="L636">
        <v>1</v>
      </c>
      <c r="M636">
        <v>545.07000000000005</v>
      </c>
      <c r="N636">
        <v>545.07000000000005</v>
      </c>
      <c r="O636">
        <v>0.08</v>
      </c>
      <c r="P636">
        <v>43.61</v>
      </c>
      <c r="Q636">
        <v>501.46</v>
      </c>
      <c r="R636">
        <v>337.94</v>
      </c>
      <c r="S636">
        <v>163.52000000000001</v>
      </c>
    </row>
    <row r="637" spans="1:19" x14ac:dyDescent="0.35">
      <c r="A637">
        <v>100635</v>
      </c>
      <c r="B637">
        <v>3165</v>
      </c>
      <c r="C637" t="s">
        <v>28</v>
      </c>
      <c r="D637" t="s">
        <v>29</v>
      </c>
      <c r="E637" t="s">
        <v>34</v>
      </c>
      <c r="F637" t="s">
        <v>35</v>
      </c>
      <c r="G637" s="1">
        <v>45258</v>
      </c>
      <c r="H637" s="1">
        <v>45262</v>
      </c>
      <c r="I637" s="1">
        <v>45277</v>
      </c>
      <c r="J637">
        <v>19</v>
      </c>
      <c r="K637">
        <v>4</v>
      </c>
      <c r="L637">
        <v>9</v>
      </c>
      <c r="M637">
        <v>277.31</v>
      </c>
      <c r="N637">
        <v>2495.79</v>
      </c>
      <c r="O637">
        <v>0.12</v>
      </c>
      <c r="P637">
        <v>299.49</v>
      </c>
      <c r="Q637">
        <v>2196.3000000000002</v>
      </c>
      <c r="R637">
        <v>1547.39</v>
      </c>
      <c r="S637">
        <v>648.91</v>
      </c>
    </row>
    <row r="638" spans="1:19" x14ac:dyDescent="0.35">
      <c r="A638">
        <v>100636</v>
      </c>
      <c r="B638">
        <v>4236</v>
      </c>
      <c r="C638" t="s">
        <v>33</v>
      </c>
      <c r="D638" t="s">
        <v>29</v>
      </c>
      <c r="E638" t="s">
        <v>26</v>
      </c>
      <c r="F638" t="s">
        <v>36</v>
      </c>
      <c r="G638" s="1">
        <v>45046</v>
      </c>
      <c r="H638" s="1">
        <v>45047</v>
      </c>
      <c r="I638" s="1">
        <v>45073</v>
      </c>
      <c r="J638">
        <v>27</v>
      </c>
      <c r="K638">
        <v>1</v>
      </c>
      <c r="L638">
        <v>14</v>
      </c>
      <c r="M638">
        <v>287.49</v>
      </c>
      <c r="N638">
        <v>4024.86</v>
      </c>
      <c r="O638">
        <v>0.1</v>
      </c>
      <c r="P638">
        <v>402.49</v>
      </c>
      <c r="Q638">
        <v>3622.37</v>
      </c>
      <c r="R638">
        <v>2495.41</v>
      </c>
      <c r="S638">
        <v>1126.96</v>
      </c>
    </row>
    <row r="639" spans="1:19" x14ac:dyDescent="0.35">
      <c r="A639">
        <v>100637</v>
      </c>
      <c r="B639">
        <v>3718</v>
      </c>
      <c r="C639" t="s">
        <v>33</v>
      </c>
      <c r="D639" t="s">
        <v>29</v>
      </c>
      <c r="E639" t="s">
        <v>24</v>
      </c>
      <c r="F639" t="s">
        <v>42</v>
      </c>
      <c r="G639" s="1">
        <v>45222</v>
      </c>
      <c r="H639" s="1">
        <v>45223</v>
      </c>
      <c r="I639" s="1">
        <v>45250</v>
      </c>
      <c r="J639">
        <v>28</v>
      </c>
      <c r="K639">
        <v>1</v>
      </c>
      <c r="L639">
        <v>5</v>
      </c>
      <c r="M639">
        <v>102.65</v>
      </c>
      <c r="N639">
        <v>513.25</v>
      </c>
      <c r="O639">
        <v>0.08</v>
      </c>
      <c r="P639">
        <v>41.06</v>
      </c>
      <c r="Q639">
        <v>472.19</v>
      </c>
      <c r="R639">
        <v>313.08</v>
      </c>
      <c r="S639">
        <v>159.11000000000001</v>
      </c>
    </row>
    <row r="640" spans="1:19" x14ac:dyDescent="0.35">
      <c r="A640">
        <v>100638</v>
      </c>
      <c r="B640">
        <v>2004</v>
      </c>
      <c r="C640" t="s">
        <v>23</v>
      </c>
      <c r="D640" t="s">
        <v>20</v>
      </c>
      <c r="E640" t="s">
        <v>34</v>
      </c>
      <c r="F640" t="s">
        <v>45</v>
      </c>
      <c r="G640" s="1">
        <v>45239</v>
      </c>
      <c r="H640" s="1">
        <v>45244</v>
      </c>
      <c r="I640" s="1">
        <v>45265</v>
      </c>
      <c r="J640">
        <v>26</v>
      </c>
      <c r="K640">
        <v>5</v>
      </c>
      <c r="L640">
        <v>14</v>
      </c>
      <c r="M640">
        <v>183.61</v>
      </c>
      <c r="N640">
        <v>2570.54</v>
      </c>
      <c r="O640">
        <v>0.11</v>
      </c>
      <c r="P640">
        <v>282.76</v>
      </c>
      <c r="Q640">
        <v>2287.7800000000002</v>
      </c>
      <c r="R640">
        <v>1413.8</v>
      </c>
      <c r="S640">
        <v>873.98</v>
      </c>
    </row>
    <row r="641" spans="1:19" x14ac:dyDescent="0.35">
      <c r="A641">
        <v>100639</v>
      </c>
      <c r="B641">
        <v>3653</v>
      </c>
      <c r="C641" t="s">
        <v>28</v>
      </c>
      <c r="D641" t="s">
        <v>20</v>
      </c>
      <c r="E641" t="s">
        <v>34</v>
      </c>
      <c r="F641" t="s">
        <v>45</v>
      </c>
      <c r="G641" s="1">
        <v>45250</v>
      </c>
      <c r="H641" s="1">
        <v>45252</v>
      </c>
      <c r="I641" s="1">
        <v>45259</v>
      </c>
      <c r="J641">
        <v>9</v>
      </c>
      <c r="K641">
        <v>2</v>
      </c>
      <c r="L641">
        <v>10</v>
      </c>
      <c r="M641">
        <v>690.91</v>
      </c>
      <c r="N641">
        <v>6909.1</v>
      </c>
      <c r="O641">
        <v>0.11</v>
      </c>
      <c r="P641">
        <v>760</v>
      </c>
      <c r="Q641">
        <v>6149.1</v>
      </c>
      <c r="R641">
        <v>3869.1</v>
      </c>
      <c r="S641">
        <v>2280</v>
      </c>
    </row>
    <row r="642" spans="1:19" x14ac:dyDescent="0.35">
      <c r="A642">
        <v>100640</v>
      </c>
      <c r="B642">
        <v>1245</v>
      </c>
      <c r="C642" t="s">
        <v>33</v>
      </c>
      <c r="D642" t="s">
        <v>20</v>
      </c>
      <c r="E642" t="s">
        <v>21</v>
      </c>
      <c r="F642" t="s">
        <v>41</v>
      </c>
      <c r="G642" s="1">
        <v>45042</v>
      </c>
      <c r="H642" s="1">
        <v>45044</v>
      </c>
      <c r="I642" s="1">
        <v>45045</v>
      </c>
      <c r="J642">
        <v>3</v>
      </c>
      <c r="K642">
        <v>2</v>
      </c>
      <c r="L642">
        <v>11</v>
      </c>
      <c r="M642">
        <v>670.9</v>
      </c>
      <c r="N642">
        <v>7379.9</v>
      </c>
      <c r="O642">
        <v>0.13</v>
      </c>
      <c r="P642">
        <v>959.39</v>
      </c>
      <c r="Q642">
        <v>6420.51</v>
      </c>
      <c r="R642">
        <v>4944.53</v>
      </c>
      <c r="S642">
        <v>1475.98</v>
      </c>
    </row>
    <row r="643" spans="1:19" x14ac:dyDescent="0.35">
      <c r="A643">
        <v>100641</v>
      </c>
      <c r="B643">
        <v>4731</v>
      </c>
      <c r="C643" t="s">
        <v>33</v>
      </c>
      <c r="D643" t="s">
        <v>31</v>
      </c>
      <c r="E643" t="s">
        <v>26</v>
      </c>
      <c r="F643" t="s">
        <v>27</v>
      </c>
      <c r="G643" s="1">
        <v>45254</v>
      </c>
      <c r="H643" s="1">
        <v>45259</v>
      </c>
      <c r="I643" s="1">
        <v>45264</v>
      </c>
      <c r="J643">
        <v>10</v>
      </c>
      <c r="K643">
        <v>5</v>
      </c>
      <c r="L643">
        <v>13</v>
      </c>
      <c r="M643">
        <v>126.82</v>
      </c>
      <c r="N643">
        <v>1648.66</v>
      </c>
      <c r="O643">
        <v>0.17</v>
      </c>
      <c r="P643">
        <v>280.27</v>
      </c>
      <c r="Q643">
        <v>1368.39</v>
      </c>
      <c r="R643">
        <v>989.2</v>
      </c>
      <c r="S643">
        <v>379.19</v>
      </c>
    </row>
    <row r="644" spans="1:19" x14ac:dyDescent="0.35">
      <c r="A644">
        <v>100642</v>
      </c>
      <c r="B644">
        <v>4341</v>
      </c>
      <c r="C644" t="s">
        <v>33</v>
      </c>
      <c r="D644" t="s">
        <v>20</v>
      </c>
      <c r="E644" t="s">
        <v>26</v>
      </c>
      <c r="F644" t="s">
        <v>37</v>
      </c>
      <c r="G644" s="1">
        <v>45039</v>
      </c>
      <c r="H644" s="1">
        <v>45040</v>
      </c>
      <c r="I644" s="1">
        <v>45062</v>
      </c>
      <c r="J644">
        <v>23</v>
      </c>
      <c r="K644">
        <v>1</v>
      </c>
      <c r="L644">
        <v>5</v>
      </c>
      <c r="M644">
        <v>334.2</v>
      </c>
      <c r="N644">
        <v>1671</v>
      </c>
      <c r="O644">
        <v>0.15</v>
      </c>
      <c r="P644">
        <v>250.65</v>
      </c>
      <c r="Q644">
        <v>1420.35</v>
      </c>
      <c r="R644">
        <v>969.18</v>
      </c>
      <c r="S644">
        <v>451.17</v>
      </c>
    </row>
    <row r="645" spans="1:19" x14ac:dyDescent="0.35">
      <c r="A645">
        <v>100643</v>
      </c>
      <c r="B645">
        <v>2123</v>
      </c>
      <c r="C645" t="s">
        <v>19</v>
      </c>
      <c r="D645" t="s">
        <v>29</v>
      </c>
      <c r="E645" t="s">
        <v>26</v>
      </c>
      <c r="F645" t="s">
        <v>37</v>
      </c>
      <c r="G645" s="1">
        <v>45199</v>
      </c>
      <c r="H645" s="1">
        <v>45201</v>
      </c>
      <c r="I645" s="1">
        <v>45227</v>
      </c>
      <c r="J645">
        <v>28</v>
      </c>
      <c r="K645">
        <v>2</v>
      </c>
      <c r="L645">
        <v>11</v>
      </c>
      <c r="M645">
        <v>674.74</v>
      </c>
      <c r="N645">
        <v>7422.14</v>
      </c>
      <c r="O645">
        <v>0.1</v>
      </c>
      <c r="P645">
        <v>742.21</v>
      </c>
      <c r="Q645">
        <v>6679.93</v>
      </c>
      <c r="R645">
        <v>4304.84</v>
      </c>
      <c r="S645">
        <v>2375.09</v>
      </c>
    </row>
    <row r="646" spans="1:19" x14ac:dyDescent="0.35">
      <c r="A646">
        <v>100644</v>
      </c>
      <c r="B646">
        <v>1819</v>
      </c>
      <c r="C646" t="s">
        <v>19</v>
      </c>
      <c r="D646" t="s">
        <v>20</v>
      </c>
      <c r="E646" t="s">
        <v>34</v>
      </c>
      <c r="F646" t="s">
        <v>40</v>
      </c>
      <c r="G646" s="1">
        <v>44997</v>
      </c>
      <c r="H646" s="1">
        <v>45002</v>
      </c>
      <c r="I646" s="1">
        <v>45014</v>
      </c>
      <c r="J646">
        <v>17</v>
      </c>
      <c r="K646">
        <v>5</v>
      </c>
      <c r="L646">
        <v>5</v>
      </c>
      <c r="M646">
        <v>133.29</v>
      </c>
      <c r="N646">
        <v>666.45</v>
      </c>
      <c r="O646">
        <v>0.1</v>
      </c>
      <c r="P646">
        <v>66.64</v>
      </c>
      <c r="Q646">
        <v>599.79999999999995</v>
      </c>
      <c r="R646">
        <v>446.52</v>
      </c>
      <c r="S646">
        <v>153.28</v>
      </c>
    </row>
    <row r="647" spans="1:19" x14ac:dyDescent="0.35">
      <c r="A647">
        <v>100645</v>
      </c>
      <c r="B647">
        <v>2270</v>
      </c>
      <c r="C647" t="s">
        <v>28</v>
      </c>
      <c r="D647" t="s">
        <v>20</v>
      </c>
      <c r="E647" t="s">
        <v>34</v>
      </c>
      <c r="F647" t="s">
        <v>35</v>
      </c>
      <c r="G647" s="1">
        <v>45190</v>
      </c>
      <c r="H647" s="1">
        <v>45194</v>
      </c>
      <c r="I647" s="1">
        <v>45212</v>
      </c>
      <c r="J647">
        <v>22</v>
      </c>
      <c r="K647">
        <v>4</v>
      </c>
      <c r="L647">
        <v>13</v>
      </c>
      <c r="M647">
        <v>300.63</v>
      </c>
      <c r="N647">
        <v>3908.19</v>
      </c>
      <c r="O647">
        <v>0.13</v>
      </c>
      <c r="P647">
        <v>508.06</v>
      </c>
      <c r="Q647">
        <v>3400.13</v>
      </c>
      <c r="R647">
        <v>2384</v>
      </c>
      <c r="S647">
        <v>1016.13</v>
      </c>
    </row>
    <row r="648" spans="1:19" x14ac:dyDescent="0.35">
      <c r="A648">
        <v>100646</v>
      </c>
      <c r="B648">
        <v>1003</v>
      </c>
      <c r="C648" t="s">
        <v>19</v>
      </c>
      <c r="D648" t="s">
        <v>20</v>
      </c>
      <c r="E648" t="s">
        <v>24</v>
      </c>
      <c r="F648" t="s">
        <v>42</v>
      </c>
      <c r="G648" s="1">
        <v>45260</v>
      </c>
      <c r="H648" s="1">
        <v>45263</v>
      </c>
      <c r="I648" s="1">
        <v>45282</v>
      </c>
      <c r="J648">
        <v>22</v>
      </c>
      <c r="K648">
        <v>3</v>
      </c>
      <c r="L648">
        <v>6</v>
      </c>
      <c r="M648">
        <v>602.69000000000005</v>
      </c>
      <c r="N648">
        <v>3616.14</v>
      </c>
      <c r="O648">
        <v>0.1</v>
      </c>
      <c r="P648">
        <v>361.61</v>
      </c>
      <c r="Q648">
        <v>3254.53</v>
      </c>
      <c r="R648">
        <v>2242.0100000000002</v>
      </c>
      <c r="S648">
        <v>1012.52</v>
      </c>
    </row>
    <row r="649" spans="1:19" x14ac:dyDescent="0.35">
      <c r="A649">
        <v>100647</v>
      </c>
      <c r="B649">
        <v>2611</v>
      </c>
      <c r="C649" t="s">
        <v>23</v>
      </c>
      <c r="D649" t="s">
        <v>20</v>
      </c>
      <c r="E649" t="s">
        <v>21</v>
      </c>
      <c r="F649" t="s">
        <v>39</v>
      </c>
      <c r="G649" s="1">
        <v>44943</v>
      </c>
      <c r="H649" s="1">
        <v>44944</v>
      </c>
      <c r="I649" s="1">
        <v>44955</v>
      </c>
      <c r="J649">
        <v>12</v>
      </c>
      <c r="K649">
        <v>1</v>
      </c>
      <c r="L649">
        <v>5</v>
      </c>
      <c r="M649">
        <v>716.72</v>
      </c>
      <c r="N649">
        <v>3583.6</v>
      </c>
      <c r="O649">
        <v>0</v>
      </c>
      <c r="P649">
        <v>0</v>
      </c>
      <c r="Q649">
        <v>3583.6</v>
      </c>
      <c r="R649">
        <v>2257.67</v>
      </c>
      <c r="S649">
        <v>1325.93</v>
      </c>
    </row>
    <row r="650" spans="1:19" x14ac:dyDescent="0.35">
      <c r="A650">
        <v>100648</v>
      </c>
      <c r="B650">
        <v>3728</v>
      </c>
      <c r="C650" t="s">
        <v>28</v>
      </c>
      <c r="D650" t="s">
        <v>20</v>
      </c>
      <c r="E650" t="s">
        <v>21</v>
      </c>
      <c r="F650" t="s">
        <v>41</v>
      </c>
      <c r="G650" s="1">
        <v>45179</v>
      </c>
      <c r="H650" s="1">
        <v>45180</v>
      </c>
      <c r="I650" s="1">
        <v>45200</v>
      </c>
      <c r="J650">
        <v>21</v>
      </c>
      <c r="K650">
        <v>1</v>
      </c>
      <c r="L650">
        <v>9</v>
      </c>
      <c r="M650">
        <v>781.4</v>
      </c>
      <c r="N650">
        <v>7032.6</v>
      </c>
      <c r="O650">
        <v>0.08</v>
      </c>
      <c r="P650">
        <v>562.61</v>
      </c>
      <c r="Q650">
        <v>6469.99</v>
      </c>
      <c r="R650">
        <v>4852.49</v>
      </c>
      <c r="S650">
        <v>1617.5</v>
      </c>
    </row>
    <row r="651" spans="1:19" x14ac:dyDescent="0.35">
      <c r="A651">
        <v>100649</v>
      </c>
      <c r="B651">
        <v>2912</v>
      </c>
      <c r="C651" t="s">
        <v>28</v>
      </c>
      <c r="D651" t="s">
        <v>20</v>
      </c>
      <c r="E651" t="s">
        <v>26</v>
      </c>
      <c r="F651" t="s">
        <v>27</v>
      </c>
      <c r="G651" s="1">
        <v>44929</v>
      </c>
      <c r="H651" s="1">
        <v>44931</v>
      </c>
      <c r="I651" s="1">
        <v>44935</v>
      </c>
      <c r="J651">
        <v>6</v>
      </c>
      <c r="K651">
        <v>2</v>
      </c>
      <c r="L651">
        <v>1</v>
      </c>
      <c r="M651">
        <v>179.27</v>
      </c>
      <c r="N651">
        <v>179.27</v>
      </c>
      <c r="O651">
        <v>0.04</v>
      </c>
      <c r="P651">
        <v>7.17</v>
      </c>
      <c r="Q651">
        <v>172.1</v>
      </c>
      <c r="R651">
        <v>105.77</v>
      </c>
      <c r="S651">
        <v>66.33</v>
      </c>
    </row>
    <row r="652" spans="1:19" x14ac:dyDescent="0.35">
      <c r="A652">
        <v>100650</v>
      </c>
      <c r="B652">
        <v>4092</v>
      </c>
      <c r="C652" t="s">
        <v>33</v>
      </c>
      <c r="D652" t="s">
        <v>20</v>
      </c>
      <c r="E652" t="s">
        <v>34</v>
      </c>
      <c r="F652" t="s">
        <v>40</v>
      </c>
      <c r="G652" s="1">
        <v>45286</v>
      </c>
      <c r="H652" s="1">
        <v>45291</v>
      </c>
      <c r="I652" s="1">
        <v>45316</v>
      </c>
      <c r="J652">
        <v>30</v>
      </c>
      <c r="K652">
        <v>5</v>
      </c>
      <c r="L652">
        <v>10</v>
      </c>
      <c r="M652">
        <v>295.17</v>
      </c>
      <c r="N652">
        <v>2951.7</v>
      </c>
      <c r="O652">
        <v>0.18</v>
      </c>
      <c r="P652">
        <v>531.30999999999995</v>
      </c>
      <c r="Q652">
        <v>2420.39</v>
      </c>
      <c r="R652">
        <v>2154.7399999999998</v>
      </c>
      <c r="S652">
        <v>265.64999999999998</v>
      </c>
    </row>
    <row r="653" spans="1:19" x14ac:dyDescent="0.35">
      <c r="A653">
        <v>100651</v>
      </c>
      <c r="B653">
        <v>4965</v>
      </c>
      <c r="C653" t="s">
        <v>19</v>
      </c>
      <c r="D653" t="s">
        <v>29</v>
      </c>
      <c r="E653" t="s">
        <v>24</v>
      </c>
      <c r="F653" t="s">
        <v>42</v>
      </c>
      <c r="G653" s="1">
        <v>45059</v>
      </c>
      <c r="H653" s="1">
        <v>45062</v>
      </c>
      <c r="I653" s="1">
        <v>45088</v>
      </c>
      <c r="J653">
        <v>29</v>
      </c>
      <c r="K653">
        <v>3</v>
      </c>
      <c r="L653">
        <v>13</v>
      </c>
      <c r="M653">
        <v>655.49</v>
      </c>
      <c r="N653">
        <v>8521.3700000000008</v>
      </c>
      <c r="O653">
        <v>0.12</v>
      </c>
      <c r="P653">
        <v>1022.56</v>
      </c>
      <c r="Q653">
        <v>7498.81</v>
      </c>
      <c r="R653">
        <v>5368.46</v>
      </c>
      <c r="S653">
        <v>2130.35</v>
      </c>
    </row>
    <row r="654" spans="1:19" x14ac:dyDescent="0.35">
      <c r="A654">
        <v>100652</v>
      </c>
      <c r="B654">
        <v>4501</v>
      </c>
      <c r="C654" t="s">
        <v>23</v>
      </c>
      <c r="D654" t="s">
        <v>31</v>
      </c>
      <c r="E654" t="s">
        <v>24</v>
      </c>
      <c r="F654" t="s">
        <v>42</v>
      </c>
      <c r="G654" s="1">
        <v>44956</v>
      </c>
      <c r="H654" s="1">
        <v>44959</v>
      </c>
      <c r="I654" s="1">
        <v>44973</v>
      </c>
      <c r="J654">
        <v>17</v>
      </c>
      <c r="K654">
        <v>3</v>
      </c>
      <c r="L654">
        <v>11</v>
      </c>
      <c r="M654">
        <v>544.01</v>
      </c>
      <c r="N654">
        <v>5984.11</v>
      </c>
      <c r="O654">
        <v>0.08</v>
      </c>
      <c r="P654">
        <v>478.73</v>
      </c>
      <c r="Q654">
        <v>5505.38</v>
      </c>
      <c r="R654">
        <v>3889.67</v>
      </c>
      <c r="S654">
        <v>1615.71</v>
      </c>
    </row>
    <row r="655" spans="1:19" x14ac:dyDescent="0.35">
      <c r="A655">
        <v>100653</v>
      </c>
      <c r="B655">
        <v>2035</v>
      </c>
      <c r="C655" t="s">
        <v>19</v>
      </c>
      <c r="D655" t="s">
        <v>20</v>
      </c>
      <c r="E655" t="s">
        <v>24</v>
      </c>
      <c r="F655" t="s">
        <v>42</v>
      </c>
      <c r="G655" s="1">
        <v>45156</v>
      </c>
      <c r="H655" s="1">
        <v>45159</v>
      </c>
      <c r="I655" s="1">
        <v>45163</v>
      </c>
      <c r="J655">
        <v>7</v>
      </c>
      <c r="K655">
        <v>3</v>
      </c>
      <c r="L655">
        <v>3</v>
      </c>
      <c r="M655">
        <v>563.54</v>
      </c>
      <c r="N655">
        <v>1690.62</v>
      </c>
      <c r="O655">
        <v>0.08</v>
      </c>
      <c r="P655">
        <v>135.25</v>
      </c>
      <c r="Q655">
        <v>1555.37</v>
      </c>
      <c r="R655">
        <v>963.65</v>
      </c>
      <c r="S655">
        <v>591.72</v>
      </c>
    </row>
    <row r="656" spans="1:19" x14ac:dyDescent="0.35">
      <c r="A656">
        <v>100654</v>
      </c>
      <c r="B656">
        <v>2098</v>
      </c>
      <c r="C656" t="s">
        <v>33</v>
      </c>
      <c r="D656" t="s">
        <v>31</v>
      </c>
      <c r="E656" t="s">
        <v>34</v>
      </c>
      <c r="F656" t="s">
        <v>35</v>
      </c>
      <c r="G656" s="1">
        <v>45260</v>
      </c>
      <c r="H656" s="1">
        <v>45262</v>
      </c>
      <c r="I656" s="1">
        <v>45274</v>
      </c>
      <c r="J656">
        <v>14</v>
      </c>
      <c r="K656">
        <v>2</v>
      </c>
      <c r="L656">
        <v>13</v>
      </c>
      <c r="M656">
        <v>90.82</v>
      </c>
      <c r="N656">
        <v>1180.6600000000001</v>
      </c>
      <c r="O656">
        <v>0.04</v>
      </c>
      <c r="P656">
        <v>47.23</v>
      </c>
      <c r="Q656">
        <v>1133.43</v>
      </c>
      <c r="R656">
        <v>672.98</v>
      </c>
      <c r="S656">
        <v>460.45</v>
      </c>
    </row>
    <row r="657" spans="1:19" x14ac:dyDescent="0.35">
      <c r="A657">
        <v>100655</v>
      </c>
      <c r="B657">
        <v>1068</v>
      </c>
      <c r="C657" t="s">
        <v>33</v>
      </c>
      <c r="D657" t="s">
        <v>31</v>
      </c>
      <c r="E657" t="s">
        <v>21</v>
      </c>
      <c r="F657" t="s">
        <v>22</v>
      </c>
      <c r="G657" s="1">
        <v>45118</v>
      </c>
      <c r="H657" s="1">
        <v>45122</v>
      </c>
      <c r="I657" s="1">
        <v>45141</v>
      </c>
      <c r="J657">
        <v>23</v>
      </c>
      <c r="K657">
        <v>4</v>
      </c>
      <c r="L657">
        <v>7</v>
      </c>
      <c r="M657">
        <v>92.1</v>
      </c>
      <c r="N657">
        <v>644.70000000000005</v>
      </c>
      <c r="O657">
        <v>0.18</v>
      </c>
      <c r="P657">
        <v>116.05</v>
      </c>
      <c r="Q657">
        <v>528.65</v>
      </c>
      <c r="R657">
        <v>373.93</v>
      </c>
      <c r="S657">
        <v>154.72</v>
      </c>
    </row>
    <row r="658" spans="1:19" x14ac:dyDescent="0.35">
      <c r="A658">
        <v>100656</v>
      </c>
      <c r="B658">
        <v>2571</v>
      </c>
      <c r="C658" t="s">
        <v>19</v>
      </c>
      <c r="D658" t="s">
        <v>20</v>
      </c>
      <c r="E658" t="s">
        <v>24</v>
      </c>
      <c r="F658" t="s">
        <v>25</v>
      </c>
      <c r="G658" s="1">
        <v>45207</v>
      </c>
      <c r="H658" s="1">
        <v>45210</v>
      </c>
      <c r="I658" s="1">
        <v>45211</v>
      </c>
      <c r="J658">
        <v>4</v>
      </c>
      <c r="K658">
        <v>3</v>
      </c>
      <c r="L658">
        <v>10</v>
      </c>
      <c r="M658">
        <v>43.75</v>
      </c>
      <c r="N658">
        <v>437.5</v>
      </c>
      <c r="O658">
        <v>0.17</v>
      </c>
      <c r="P658">
        <v>74.38</v>
      </c>
      <c r="Q658">
        <v>363.12</v>
      </c>
      <c r="R658">
        <v>271.25</v>
      </c>
      <c r="S658">
        <v>91.87</v>
      </c>
    </row>
    <row r="659" spans="1:19" x14ac:dyDescent="0.35">
      <c r="A659">
        <v>100657</v>
      </c>
      <c r="B659">
        <v>1358</v>
      </c>
      <c r="C659" t="s">
        <v>23</v>
      </c>
      <c r="D659" t="s">
        <v>31</v>
      </c>
      <c r="E659" t="s">
        <v>34</v>
      </c>
      <c r="F659" t="s">
        <v>43</v>
      </c>
      <c r="G659" s="1">
        <v>45119</v>
      </c>
      <c r="H659" s="1">
        <v>45123</v>
      </c>
      <c r="I659" s="1">
        <v>45147</v>
      </c>
      <c r="J659">
        <v>28</v>
      </c>
      <c r="K659">
        <v>4</v>
      </c>
      <c r="L659">
        <v>2</v>
      </c>
      <c r="M659">
        <v>321.5</v>
      </c>
      <c r="N659">
        <v>643</v>
      </c>
      <c r="O659">
        <v>0.04</v>
      </c>
      <c r="P659">
        <v>25.72</v>
      </c>
      <c r="Q659">
        <v>617.28</v>
      </c>
      <c r="R659">
        <v>424.38</v>
      </c>
      <c r="S659">
        <v>192.9</v>
      </c>
    </row>
    <row r="660" spans="1:19" x14ac:dyDescent="0.35">
      <c r="A660">
        <v>100658</v>
      </c>
      <c r="B660">
        <v>2830</v>
      </c>
      <c r="C660" t="s">
        <v>23</v>
      </c>
      <c r="D660" t="s">
        <v>29</v>
      </c>
      <c r="E660" t="s">
        <v>34</v>
      </c>
      <c r="F660" t="s">
        <v>40</v>
      </c>
      <c r="G660" s="1">
        <v>45140</v>
      </c>
      <c r="H660" s="1">
        <v>45145</v>
      </c>
      <c r="I660" s="1">
        <v>45156</v>
      </c>
      <c r="J660">
        <v>16</v>
      </c>
      <c r="K660">
        <v>5</v>
      </c>
      <c r="L660">
        <v>7</v>
      </c>
      <c r="M660">
        <v>153.63</v>
      </c>
      <c r="N660">
        <v>1075.4100000000001</v>
      </c>
      <c r="O660">
        <v>0.11</v>
      </c>
      <c r="P660">
        <v>118.3</v>
      </c>
      <c r="Q660">
        <v>957.11</v>
      </c>
      <c r="R660">
        <v>688.26</v>
      </c>
      <c r="S660">
        <v>268.85000000000002</v>
      </c>
    </row>
    <row r="661" spans="1:19" x14ac:dyDescent="0.35">
      <c r="A661">
        <v>100659</v>
      </c>
      <c r="B661">
        <v>1260</v>
      </c>
      <c r="C661" t="s">
        <v>19</v>
      </c>
      <c r="D661" t="s">
        <v>20</v>
      </c>
      <c r="E661" t="s">
        <v>26</v>
      </c>
      <c r="F661" t="s">
        <v>36</v>
      </c>
      <c r="G661" s="1">
        <v>45282</v>
      </c>
      <c r="H661" s="1">
        <v>45284</v>
      </c>
      <c r="I661" s="1">
        <v>45290</v>
      </c>
      <c r="J661">
        <v>8</v>
      </c>
      <c r="K661">
        <v>2</v>
      </c>
      <c r="L661">
        <v>5</v>
      </c>
      <c r="M661">
        <v>376.84</v>
      </c>
      <c r="N661">
        <v>1884.2</v>
      </c>
      <c r="O661">
        <v>0.12</v>
      </c>
      <c r="P661">
        <v>226.1</v>
      </c>
      <c r="Q661">
        <v>1658.1</v>
      </c>
      <c r="R661">
        <v>1149.3599999999999</v>
      </c>
      <c r="S661">
        <v>508.74</v>
      </c>
    </row>
    <row r="662" spans="1:19" x14ac:dyDescent="0.35">
      <c r="A662">
        <v>100660</v>
      </c>
      <c r="B662">
        <v>3446</v>
      </c>
      <c r="C662" t="s">
        <v>33</v>
      </c>
      <c r="D662" t="s">
        <v>31</v>
      </c>
      <c r="E662" t="s">
        <v>34</v>
      </c>
      <c r="F662" t="s">
        <v>43</v>
      </c>
      <c r="G662" s="1">
        <v>45034</v>
      </c>
      <c r="H662" s="1">
        <v>45036</v>
      </c>
      <c r="I662" s="1">
        <v>45042</v>
      </c>
      <c r="J662">
        <v>8</v>
      </c>
      <c r="K662">
        <v>2</v>
      </c>
      <c r="L662">
        <v>8</v>
      </c>
      <c r="M662">
        <v>327.72</v>
      </c>
      <c r="N662">
        <v>2621.76</v>
      </c>
      <c r="O662">
        <v>7.0000000000000007E-2</v>
      </c>
      <c r="P662">
        <v>183.52</v>
      </c>
      <c r="Q662">
        <v>2438.2399999999998</v>
      </c>
      <c r="R662">
        <v>1573.06</v>
      </c>
      <c r="S662">
        <v>865.18</v>
      </c>
    </row>
    <row r="663" spans="1:19" x14ac:dyDescent="0.35">
      <c r="A663">
        <v>100661</v>
      </c>
      <c r="B663">
        <v>1529</v>
      </c>
      <c r="C663" t="s">
        <v>33</v>
      </c>
      <c r="D663" t="s">
        <v>31</v>
      </c>
      <c r="E663" t="s">
        <v>34</v>
      </c>
      <c r="F663" t="s">
        <v>43</v>
      </c>
      <c r="G663" s="1">
        <v>45166</v>
      </c>
      <c r="H663" s="1">
        <v>45170</v>
      </c>
      <c r="I663" s="1">
        <v>45173</v>
      </c>
      <c r="J663">
        <v>7</v>
      </c>
      <c r="K663">
        <v>4</v>
      </c>
      <c r="L663">
        <v>2</v>
      </c>
      <c r="M663">
        <v>574.89</v>
      </c>
      <c r="N663">
        <v>1149.78</v>
      </c>
      <c r="O663">
        <v>0.12</v>
      </c>
      <c r="P663">
        <v>137.97</v>
      </c>
      <c r="Q663">
        <v>1011.81</v>
      </c>
      <c r="R663">
        <v>712.86</v>
      </c>
      <c r="S663">
        <v>298.95</v>
      </c>
    </row>
    <row r="664" spans="1:19" x14ac:dyDescent="0.35">
      <c r="A664">
        <v>100662</v>
      </c>
      <c r="B664">
        <v>1477</v>
      </c>
      <c r="C664" t="s">
        <v>28</v>
      </c>
      <c r="D664" t="s">
        <v>29</v>
      </c>
      <c r="E664" t="s">
        <v>26</v>
      </c>
      <c r="F664" t="s">
        <v>37</v>
      </c>
      <c r="G664" s="1">
        <v>45145</v>
      </c>
      <c r="H664" s="1">
        <v>45149</v>
      </c>
      <c r="I664" s="1">
        <v>45158</v>
      </c>
      <c r="J664">
        <v>13</v>
      </c>
      <c r="K664">
        <v>4</v>
      </c>
      <c r="L664">
        <v>13</v>
      </c>
      <c r="M664">
        <v>718.44</v>
      </c>
      <c r="N664">
        <v>9339.7199999999993</v>
      </c>
      <c r="O664">
        <v>0.06</v>
      </c>
      <c r="P664">
        <v>560.38</v>
      </c>
      <c r="Q664">
        <v>8779.34</v>
      </c>
      <c r="R664">
        <v>6351.01</v>
      </c>
      <c r="S664">
        <v>2428.33</v>
      </c>
    </row>
    <row r="665" spans="1:19" x14ac:dyDescent="0.35">
      <c r="A665">
        <v>100663</v>
      </c>
      <c r="B665">
        <v>4124</v>
      </c>
      <c r="C665" t="s">
        <v>19</v>
      </c>
      <c r="D665" t="s">
        <v>20</v>
      </c>
      <c r="E665" t="s">
        <v>24</v>
      </c>
      <c r="F665" t="s">
        <v>30</v>
      </c>
      <c r="G665" s="1">
        <v>45148</v>
      </c>
      <c r="H665" s="1">
        <v>45150</v>
      </c>
      <c r="I665" s="1">
        <v>45150</v>
      </c>
      <c r="J665">
        <v>2</v>
      </c>
      <c r="K665">
        <v>2</v>
      </c>
      <c r="L665">
        <v>2</v>
      </c>
      <c r="M665">
        <v>600.5</v>
      </c>
      <c r="N665">
        <v>1201</v>
      </c>
      <c r="O665">
        <v>0</v>
      </c>
      <c r="P665">
        <v>0</v>
      </c>
      <c r="Q665">
        <v>1201</v>
      </c>
      <c r="R665">
        <v>720.6</v>
      </c>
      <c r="S665">
        <v>480.4</v>
      </c>
    </row>
    <row r="666" spans="1:19" x14ac:dyDescent="0.35">
      <c r="A666">
        <v>100664</v>
      </c>
      <c r="B666">
        <v>3383</v>
      </c>
      <c r="C666" t="s">
        <v>28</v>
      </c>
      <c r="D666" t="s">
        <v>31</v>
      </c>
      <c r="E666" t="s">
        <v>24</v>
      </c>
      <c r="F666" t="s">
        <v>32</v>
      </c>
      <c r="G666" s="1">
        <v>45134</v>
      </c>
      <c r="H666" s="1">
        <v>45139</v>
      </c>
      <c r="I666" s="1">
        <v>45147</v>
      </c>
      <c r="J666">
        <v>13</v>
      </c>
      <c r="K666">
        <v>5</v>
      </c>
      <c r="L666">
        <v>5</v>
      </c>
      <c r="M666">
        <v>604.54</v>
      </c>
      <c r="N666">
        <v>3022.7</v>
      </c>
      <c r="O666">
        <v>0.14000000000000001</v>
      </c>
      <c r="P666">
        <v>423.18</v>
      </c>
      <c r="Q666">
        <v>2599.52</v>
      </c>
      <c r="R666">
        <v>1813.62</v>
      </c>
      <c r="S666">
        <v>785.9</v>
      </c>
    </row>
    <row r="667" spans="1:19" x14ac:dyDescent="0.35">
      <c r="A667">
        <v>100665</v>
      </c>
      <c r="B667">
        <v>4646</v>
      </c>
      <c r="C667" t="s">
        <v>23</v>
      </c>
      <c r="D667" t="s">
        <v>31</v>
      </c>
      <c r="E667" t="s">
        <v>34</v>
      </c>
      <c r="F667" t="s">
        <v>40</v>
      </c>
      <c r="G667" s="1">
        <v>45059</v>
      </c>
      <c r="H667" s="1">
        <v>45060</v>
      </c>
      <c r="I667" s="1">
        <v>45087</v>
      </c>
      <c r="J667">
        <v>28</v>
      </c>
      <c r="K667">
        <v>1</v>
      </c>
      <c r="L667">
        <v>8</v>
      </c>
      <c r="M667">
        <v>640.4</v>
      </c>
      <c r="N667">
        <v>5123.2</v>
      </c>
      <c r="O667">
        <v>0.04</v>
      </c>
      <c r="P667">
        <v>204.93</v>
      </c>
      <c r="Q667">
        <v>4918.2700000000004</v>
      </c>
      <c r="R667">
        <v>2868.99</v>
      </c>
      <c r="S667">
        <v>2049.2800000000002</v>
      </c>
    </row>
    <row r="668" spans="1:19" x14ac:dyDescent="0.35">
      <c r="A668">
        <v>100666</v>
      </c>
      <c r="B668">
        <v>3205</v>
      </c>
      <c r="C668" t="s">
        <v>19</v>
      </c>
      <c r="D668" t="s">
        <v>29</v>
      </c>
      <c r="E668" t="s">
        <v>24</v>
      </c>
      <c r="F668" t="s">
        <v>32</v>
      </c>
      <c r="G668" s="1">
        <v>45076</v>
      </c>
      <c r="H668" s="1">
        <v>45077</v>
      </c>
      <c r="I668" s="1">
        <v>45082</v>
      </c>
      <c r="J668">
        <v>6</v>
      </c>
      <c r="K668">
        <v>1</v>
      </c>
      <c r="L668">
        <v>1</v>
      </c>
      <c r="M668">
        <v>359.84</v>
      </c>
      <c r="N668">
        <v>359.84</v>
      </c>
      <c r="O668">
        <v>0.1</v>
      </c>
      <c r="P668">
        <v>35.979999999999997</v>
      </c>
      <c r="Q668">
        <v>323.86</v>
      </c>
      <c r="R668">
        <v>223.1</v>
      </c>
      <c r="S668">
        <v>100.76</v>
      </c>
    </row>
    <row r="669" spans="1:19" x14ac:dyDescent="0.35">
      <c r="A669">
        <v>100667</v>
      </c>
      <c r="B669">
        <v>3960</v>
      </c>
      <c r="C669" t="s">
        <v>33</v>
      </c>
      <c r="D669" t="s">
        <v>29</v>
      </c>
      <c r="E669" t="s">
        <v>26</v>
      </c>
      <c r="F669" t="s">
        <v>44</v>
      </c>
      <c r="G669" s="1">
        <v>45165</v>
      </c>
      <c r="H669" s="1">
        <v>45168</v>
      </c>
      <c r="I669" s="1">
        <v>45190</v>
      </c>
      <c r="J669">
        <v>25</v>
      </c>
      <c r="K669">
        <v>3</v>
      </c>
      <c r="L669">
        <v>9</v>
      </c>
      <c r="M669">
        <v>787.57</v>
      </c>
      <c r="N669">
        <v>7088.13</v>
      </c>
      <c r="O669">
        <v>0.13</v>
      </c>
      <c r="P669">
        <v>921.46</v>
      </c>
      <c r="Q669">
        <v>6166.67</v>
      </c>
      <c r="R669">
        <v>5103.45</v>
      </c>
      <c r="S669">
        <v>1063.22</v>
      </c>
    </row>
    <row r="670" spans="1:19" x14ac:dyDescent="0.35">
      <c r="A670">
        <v>100668</v>
      </c>
      <c r="B670">
        <v>4023</v>
      </c>
      <c r="C670" t="s">
        <v>19</v>
      </c>
      <c r="D670" t="s">
        <v>20</v>
      </c>
      <c r="E670" t="s">
        <v>26</v>
      </c>
      <c r="F670" t="s">
        <v>36</v>
      </c>
      <c r="G670" s="1">
        <v>45082</v>
      </c>
      <c r="H670" s="1">
        <v>45086</v>
      </c>
      <c r="I670" s="1">
        <v>45095</v>
      </c>
      <c r="J670">
        <v>13</v>
      </c>
      <c r="K670">
        <v>4</v>
      </c>
      <c r="L670">
        <v>10</v>
      </c>
      <c r="M670">
        <v>263.07</v>
      </c>
      <c r="N670">
        <v>2630.7</v>
      </c>
      <c r="O670">
        <v>0.02</v>
      </c>
      <c r="P670">
        <v>52.61</v>
      </c>
      <c r="Q670">
        <v>2578.09</v>
      </c>
      <c r="R670">
        <v>1525.81</v>
      </c>
      <c r="S670">
        <v>1052.28</v>
      </c>
    </row>
    <row r="671" spans="1:19" x14ac:dyDescent="0.35">
      <c r="A671">
        <v>100669</v>
      </c>
      <c r="B671">
        <v>1320</v>
      </c>
      <c r="C671" t="s">
        <v>19</v>
      </c>
      <c r="D671" t="s">
        <v>29</v>
      </c>
      <c r="E671" t="s">
        <v>24</v>
      </c>
      <c r="F671" t="s">
        <v>25</v>
      </c>
      <c r="G671" s="1">
        <v>45012</v>
      </c>
      <c r="H671" s="1">
        <v>45015</v>
      </c>
      <c r="I671" s="1">
        <v>45028</v>
      </c>
      <c r="J671">
        <v>16</v>
      </c>
      <c r="K671">
        <v>3</v>
      </c>
      <c r="L671">
        <v>14</v>
      </c>
      <c r="M671">
        <v>243.87</v>
      </c>
      <c r="N671">
        <v>3414.18</v>
      </c>
      <c r="O671">
        <v>0.11</v>
      </c>
      <c r="P671">
        <v>375.56</v>
      </c>
      <c r="Q671">
        <v>3038.62</v>
      </c>
      <c r="R671">
        <v>2253.36</v>
      </c>
      <c r="S671">
        <v>785.26</v>
      </c>
    </row>
    <row r="672" spans="1:19" x14ac:dyDescent="0.35">
      <c r="A672">
        <v>100670</v>
      </c>
      <c r="B672">
        <v>3555</v>
      </c>
      <c r="C672" t="s">
        <v>19</v>
      </c>
      <c r="D672" t="s">
        <v>20</v>
      </c>
      <c r="E672" t="s">
        <v>24</v>
      </c>
      <c r="F672" t="s">
        <v>42</v>
      </c>
      <c r="G672" s="1">
        <v>45208</v>
      </c>
      <c r="H672" s="1">
        <v>45211</v>
      </c>
      <c r="I672" s="1">
        <v>45217</v>
      </c>
      <c r="J672">
        <v>9</v>
      </c>
      <c r="K672">
        <v>3</v>
      </c>
      <c r="L672">
        <v>8</v>
      </c>
      <c r="M672">
        <v>271.36</v>
      </c>
      <c r="N672">
        <v>2170.88</v>
      </c>
      <c r="O672">
        <v>0.08</v>
      </c>
      <c r="P672">
        <v>173.67</v>
      </c>
      <c r="Q672">
        <v>1997.21</v>
      </c>
      <c r="R672">
        <v>1302.53</v>
      </c>
      <c r="S672">
        <v>694.68</v>
      </c>
    </row>
    <row r="673" spans="1:19" x14ac:dyDescent="0.35">
      <c r="A673">
        <v>100671</v>
      </c>
      <c r="B673">
        <v>3834</v>
      </c>
      <c r="C673" t="s">
        <v>28</v>
      </c>
      <c r="D673" t="s">
        <v>29</v>
      </c>
      <c r="E673" t="s">
        <v>24</v>
      </c>
      <c r="F673" t="s">
        <v>30</v>
      </c>
      <c r="G673" s="1">
        <v>44932</v>
      </c>
      <c r="H673" s="1">
        <v>44933</v>
      </c>
      <c r="I673" s="1">
        <v>44951</v>
      </c>
      <c r="J673">
        <v>19</v>
      </c>
      <c r="K673">
        <v>1</v>
      </c>
      <c r="L673">
        <v>11</v>
      </c>
      <c r="M673">
        <v>279.39999999999998</v>
      </c>
      <c r="N673">
        <v>3073.4</v>
      </c>
      <c r="O673">
        <v>0.01</v>
      </c>
      <c r="P673">
        <v>30.73</v>
      </c>
      <c r="Q673">
        <v>3042.67</v>
      </c>
      <c r="R673">
        <v>2059.1799999999998</v>
      </c>
      <c r="S673">
        <v>983.49</v>
      </c>
    </row>
    <row r="674" spans="1:19" x14ac:dyDescent="0.35">
      <c r="A674">
        <v>100672</v>
      </c>
      <c r="B674">
        <v>1382</v>
      </c>
      <c r="C674" t="s">
        <v>28</v>
      </c>
      <c r="D674" t="s">
        <v>20</v>
      </c>
      <c r="E674" t="s">
        <v>34</v>
      </c>
      <c r="F674" t="s">
        <v>43</v>
      </c>
      <c r="G674" s="1">
        <v>45100</v>
      </c>
      <c r="H674" s="1">
        <v>45104</v>
      </c>
      <c r="I674" s="1">
        <v>45118</v>
      </c>
      <c r="J674">
        <v>18</v>
      </c>
      <c r="K674">
        <v>4</v>
      </c>
      <c r="L674">
        <v>2</v>
      </c>
      <c r="M674">
        <v>722.61</v>
      </c>
      <c r="N674">
        <v>1445.22</v>
      </c>
      <c r="O674">
        <v>0.12</v>
      </c>
      <c r="P674">
        <v>173.43</v>
      </c>
      <c r="Q674">
        <v>1271.79</v>
      </c>
      <c r="R674">
        <v>838.23</v>
      </c>
      <c r="S674">
        <v>433.56</v>
      </c>
    </row>
    <row r="675" spans="1:19" x14ac:dyDescent="0.35">
      <c r="A675">
        <v>100673</v>
      </c>
      <c r="B675">
        <v>3832</v>
      </c>
      <c r="C675" t="s">
        <v>23</v>
      </c>
      <c r="D675" t="s">
        <v>31</v>
      </c>
      <c r="E675" t="s">
        <v>26</v>
      </c>
      <c r="F675" t="s">
        <v>36</v>
      </c>
      <c r="G675" s="1">
        <v>45200</v>
      </c>
      <c r="H675" s="1">
        <v>45205</v>
      </c>
      <c r="I675" s="1">
        <v>45218</v>
      </c>
      <c r="J675">
        <v>18</v>
      </c>
      <c r="K675">
        <v>5</v>
      </c>
      <c r="L675">
        <v>10</v>
      </c>
      <c r="M675">
        <v>598.37</v>
      </c>
      <c r="N675">
        <v>5983.7</v>
      </c>
      <c r="O675">
        <v>0.14000000000000001</v>
      </c>
      <c r="P675">
        <v>837.72</v>
      </c>
      <c r="Q675">
        <v>5145.9799999999996</v>
      </c>
      <c r="R675">
        <v>3231.2</v>
      </c>
      <c r="S675">
        <v>1914.78</v>
      </c>
    </row>
    <row r="676" spans="1:19" x14ac:dyDescent="0.35">
      <c r="A676">
        <v>100674</v>
      </c>
      <c r="B676">
        <v>2774</v>
      </c>
      <c r="C676" t="s">
        <v>33</v>
      </c>
      <c r="D676" t="s">
        <v>29</v>
      </c>
      <c r="E676" t="s">
        <v>34</v>
      </c>
      <c r="F676" t="s">
        <v>43</v>
      </c>
      <c r="G676" s="1">
        <v>45257</v>
      </c>
      <c r="H676" s="1">
        <v>45261</v>
      </c>
      <c r="I676" s="1">
        <v>45279</v>
      </c>
      <c r="J676">
        <v>22</v>
      </c>
      <c r="K676">
        <v>4</v>
      </c>
      <c r="L676">
        <v>11</v>
      </c>
      <c r="M676">
        <v>743.65</v>
      </c>
      <c r="N676">
        <v>8180.15</v>
      </c>
      <c r="O676">
        <v>0.12</v>
      </c>
      <c r="P676">
        <v>981.62</v>
      </c>
      <c r="Q676">
        <v>7198.53</v>
      </c>
      <c r="R676">
        <v>5398.9</v>
      </c>
      <c r="S676">
        <v>1799.63</v>
      </c>
    </row>
    <row r="677" spans="1:19" x14ac:dyDescent="0.35">
      <c r="A677">
        <v>100675</v>
      </c>
      <c r="B677">
        <v>1193</v>
      </c>
      <c r="C677" t="s">
        <v>19</v>
      </c>
      <c r="D677" t="s">
        <v>31</v>
      </c>
      <c r="E677" t="s">
        <v>21</v>
      </c>
      <c r="F677" t="s">
        <v>38</v>
      </c>
      <c r="G677" s="1">
        <v>45222</v>
      </c>
      <c r="H677" s="1">
        <v>45223</v>
      </c>
      <c r="I677" s="1">
        <v>45246</v>
      </c>
      <c r="J677">
        <v>24</v>
      </c>
      <c r="K677">
        <v>1</v>
      </c>
      <c r="L677">
        <v>10</v>
      </c>
      <c r="M677">
        <v>546.16999999999996</v>
      </c>
      <c r="N677">
        <v>5461.7</v>
      </c>
      <c r="O677">
        <v>0.08</v>
      </c>
      <c r="P677">
        <v>436.94</v>
      </c>
      <c r="Q677">
        <v>5024.76</v>
      </c>
      <c r="R677">
        <v>3331.64</v>
      </c>
      <c r="S677">
        <v>1693.12</v>
      </c>
    </row>
    <row r="678" spans="1:19" x14ac:dyDescent="0.35">
      <c r="A678">
        <v>100676</v>
      </c>
      <c r="B678">
        <v>1604</v>
      </c>
      <c r="C678" t="s">
        <v>19</v>
      </c>
      <c r="D678" t="s">
        <v>20</v>
      </c>
      <c r="E678" t="s">
        <v>21</v>
      </c>
      <c r="F678" t="s">
        <v>39</v>
      </c>
      <c r="G678" s="1">
        <v>45078</v>
      </c>
      <c r="H678" s="1">
        <v>45079</v>
      </c>
      <c r="I678" s="1">
        <v>45108</v>
      </c>
      <c r="J678">
        <v>30</v>
      </c>
      <c r="K678">
        <v>1</v>
      </c>
      <c r="L678">
        <v>13</v>
      </c>
      <c r="M678">
        <v>113.9</v>
      </c>
      <c r="N678">
        <v>1480.7</v>
      </c>
      <c r="O678">
        <v>0.12</v>
      </c>
      <c r="P678">
        <v>177.68</v>
      </c>
      <c r="Q678">
        <v>1303.02</v>
      </c>
      <c r="R678">
        <v>873.61</v>
      </c>
      <c r="S678">
        <v>429.41</v>
      </c>
    </row>
    <row r="679" spans="1:19" x14ac:dyDescent="0.35">
      <c r="A679">
        <v>100677</v>
      </c>
      <c r="B679">
        <v>2978</v>
      </c>
      <c r="C679" t="s">
        <v>23</v>
      </c>
      <c r="D679" t="s">
        <v>29</v>
      </c>
      <c r="E679" t="s">
        <v>26</v>
      </c>
      <c r="F679" t="s">
        <v>44</v>
      </c>
      <c r="G679" s="1">
        <v>45121</v>
      </c>
      <c r="H679" s="1">
        <v>45123</v>
      </c>
      <c r="I679" s="1">
        <v>45129</v>
      </c>
      <c r="J679">
        <v>8</v>
      </c>
      <c r="K679">
        <v>2</v>
      </c>
      <c r="L679">
        <v>2</v>
      </c>
      <c r="M679">
        <v>269.94</v>
      </c>
      <c r="N679">
        <v>539.88</v>
      </c>
      <c r="O679">
        <v>0.09</v>
      </c>
      <c r="P679">
        <v>48.59</v>
      </c>
      <c r="Q679">
        <v>491.29</v>
      </c>
      <c r="R679">
        <v>318.52999999999997</v>
      </c>
      <c r="S679">
        <v>172.76</v>
      </c>
    </row>
    <row r="680" spans="1:19" x14ac:dyDescent="0.35">
      <c r="A680">
        <v>100678</v>
      </c>
      <c r="B680">
        <v>3740</v>
      </c>
      <c r="C680" t="s">
        <v>28</v>
      </c>
      <c r="D680" t="s">
        <v>31</v>
      </c>
      <c r="E680" t="s">
        <v>26</v>
      </c>
      <c r="F680" t="s">
        <v>44</v>
      </c>
      <c r="G680" s="1">
        <v>45259</v>
      </c>
      <c r="H680" s="1">
        <v>45262</v>
      </c>
      <c r="I680" s="1">
        <v>45282</v>
      </c>
      <c r="J680">
        <v>23</v>
      </c>
      <c r="K680">
        <v>3</v>
      </c>
      <c r="L680">
        <v>1</v>
      </c>
      <c r="M680">
        <v>261.24</v>
      </c>
      <c r="N680">
        <v>261.24</v>
      </c>
      <c r="O680">
        <v>0.02</v>
      </c>
      <c r="P680">
        <v>5.22</v>
      </c>
      <c r="Q680">
        <v>256.02</v>
      </c>
      <c r="R680">
        <v>167.19</v>
      </c>
      <c r="S680">
        <v>88.83</v>
      </c>
    </row>
    <row r="681" spans="1:19" x14ac:dyDescent="0.35">
      <c r="A681">
        <v>100679</v>
      </c>
      <c r="B681">
        <v>4694</v>
      </c>
      <c r="C681" t="s">
        <v>19</v>
      </c>
      <c r="D681" t="s">
        <v>20</v>
      </c>
      <c r="E681" t="s">
        <v>24</v>
      </c>
      <c r="F681" t="s">
        <v>30</v>
      </c>
      <c r="G681" s="1">
        <v>44979</v>
      </c>
      <c r="H681" s="1">
        <v>44982</v>
      </c>
      <c r="I681" s="1">
        <v>44984</v>
      </c>
      <c r="J681">
        <v>5</v>
      </c>
      <c r="K681">
        <v>3</v>
      </c>
      <c r="L681">
        <v>3</v>
      </c>
      <c r="M681">
        <v>584.07000000000005</v>
      </c>
      <c r="N681">
        <v>1752.21</v>
      </c>
      <c r="O681">
        <v>0.01</v>
      </c>
      <c r="P681">
        <v>17.52</v>
      </c>
      <c r="Q681">
        <v>1734.69</v>
      </c>
      <c r="R681">
        <v>1103.8900000000001</v>
      </c>
      <c r="S681">
        <v>630.79999999999995</v>
      </c>
    </row>
    <row r="682" spans="1:19" x14ac:dyDescent="0.35">
      <c r="A682">
        <v>100680</v>
      </c>
      <c r="B682">
        <v>4846</v>
      </c>
      <c r="C682" t="s">
        <v>28</v>
      </c>
      <c r="D682" t="s">
        <v>29</v>
      </c>
      <c r="E682" t="s">
        <v>26</v>
      </c>
      <c r="F682" t="s">
        <v>27</v>
      </c>
      <c r="G682" s="1">
        <v>45207</v>
      </c>
      <c r="H682" s="1">
        <v>45212</v>
      </c>
      <c r="I682" s="1">
        <v>45229</v>
      </c>
      <c r="J682">
        <v>22</v>
      </c>
      <c r="K682">
        <v>5</v>
      </c>
      <c r="L682">
        <v>14</v>
      </c>
      <c r="M682">
        <v>779.71</v>
      </c>
      <c r="N682">
        <v>10915.94</v>
      </c>
      <c r="O682">
        <v>0.03</v>
      </c>
      <c r="P682">
        <v>327.48</v>
      </c>
      <c r="Q682">
        <v>10588.46</v>
      </c>
      <c r="R682">
        <v>6986.2</v>
      </c>
      <c r="S682">
        <v>3602.26</v>
      </c>
    </row>
    <row r="683" spans="1:19" x14ac:dyDescent="0.35">
      <c r="A683">
        <v>100681</v>
      </c>
      <c r="B683">
        <v>4899</v>
      </c>
      <c r="C683" t="s">
        <v>33</v>
      </c>
      <c r="D683" t="s">
        <v>29</v>
      </c>
      <c r="E683" t="s">
        <v>34</v>
      </c>
      <c r="F683" t="s">
        <v>45</v>
      </c>
      <c r="G683" s="1">
        <v>44929</v>
      </c>
      <c r="H683" s="1">
        <v>44931</v>
      </c>
      <c r="I683" s="1">
        <v>44933</v>
      </c>
      <c r="J683">
        <v>4</v>
      </c>
      <c r="K683">
        <v>2</v>
      </c>
      <c r="L683">
        <v>9</v>
      </c>
      <c r="M683">
        <v>716.68</v>
      </c>
      <c r="N683">
        <v>6450.12</v>
      </c>
      <c r="O683">
        <v>0.12</v>
      </c>
      <c r="P683">
        <v>774.01</v>
      </c>
      <c r="Q683">
        <v>5676.11</v>
      </c>
      <c r="R683">
        <v>4192.58</v>
      </c>
      <c r="S683">
        <v>1483.53</v>
      </c>
    </row>
    <row r="684" spans="1:19" x14ac:dyDescent="0.35">
      <c r="A684">
        <v>100682</v>
      </c>
      <c r="B684">
        <v>1460</v>
      </c>
      <c r="C684" t="s">
        <v>33</v>
      </c>
      <c r="D684" t="s">
        <v>20</v>
      </c>
      <c r="E684" t="s">
        <v>34</v>
      </c>
      <c r="F684" t="s">
        <v>45</v>
      </c>
      <c r="G684" s="1">
        <v>45126</v>
      </c>
      <c r="H684" s="1">
        <v>45130</v>
      </c>
      <c r="I684" s="1">
        <v>45151</v>
      </c>
      <c r="J684">
        <v>25</v>
      </c>
      <c r="K684">
        <v>4</v>
      </c>
      <c r="L684">
        <v>10</v>
      </c>
      <c r="M684">
        <v>628.21</v>
      </c>
      <c r="N684">
        <v>6282.1</v>
      </c>
      <c r="O684">
        <v>7.0000000000000007E-2</v>
      </c>
      <c r="P684">
        <v>439.75</v>
      </c>
      <c r="Q684">
        <v>5842.35</v>
      </c>
      <c r="R684">
        <v>4146.1899999999996</v>
      </c>
      <c r="S684">
        <v>1696.16</v>
      </c>
    </row>
    <row r="685" spans="1:19" x14ac:dyDescent="0.35">
      <c r="A685">
        <v>100683</v>
      </c>
      <c r="B685">
        <v>3658</v>
      </c>
      <c r="C685" t="s">
        <v>23</v>
      </c>
      <c r="D685" t="s">
        <v>31</v>
      </c>
      <c r="E685" t="s">
        <v>26</v>
      </c>
      <c r="F685" t="s">
        <v>36</v>
      </c>
      <c r="G685" s="1">
        <v>45028</v>
      </c>
      <c r="H685" s="1">
        <v>45032</v>
      </c>
      <c r="I685" s="1">
        <v>45034</v>
      </c>
      <c r="J685">
        <v>6</v>
      </c>
      <c r="K685">
        <v>4</v>
      </c>
      <c r="L685">
        <v>14</v>
      </c>
      <c r="M685">
        <v>442.15</v>
      </c>
      <c r="N685">
        <v>6190.1</v>
      </c>
      <c r="O685">
        <v>0.15</v>
      </c>
      <c r="P685">
        <v>928.51</v>
      </c>
      <c r="Q685">
        <v>5261.58</v>
      </c>
      <c r="R685">
        <v>3590.26</v>
      </c>
      <c r="S685">
        <v>1671.32</v>
      </c>
    </row>
    <row r="686" spans="1:19" x14ac:dyDescent="0.35">
      <c r="A686">
        <v>100684</v>
      </c>
      <c r="B686">
        <v>3821</v>
      </c>
      <c r="C686" t="s">
        <v>19</v>
      </c>
      <c r="D686" t="s">
        <v>29</v>
      </c>
      <c r="E686" t="s">
        <v>21</v>
      </c>
      <c r="F686" t="s">
        <v>22</v>
      </c>
      <c r="G686" s="1">
        <v>44998</v>
      </c>
      <c r="H686" s="1">
        <v>45000</v>
      </c>
      <c r="I686" s="1">
        <v>45024</v>
      </c>
      <c r="J686">
        <v>26</v>
      </c>
      <c r="K686">
        <v>2</v>
      </c>
      <c r="L686">
        <v>2</v>
      </c>
      <c r="M686">
        <v>239.47</v>
      </c>
      <c r="N686">
        <v>478.94</v>
      </c>
      <c r="O686">
        <v>0.06</v>
      </c>
      <c r="P686">
        <v>28.74</v>
      </c>
      <c r="Q686">
        <v>450.2</v>
      </c>
      <c r="R686">
        <v>296.94</v>
      </c>
      <c r="S686">
        <v>153.26</v>
      </c>
    </row>
    <row r="687" spans="1:19" x14ac:dyDescent="0.35">
      <c r="A687">
        <v>100685</v>
      </c>
      <c r="B687">
        <v>1361</v>
      </c>
      <c r="C687" t="s">
        <v>19</v>
      </c>
      <c r="D687" t="s">
        <v>20</v>
      </c>
      <c r="E687" t="s">
        <v>26</v>
      </c>
      <c r="F687" t="s">
        <v>36</v>
      </c>
      <c r="G687" s="1">
        <v>45178</v>
      </c>
      <c r="H687" s="1">
        <v>45182</v>
      </c>
      <c r="I687" s="1">
        <v>45201</v>
      </c>
      <c r="J687">
        <v>23</v>
      </c>
      <c r="K687">
        <v>4</v>
      </c>
      <c r="L687">
        <v>9</v>
      </c>
      <c r="M687">
        <v>290.55</v>
      </c>
      <c r="N687">
        <v>2614.9499999999998</v>
      </c>
      <c r="O687">
        <v>0</v>
      </c>
      <c r="P687">
        <v>0</v>
      </c>
      <c r="Q687">
        <v>2614.9499999999998</v>
      </c>
      <c r="R687">
        <v>1568.97</v>
      </c>
      <c r="S687">
        <v>1045.98</v>
      </c>
    </row>
    <row r="688" spans="1:19" x14ac:dyDescent="0.35">
      <c r="A688">
        <v>100686</v>
      </c>
      <c r="B688">
        <v>4818</v>
      </c>
      <c r="C688" t="s">
        <v>28</v>
      </c>
      <c r="D688" t="s">
        <v>29</v>
      </c>
      <c r="E688" t="s">
        <v>26</v>
      </c>
      <c r="F688" t="s">
        <v>37</v>
      </c>
      <c r="G688" s="1">
        <v>45115</v>
      </c>
      <c r="H688" s="1">
        <v>45117</v>
      </c>
      <c r="I688" s="1">
        <v>45132</v>
      </c>
      <c r="J688">
        <v>17</v>
      </c>
      <c r="K688">
        <v>2</v>
      </c>
      <c r="L688">
        <v>14</v>
      </c>
      <c r="M688">
        <v>375.52</v>
      </c>
      <c r="N688">
        <v>5257.28</v>
      </c>
      <c r="O688">
        <v>0.15</v>
      </c>
      <c r="P688">
        <v>788.59</v>
      </c>
      <c r="Q688">
        <v>4468.6899999999996</v>
      </c>
      <c r="R688">
        <v>3206.94</v>
      </c>
      <c r="S688">
        <v>1261.75</v>
      </c>
    </row>
    <row r="689" spans="1:19" x14ac:dyDescent="0.35">
      <c r="A689">
        <v>100687</v>
      </c>
      <c r="B689">
        <v>3756</v>
      </c>
      <c r="C689" t="s">
        <v>23</v>
      </c>
      <c r="D689" t="s">
        <v>31</v>
      </c>
      <c r="E689" t="s">
        <v>21</v>
      </c>
      <c r="F689" t="s">
        <v>41</v>
      </c>
      <c r="G689" s="1">
        <v>45160</v>
      </c>
      <c r="H689" s="1">
        <v>45164</v>
      </c>
      <c r="I689" s="1">
        <v>45182</v>
      </c>
      <c r="J689">
        <v>22</v>
      </c>
      <c r="K689">
        <v>4</v>
      </c>
      <c r="L689">
        <v>12</v>
      </c>
      <c r="M689">
        <v>67.709999999999994</v>
      </c>
      <c r="N689">
        <v>812.52</v>
      </c>
      <c r="O689">
        <v>0.1</v>
      </c>
      <c r="P689">
        <v>81.25</v>
      </c>
      <c r="Q689">
        <v>731.27</v>
      </c>
      <c r="R689">
        <v>536.26</v>
      </c>
      <c r="S689">
        <v>195.01</v>
      </c>
    </row>
    <row r="690" spans="1:19" x14ac:dyDescent="0.35">
      <c r="A690">
        <v>100688</v>
      </c>
      <c r="B690">
        <v>2230</v>
      </c>
      <c r="C690" t="s">
        <v>19</v>
      </c>
      <c r="D690" t="s">
        <v>20</v>
      </c>
      <c r="E690" t="s">
        <v>24</v>
      </c>
      <c r="F690" t="s">
        <v>42</v>
      </c>
      <c r="G690" s="1">
        <v>45218</v>
      </c>
      <c r="H690" s="1">
        <v>45220</v>
      </c>
      <c r="I690" s="1">
        <v>45232</v>
      </c>
      <c r="J690">
        <v>14</v>
      </c>
      <c r="K690">
        <v>2</v>
      </c>
      <c r="L690">
        <v>3</v>
      </c>
      <c r="M690">
        <v>252.64</v>
      </c>
      <c r="N690">
        <v>757.92</v>
      </c>
      <c r="O690">
        <v>0.13</v>
      </c>
      <c r="P690">
        <v>98.53</v>
      </c>
      <c r="Q690">
        <v>659.39</v>
      </c>
      <c r="R690">
        <v>545.70000000000005</v>
      </c>
      <c r="S690">
        <v>113.69</v>
      </c>
    </row>
    <row r="691" spans="1:19" x14ac:dyDescent="0.35">
      <c r="A691">
        <v>100689</v>
      </c>
      <c r="B691">
        <v>2220</v>
      </c>
      <c r="C691" t="s">
        <v>23</v>
      </c>
      <c r="D691" t="s">
        <v>29</v>
      </c>
      <c r="E691" t="s">
        <v>34</v>
      </c>
      <c r="F691" t="s">
        <v>45</v>
      </c>
      <c r="G691" s="1">
        <v>45279</v>
      </c>
      <c r="H691" s="1">
        <v>45282</v>
      </c>
      <c r="I691" s="1">
        <v>45300</v>
      </c>
      <c r="J691">
        <v>21</v>
      </c>
      <c r="K691">
        <v>3</v>
      </c>
      <c r="L691">
        <v>4</v>
      </c>
      <c r="M691">
        <v>341.93</v>
      </c>
      <c r="N691">
        <v>1367.72</v>
      </c>
      <c r="O691">
        <v>0</v>
      </c>
      <c r="P691">
        <v>0</v>
      </c>
      <c r="Q691">
        <v>1367.72</v>
      </c>
      <c r="R691">
        <v>806.95</v>
      </c>
      <c r="S691">
        <v>560.77</v>
      </c>
    </row>
    <row r="692" spans="1:19" x14ac:dyDescent="0.35">
      <c r="A692">
        <v>100690</v>
      </c>
      <c r="B692">
        <v>1345</v>
      </c>
      <c r="C692" t="s">
        <v>19</v>
      </c>
      <c r="D692" t="s">
        <v>20</v>
      </c>
      <c r="E692" t="s">
        <v>21</v>
      </c>
      <c r="F692" t="s">
        <v>41</v>
      </c>
      <c r="G692" s="1">
        <v>45041</v>
      </c>
      <c r="H692" s="1">
        <v>45043</v>
      </c>
      <c r="I692" s="1">
        <v>45067</v>
      </c>
      <c r="J692">
        <v>26</v>
      </c>
      <c r="K692">
        <v>2</v>
      </c>
      <c r="L692">
        <v>3</v>
      </c>
      <c r="M692">
        <v>272.54000000000002</v>
      </c>
      <c r="N692">
        <v>817.62</v>
      </c>
      <c r="O692">
        <v>0.12</v>
      </c>
      <c r="P692">
        <v>98.11</v>
      </c>
      <c r="Q692">
        <v>719.51</v>
      </c>
      <c r="R692">
        <v>523.28</v>
      </c>
      <c r="S692">
        <v>196.23</v>
      </c>
    </row>
    <row r="693" spans="1:19" x14ac:dyDescent="0.35">
      <c r="A693">
        <v>100691</v>
      </c>
      <c r="B693">
        <v>2785</v>
      </c>
      <c r="C693" t="s">
        <v>28</v>
      </c>
      <c r="D693" t="s">
        <v>20</v>
      </c>
      <c r="E693" t="s">
        <v>24</v>
      </c>
      <c r="F693" t="s">
        <v>42</v>
      </c>
      <c r="G693" s="1">
        <v>45208</v>
      </c>
      <c r="H693" s="1">
        <v>45211</v>
      </c>
      <c r="I693" s="1">
        <v>45213</v>
      </c>
      <c r="J693">
        <v>5</v>
      </c>
      <c r="K693">
        <v>3</v>
      </c>
      <c r="L693">
        <v>4</v>
      </c>
      <c r="M693">
        <v>311.37</v>
      </c>
      <c r="N693">
        <v>1245.48</v>
      </c>
      <c r="O693">
        <v>0.12</v>
      </c>
      <c r="P693">
        <v>149.46</v>
      </c>
      <c r="Q693">
        <v>1096.02</v>
      </c>
      <c r="R693">
        <v>797.11</v>
      </c>
      <c r="S693">
        <v>298.91000000000003</v>
      </c>
    </row>
    <row r="694" spans="1:19" x14ac:dyDescent="0.35">
      <c r="A694">
        <v>100692</v>
      </c>
      <c r="B694">
        <v>2279</v>
      </c>
      <c r="C694" t="s">
        <v>28</v>
      </c>
      <c r="D694" t="s">
        <v>31</v>
      </c>
      <c r="E694" t="s">
        <v>24</v>
      </c>
      <c r="F694" t="s">
        <v>25</v>
      </c>
      <c r="G694" s="1">
        <v>45096</v>
      </c>
      <c r="H694" s="1">
        <v>45098</v>
      </c>
      <c r="I694" s="1">
        <v>45108</v>
      </c>
      <c r="J694">
        <v>12</v>
      </c>
      <c r="K694">
        <v>2</v>
      </c>
      <c r="L694">
        <v>3</v>
      </c>
      <c r="M694">
        <v>261.77</v>
      </c>
      <c r="N694">
        <v>785.31</v>
      </c>
      <c r="O694">
        <v>7.0000000000000007E-2</v>
      </c>
      <c r="P694">
        <v>54.97</v>
      </c>
      <c r="Q694">
        <v>730.34</v>
      </c>
      <c r="R694">
        <v>486.89</v>
      </c>
      <c r="S694">
        <v>243.45</v>
      </c>
    </row>
    <row r="695" spans="1:19" x14ac:dyDescent="0.35">
      <c r="A695">
        <v>100693</v>
      </c>
      <c r="B695">
        <v>1704</v>
      </c>
      <c r="C695" t="s">
        <v>19</v>
      </c>
      <c r="D695" t="s">
        <v>29</v>
      </c>
      <c r="E695" t="s">
        <v>26</v>
      </c>
      <c r="F695" t="s">
        <v>44</v>
      </c>
      <c r="G695" s="1">
        <v>45139</v>
      </c>
      <c r="H695" s="1">
        <v>45144</v>
      </c>
      <c r="I695" s="1">
        <v>45157</v>
      </c>
      <c r="J695">
        <v>18</v>
      </c>
      <c r="K695">
        <v>5</v>
      </c>
      <c r="L695">
        <v>6</v>
      </c>
      <c r="M695">
        <v>394.28</v>
      </c>
      <c r="N695">
        <v>2365.6799999999998</v>
      </c>
      <c r="O695">
        <v>0.03</v>
      </c>
      <c r="P695">
        <v>70.97</v>
      </c>
      <c r="Q695">
        <v>2294.71</v>
      </c>
      <c r="R695">
        <v>1537.69</v>
      </c>
      <c r="S695">
        <v>757.02</v>
      </c>
    </row>
    <row r="696" spans="1:19" x14ac:dyDescent="0.35">
      <c r="A696">
        <v>100694</v>
      </c>
      <c r="B696">
        <v>3398</v>
      </c>
      <c r="C696" t="s">
        <v>23</v>
      </c>
      <c r="D696" t="s">
        <v>31</v>
      </c>
      <c r="E696" t="s">
        <v>21</v>
      </c>
      <c r="F696" t="s">
        <v>38</v>
      </c>
      <c r="G696" s="1">
        <v>45234</v>
      </c>
      <c r="H696" s="1">
        <v>45237</v>
      </c>
      <c r="I696" s="1">
        <v>45245</v>
      </c>
      <c r="J696">
        <v>11</v>
      </c>
      <c r="K696">
        <v>3</v>
      </c>
      <c r="L696">
        <v>5</v>
      </c>
      <c r="M696">
        <v>583.05999999999995</v>
      </c>
      <c r="N696">
        <v>2915.3</v>
      </c>
      <c r="O696">
        <v>0.1</v>
      </c>
      <c r="P696">
        <v>291.52999999999997</v>
      </c>
      <c r="Q696">
        <v>2623.77</v>
      </c>
      <c r="R696">
        <v>1894.94</v>
      </c>
      <c r="S696">
        <v>728.83</v>
      </c>
    </row>
    <row r="697" spans="1:19" x14ac:dyDescent="0.35">
      <c r="A697">
        <v>100695</v>
      </c>
      <c r="B697">
        <v>1836</v>
      </c>
      <c r="C697" t="s">
        <v>23</v>
      </c>
      <c r="D697" t="s">
        <v>31</v>
      </c>
      <c r="E697" t="s">
        <v>24</v>
      </c>
      <c r="F697" t="s">
        <v>30</v>
      </c>
      <c r="G697" s="1">
        <v>45188</v>
      </c>
      <c r="H697" s="1">
        <v>45189</v>
      </c>
      <c r="I697" s="1">
        <v>45216</v>
      </c>
      <c r="J697">
        <v>28</v>
      </c>
      <c r="K697">
        <v>1</v>
      </c>
      <c r="L697">
        <v>13</v>
      </c>
      <c r="M697">
        <v>300.24</v>
      </c>
      <c r="N697">
        <v>3903.12</v>
      </c>
      <c r="O697">
        <v>7.0000000000000007E-2</v>
      </c>
      <c r="P697">
        <v>273.22000000000003</v>
      </c>
      <c r="Q697">
        <v>3629.9</v>
      </c>
      <c r="R697">
        <v>2419.9299999999998</v>
      </c>
      <c r="S697">
        <v>1209.97</v>
      </c>
    </row>
    <row r="698" spans="1:19" x14ac:dyDescent="0.35">
      <c r="A698">
        <v>100696</v>
      </c>
      <c r="B698">
        <v>1801</v>
      </c>
      <c r="C698" t="s">
        <v>23</v>
      </c>
      <c r="D698" t="s">
        <v>20</v>
      </c>
      <c r="E698" t="s">
        <v>26</v>
      </c>
      <c r="F698" t="s">
        <v>27</v>
      </c>
      <c r="G698" s="1">
        <v>45182</v>
      </c>
      <c r="H698" s="1">
        <v>45185</v>
      </c>
      <c r="I698" s="1">
        <v>45186</v>
      </c>
      <c r="J698">
        <v>4</v>
      </c>
      <c r="K698">
        <v>3</v>
      </c>
      <c r="L698">
        <v>14</v>
      </c>
      <c r="M698">
        <v>362.29</v>
      </c>
      <c r="N698">
        <v>5072.0600000000004</v>
      </c>
      <c r="O698">
        <v>0.06</v>
      </c>
      <c r="P698">
        <v>304.32</v>
      </c>
      <c r="Q698">
        <v>4767.74</v>
      </c>
      <c r="R698">
        <v>3195.4</v>
      </c>
      <c r="S698">
        <v>1572.34</v>
      </c>
    </row>
    <row r="699" spans="1:19" x14ac:dyDescent="0.35">
      <c r="A699">
        <v>100697</v>
      </c>
      <c r="B699">
        <v>2276</v>
      </c>
      <c r="C699" t="s">
        <v>33</v>
      </c>
      <c r="D699" t="s">
        <v>29</v>
      </c>
      <c r="E699" t="s">
        <v>34</v>
      </c>
      <c r="F699" t="s">
        <v>43</v>
      </c>
      <c r="G699" s="1">
        <v>45006</v>
      </c>
      <c r="H699" s="1">
        <v>45008</v>
      </c>
      <c r="I699" s="1">
        <v>45011</v>
      </c>
      <c r="J699">
        <v>5</v>
      </c>
      <c r="K699">
        <v>2</v>
      </c>
      <c r="L699">
        <v>9</v>
      </c>
      <c r="M699">
        <v>87.59</v>
      </c>
      <c r="N699">
        <v>788.31</v>
      </c>
      <c r="O699">
        <v>0.12</v>
      </c>
      <c r="P699">
        <v>94.6</v>
      </c>
      <c r="Q699">
        <v>693.71</v>
      </c>
      <c r="R699">
        <v>536.04999999999995</v>
      </c>
      <c r="S699">
        <v>157.66</v>
      </c>
    </row>
    <row r="700" spans="1:19" x14ac:dyDescent="0.35">
      <c r="A700">
        <v>100698</v>
      </c>
      <c r="B700">
        <v>1590</v>
      </c>
      <c r="C700" t="s">
        <v>28</v>
      </c>
      <c r="D700" t="s">
        <v>31</v>
      </c>
      <c r="E700" t="s">
        <v>26</v>
      </c>
      <c r="F700" t="s">
        <v>36</v>
      </c>
      <c r="G700" s="1">
        <v>45223</v>
      </c>
      <c r="H700" s="1">
        <v>45224</v>
      </c>
      <c r="I700" s="1">
        <v>45240</v>
      </c>
      <c r="J700">
        <v>17</v>
      </c>
      <c r="K700">
        <v>1</v>
      </c>
      <c r="L700">
        <v>3</v>
      </c>
      <c r="M700">
        <v>56.46</v>
      </c>
      <c r="N700">
        <v>169.38</v>
      </c>
      <c r="O700">
        <v>0.1</v>
      </c>
      <c r="P700">
        <v>16.940000000000001</v>
      </c>
      <c r="Q700">
        <v>152.44</v>
      </c>
      <c r="R700">
        <v>105.02</v>
      </c>
      <c r="S700">
        <v>47.42</v>
      </c>
    </row>
    <row r="701" spans="1:19" x14ac:dyDescent="0.35">
      <c r="A701">
        <v>100699</v>
      </c>
      <c r="B701">
        <v>1909</v>
      </c>
      <c r="C701" t="s">
        <v>19</v>
      </c>
      <c r="D701" t="s">
        <v>29</v>
      </c>
      <c r="E701" t="s">
        <v>24</v>
      </c>
      <c r="F701" t="s">
        <v>30</v>
      </c>
      <c r="G701" s="1">
        <v>45187</v>
      </c>
      <c r="H701" s="1">
        <v>45192</v>
      </c>
      <c r="I701" s="1">
        <v>45189</v>
      </c>
      <c r="J701">
        <v>2</v>
      </c>
      <c r="K701">
        <v>5</v>
      </c>
      <c r="L701">
        <v>13</v>
      </c>
      <c r="M701">
        <v>511.85</v>
      </c>
      <c r="N701">
        <v>6654.05</v>
      </c>
      <c r="O701">
        <v>0.11</v>
      </c>
      <c r="P701">
        <v>731.95</v>
      </c>
      <c r="Q701">
        <v>5922.1</v>
      </c>
      <c r="R701">
        <v>4524.75</v>
      </c>
      <c r="S701">
        <v>1397.35</v>
      </c>
    </row>
    <row r="702" spans="1:19" x14ac:dyDescent="0.35">
      <c r="A702">
        <v>100700</v>
      </c>
      <c r="B702">
        <v>2954</v>
      </c>
      <c r="C702" t="s">
        <v>19</v>
      </c>
      <c r="D702" t="s">
        <v>20</v>
      </c>
      <c r="E702" t="s">
        <v>34</v>
      </c>
      <c r="F702" t="s">
        <v>45</v>
      </c>
      <c r="G702" s="1">
        <v>44935</v>
      </c>
      <c r="H702" s="1">
        <v>44940</v>
      </c>
      <c r="I702" s="1">
        <v>44964</v>
      </c>
      <c r="J702">
        <v>29</v>
      </c>
      <c r="K702">
        <v>5</v>
      </c>
      <c r="L702">
        <v>1</v>
      </c>
      <c r="M702">
        <v>641.70000000000005</v>
      </c>
      <c r="N702">
        <v>641.70000000000005</v>
      </c>
      <c r="O702">
        <v>7.0000000000000007E-2</v>
      </c>
      <c r="P702">
        <v>44.92</v>
      </c>
      <c r="Q702">
        <v>596.78</v>
      </c>
      <c r="R702">
        <v>429.94</v>
      </c>
      <c r="S702">
        <v>166.84</v>
      </c>
    </row>
    <row r="703" spans="1:19" x14ac:dyDescent="0.35">
      <c r="A703">
        <v>100701</v>
      </c>
      <c r="B703">
        <v>1183</v>
      </c>
      <c r="C703" t="s">
        <v>33</v>
      </c>
      <c r="D703" t="s">
        <v>31</v>
      </c>
      <c r="E703" t="s">
        <v>21</v>
      </c>
      <c r="F703" t="s">
        <v>22</v>
      </c>
      <c r="G703" s="1">
        <v>44992</v>
      </c>
      <c r="H703" s="1">
        <v>44993</v>
      </c>
      <c r="I703" s="1">
        <v>45003</v>
      </c>
      <c r="J703">
        <v>11</v>
      </c>
      <c r="K703">
        <v>1</v>
      </c>
      <c r="L703">
        <v>10</v>
      </c>
      <c r="M703">
        <v>486.51</v>
      </c>
      <c r="N703">
        <v>4865.1000000000004</v>
      </c>
      <c r="O703">
        <v>7.0000000000000007E-2</v>
      </c>
      <c r="P703">
        <v>340.56</v>
      </c>
      <c r="Q703">
        <v>4524.54</v>
      </c>
      <c r="R703">
        <v>3162.32</v>
      </c>
      <c r="S703">
        <v>1362.22</v>
      </c>
    </row>
    <row r="704" spans="1:19" x14ac:dyDescent="0.35">
      <c r="A704">
        <v>100702</v>
      </c>
      <c r="B704">
        <v>2474</v>
      </c>
      <c r="C704" t="s">
        <v>28</v>
      </c>
      <c r="D704" t="s">
        <v>29</v>
      </c>
      <c r="E704" t="s">
        <v>24</v>
      </c>
      <c r="F704" t="s">
        <v>25</v>
      </c>
      <c r="G704" s="1">
        <v>44947</v>
      </c>
      <c r="H704" s="1">
        <v>44949</v>
      </c>
      <c r="I704" s="1">
        <v>44967</v>
      </c>
      <c r="J704">
        <v>20</v>
      </c>
      <c r="K704">
        <v>2</v>
      </c>
      <c r="L704">
        <v>9</v>
      </c>
      <c r="M704">
        <v>221.53</v>
      </c>
      <c r="N704">
        <v>1993.77</v>
      </c>
      <c r="O704">
        <v>0.06</v>
      </c>
      <c r="P704">
        <v>119.63</v>
      </c>
      <c r="Q704">
        <v>1874.14</v>
      </c>
      <c r="R704">
        <v>1116.51</v>
      </c>
      <c r="S704">
        <v>757.63</v>
      </c>
    </row>
    <row r="705" spans="1:19" x14ac:dyDescent="0.35">
      <c r="A705">
        <v>100703</v>
      </c>
      <c r="B705">
        <v>4362</v>
      </c>
      <c r="C705" t="s">
        <v>19</v>
      </c>
      <c r="D705" t="s">
        <v>31</v>
      </c>
      <c r="E705" t="s">
        <v>24</v>
      </c>
      <c r="F705" t="s">
        <v>42</v>
      </c>
      <c r="G705" s="1">
        <v>45185</v>
      </c>
      <c r="H705" s="1">
        <v>45189</v>
      </c>
      <c r="I705" s="1">
        <v>45193</v>
      </c>
      <c r="J705">
        <v>8</v>
      </c>
      <c r="K705">
        <v>4</v>
      </c>
      <c r="L705">
        <v>2</v>
      </c>
      <c r="M705">
        <v>422.96</v>
      </c>
      <c r="N705">
        <v>845.92</v>
      </c>
      <c r="O705">
        <v>0.2</v>
      </c>
      <c r="P705">
        <v>169.18</v>
      </c>
      <c r="Q705">
        <v>676.74</v>
      </c>
      <c r="R705">
        <v>448.34</v>
      </c>
      <c r="S705">
        <v>228.4</v>
      </c>
    </row>
    <row r="706" spans="1:19" x14ac:dyDescent="0.35">
      <c r="A706">
        <v>100704</v>
      </c>
      <c r="B706">
        <v>4424</v>
      </c>
      <c r="C706" t="s">
        <v>33</v>
      </c>
      <c r="D706" t="s">
        <v>29</v>
      </c>
      <c r="E706" t="s">
        <v>26</v>
      </c>
      <c r="F706" t="s">
        <v>27</v>
      </c>
      <c r="G706" s="1">
        <v>45101</v>
      </c>
      <c r="H706" s="1">
        <v>45103</v>
      </c>
      <c r="I706" s="1">
        <v>45111</v>
      </c>
      <c r="J706">
        <v>10</v>
      </c>
      <c r="K706">
        <v>2</v>
      </c>
      <c r="L706">
        <v>8</v>
      </c>
      <c r="M706">
        <v>291.14999999999998</v>
      </c>
      <c r="N706">
        <v>2329.1999999999998</v>
      </c>
      <c r="O706">
        <v>0.05</v>
      </c>
      <c r="P706">
        <v>116.46</v>
      </c>
      <c r="Q706">
        <v>2212.7399999999998</v>
      </c>
      <c r="R706">
        <v>1397.52</v>
      </c>
      <c r="S706">
        <v>815.22</v>
      </c>
    </row>
    <row r="707" spans="1:19" x14ac:dyDescent="0.35">
      <c r="A707">
        <v>100705</v>
      </c>
      <c r="B707">
        <v>1167</v>
      </c>
      <c r="C707" t="s">
        <v>33</v>
      </c>
      <c r="D707" t="s">
        <v>20</v>
      </c>
      <c r="E707" t="s">
        <v>21</v>
      </c>
      <c r="F707" t="s">
        <v>38</v>
      </c>
      <c r="G707" s="1">
        <v>45004</v>
      </c>
      <c r="H707" s="1">
        <v>45007</v>
      </c>
      <c r="I707" s="1">
        <v>45024</v>
      </c>
      <c r="J707">
        <v>20</v>
      </c>
      <c r="K707">
        <v>3</v>
      </c>
      <c r="L707">
        <v>13</v>
      </c>
      <c r="M707">
        <v>103.13</v>
      </c>
      <c r="N707">
        <v>1340.69</v>
      </c>
      <c r="O707">
        <v>0.08</v>
      </c>
      <c r="P707">
        <v>107.26</v>
      </c>
      <c r="Q707">
        <v>1233.43</v>
      </c>
      <c r="R707">
        <v>898.26</v>
      </c>
      <c r="S707">
        <v>335.17</v>
      </c>
    </row>
    <row r="708" spans="1:19" x14ac:dyDescent="0.35">
      <c r="A708">
        <v>100706</v>
      </c>
      <c r="B708">
        <v>4329</v>
      </c>
      <c r="C708" t="s">
        <v>23</v>
      </c>
      <c r="D708" t="s">
        <v>29</v>
      </c>
      <c r="E708" t="s">
        <v>34</v>
      </c>
      <c r="F708" t="s">
        <v>43</v>
      </c>
      <c r="G708" s="1">
        <v>45191</v>
      </c>
      <c r="H708" s="1">
        <v>45192</v>
      </c>
      <c r="I708" s="1">
        <v>45196</v>
      </c>
      <c r="J708">
        <v>5</v>
      </c>
      <c r="K708">
        <v>1</v>
      </c>
      <c r="L708">
        <v>13</v>
      </c>
      <c r="M708">
        <v>322.31</v>
      </c>
      <c r="N708">
        <v>4190.03</v>
      </c>
      <c r="O708">
        <v>7.0000000000000007E-2</v>
      </c>
      <c r="P708">
        <v>293.3</v>
      </c>
      <c r="Q708">
        <v>3896.73</v>
      </c>
      <c r="R708">
        <v>2681.62</v>
      </c>
      <c r="S708">
        <v>1215.1099999999999</v>
      </c>
    </row>
    <row r="709" spans="1:19" x14ac:dyDescent="0.35">
      <c r="A709">
        <v>100707</v>
      </c>
      <c r="B709">
        <v>4271</v>
      </c>
      <c r="C709" t="s">
        <v>19</v>
      </c>
      <c r="D709" t="s">
        <v>20</v>
      </c>
      <c r="E709" t="s">
        <v>34</v>
      </c>
      <c r="F709" t="s">
        <v>35</v>
      </c>
      <c r="G709" s="1">
        <v>45066</v>
      </c>
      <c r="H709" s="1">
        <v>45068</v>
      </c>
      <c r="I709" s="1">
        <v>45069</v>
      </c>
      <c r="J709">
        <v>3</v>
      </c>
      <c r="K709">
        <v>2</v>
      </c>
      <c r="L709">
        <v>13</v>
      </c>
      <c r="M709">
        <v>105.53</v>
      </c>
      <c r="N709">
        <v>1371.89</v>
      </c>
      <c r="O709">
        <v>0.12</v>
      </c>
      <c r="P709">
        <v>164.63</v>
      </c>
      <c r="Q709">
        <v>1207.26</v>
      </c>
      <c r="R709">
        <v>823.13</v>
      </c>
      <c r="S709">
        <v>384.13</v>
      </c>
    </row>
    <row r="710" spans="1:19" x14ac:dyDescent="0.35">
      <c r="A710">
        <v>100708</v>
      </c>
      <c r="B710">
        <v>1518</v>
      </c>
      <c r="C710" t="s">
        <v>23</v>
      </c>
      <c r="D710" t="s">
        <v>29</v>
      </c>
      <c r="E710" t="s">
        <v>34</v>
      </c>
      <c r="F710" t="s">
        <v>45</v>
      </c>
      <c r="G710" s="1">
        <v>44991</v>
      </c>
      <c r="H710" s="1">
        <v>44994</v>
      </c>
      <c r="I710" s="1">
        <v>45021</v>
      </c>
      <c r="J710">
        <v>30</v>
      </c>
      <c r="K710">
        <v>3</v>
      </c>
      <c r="L710">
        <v>12</v>
      </c>
      <c r="M710">
        <v>305.26</v>
      </c>
      <c r="N710">
        <v>3663.12</v>
      </c>
      <c r="O710">
        <v>0.01</v>
      </c>
      <c r="P710">
        <v>36.630000000000003</v>
      </c>
      <c r="Q710">
        <v>3626.49</v>
      </c>
      <c r="R710">
        <v>2454.29</v>
      </c>
      <c r="S710">
        <v>1172.2</v>
      </c>
    </row>
    <row r="711" spans="1:19" x14ac:dyDescent="0.35">
      <c r="A711">
        <v>100709</v>
      </c>
      <c r="B711">
        <v>3276</v>
      </c>
      <c r="C711" t="s">
        <v>28</v>
      </c>
      <c r="D711" t="s">
        <v>29</v>
      </c>
      <c r="E711" t="s">
        <v>24</v>
      </c>
      <c r="F711" t="s">
        <v>30</v>
      </c>
      <c r="G711" s="1">
        <v>44937</v>
      </c>
      <c r="H711" s="1">
        <v>44940</v>
      </c>
      <c r="I711" s="1">
        <v>44961</v>
      </c>
      <c r="J711">
        <v>24</v>
      </c>
      <c r="K711">
        <v>3</v>
      </c>
      <c r="L711">
        <v>1</v>
      </c>
      <c r="M711">
        <v>706.9</v>
      </c>
      <c r="N711">
        <v>706.9</v>
      </c>
      <c r="O711">
        <v>0.08</v>
      </c>
      <c r="P711">
        <v>56.55</v>
      </c>
      <c r="Q711">
        <v>650.35</v>
      </c>
      <c r="R711">
        <v>402.93</v>
      </c>
      <c r="S711">
        <v>247.42</v>
      </c>
    </row>
    <row r="712" spans="1:19" x14ac:dyDescent="0.35">
      <c r="A712">
        <v>100710</v>
      </c>
      <c r="B712">
        <v>3576</v>
      </c>
      <c r="C712" t="s">
        <v>23</v>
      </c>
      <c r="D712" t="s">
        <v>29</v>
      </c>
      <c r="E712" t="s">
        <v>24</v>
      </c>
      <c r="F712" t="s">
        <v>42</v>
      </c>
      <c r="G712" s="1">
        <v>45288</v>
      </c>
      <c r="H712" s="1">
        <v>45290</v>
      </c>
      <c r="I712" s="1">
        <v>45317</v>
      </c>
      <c r="J712">
        <v>29</v>
      </c>
      <c r="K712">
        <v>2</v>
      </c>
      <c r="L712">
        <v>14</v>
      </c>
      <c r="M712">
        <v>489.6</v>
      </c>
      <c r="N712">
        <v>6854.4</v>
      </c>
      <c r="O712">
        <v>0</v>
      </c>
      <c r="P712">
        <v>0</v>
      </c>
      <c r="Q712">
        <v>6854.4</v>
      </c>
      <c r="R712">
        <v>4249.7299999999996</v>
      </c>
      <c r="S712">
        <v>2604.67</v>
      </c>
    </row>
    <row r="713" spans="1:19" x14ac:dyDescent="0.35">
      <c r="A713">
        <v>100711</v>
      </c>
      <c r="B713">
        <v>3820</v>
      </c>
      <c r="C713" t="s">
        <v>23</v>
      </c>
      <c r="D713" t="s">
        <v>20</v>
      </c>
      <c r="E713" t="s">
        <v>21</v>
      </c>
      <c r="F713" t="s">
        <v>41</v>
      </c>
      <c r="G713" s="1">
        <v>45047</v>
      </c>
      <c r="H713" s="1">
        <v>45049</v>
      </c>
      <c r="I713" s="1">
        <v>45056</v>
      </c>
      <c r="J713">
        <v>9</v>
      </c>
      <c r="K713">
        <v>2</v>
      </c>
      <c r="L713">
        <v>7</v>
      </c>
      <c r="M713">
        <v>10.29</v>
      </c>
      <c r="N713">
        <v>72.03</v>
      </c>
      <c r="O713">
        <v>0.17</v>
      </c>
      <c r="P713">
        <v>12.25</v>
      </c>
      <c r="Q713">
        <v>59.78</v>
      </c>
      <c r="R713">
        <v>43.22</v>
      </c>
      <c r="S713">
        <v>16.559999999999999</v>
      </c>
    </row>
    <row r="714" spans="1:19" x14ac:dyDescent="0.35">
      <c r="A714">
        <v>100712</v>
      </c>
      <c r="B714">
        <v>4825</v>
      </c>
      <c r="C714" t="s">
        <v>23</v>
      </c>
      <c r="D714" t="s">
        <v>29</v>
      </c>
      <c r="E714" t="s">
        <v>24</v>
      </c>
      <c r="F714" t="s">
        <v>42</v>
      </c>
      <c r="G714" s="1">
        <v>45210</v>
      </c>
      <c r="H714" s="1">
        <v>45213</v>
      </c>
      <c r="I714" s="1">
        <v>45237</v>
      </c>
      <c r="J714">
        <v>27</v>
      </c>
      <c r="K714">
        <v>3</v>
      </c>
      <c r="L714">
        <v>14</v>
      </c>
      <c r="M714">
        <v>643.38</v>
      </c>
      <c r="N714">
        <v>9007.32</v>
      </c>
      <c r="O714">
        <v>0.08</v>
      </c>
      <c r="P714">
        <v>720.59</v>
      </c>
      <c r="Q714">
        <v>8286.73</v>
      </c>
      <c r="R714">
        <v>5314.32</v>
      </c>
      <c r="S714">
        <v>2972.41</v>
      </c>
    </row>
    <row r="715" spans="1:19" x14ac:dyDescent="0.35">
      <c r="A715">
        <v>100713</v>
      </c>
      <c r="B715">
        <v>2731</v>
      </c>
      <c r="C715" t="s">
        <v>28</v>
      </c>
      <c r="D715" t="s">
        <v>31</v>
      </c>
      <c r="E715" t="s">
        <v>34</v>
      </c>
      <c r="F715" t="s">
        <v>35</v>
      </c>
      <c r="G715" s="1">
        <v>44958</v>
      </c>
      <c r="H715" s="1">
        <v>44959</v>
      </c>
      <c r="I715" s="1">
        <v>44971</v>
      </c>
      <c r="J715">
        <v>13</v>
      </c>
      <c r="K715">
        <v>1</v>
      </c>
      <c r="L715">
        <v>8</v>
      </c>
      <c r="M715">
        <v>503.02</v>
      </c>
      <c r="N715">
        <v>4024.16</v>
      </c>
      <c r="O715">
        <v>0.09</v>
      </c>
      <c r="P715">
        <v>362.17</v>
      </c>
      <c r="Q715">
        <v>3661.99</v>
      </c>
      <c r="R715">
        <v>2012.08</v>
      </c>
      <c r="S715">
        <v>1649.91</v>
      </c>
    </row>
    <row r="716" spans="1:19" x14ac:dyDescent="0.35">
      <c r="A716">
        <v>100714</v>
      </c>
      <c r="B716">
        <v>2132</v>
      </c>
      <c r="C716" t="s">
        <v>33</v>
      </c>
      <c r="D716" t="s">
        <v>20</v>
      </c>
      <c r="E716" t="s">
        <v>34</v>
      </c>
      <c r="F716" t="s">
        <v>45</v>
      </c>
      <c r="G716" s="1">
        <v>44958</v>
      </c>
      <c r="H716" s="1">
        <v>44959</v>
      </c>
      <c r="I716" s="1">
        <v>44972</v>
      </c>
      <c r="J716">
        <v>14</v>
      </c>
      <c r="K716">
        <v>1</v>
      </c>
      <c r="L716">
        <v>14</v>
      </c>
      <c r="M716">
        <v>772.58</v>
      </c>
      <c r="N716">
        <v>10816.12</v>
      </c>
      <c r="O716">
        <v>7.0000000000000007E-2</v>
      </c>
      <c r="P716">
        <v>757.13</v>
      </c>
      <c r="Q716">
        <v>10058.99</v>
      </c>
      <c r="R716">
        <v>7138.64</v>
      </c>
      <c r="S716">
        <v>2920.35</v>
      </c>
    </row>
    <row r="717" spans="1:19" x14ac:dyDescent="0.35">
      <c r="A717">
        <v>100715</v>
      </c>
      <c r="B717">
        <v>1358</v>
      </c>
      <c r="C717" t="s">
        <v>23</v>
      </c>
      <c r="D717" t="s">
        <v>31</v>
      </c>
      <c r="E717" t="s">
        <v>24</v>
      </c>
      <c r="F717" t="s">
        <v>30</v>
      </c>
      <c r="G717" s="1">
        <v>45216</v>
      </c>
      <c r="H717" s="1">
        <v>45219</v>
      </c>
      <c r="I717" s="1">
        <v>45241</v>
      </c>
      <c r="J717">
        <v>25</v>
      </c>
      <c r="K717">
        <v>3</v>
      </c>
      <c r="L717">
        <v>14</v>
      </c>
      <c r="M717">
        <v>655.16999999999996</v>
      </c>
      <c r="N717">
        <v>9172.3799999999992</v>
      </c>
      <c r="O717">
        <v>7.0000000000000007E-2</v>
      </c>
      <c r="P717">
        <v>642.07000000000005</v>
      </c>
      <c r="Q717">
        <v>8530.31</v>
      </c>
      <c r="R717">
        <v>4769.6400000000003</v>
      </c>
      <c r="S717">
        <v>3760.67</v>
      </c>
    </row>
    <row r="718" spans="1:19" x14ac:dyDescent="0.35">
      <c r="A718">
        <v>100716</v>
      </c>
      <c r="B718">
        <v>4084</v>
      </c>
      <c r="C718" t="s">
        <v>28</v>
      </c>
      <c r="D718" t="s">
        <v>20</v>
      </c>
      <c r="E718" t="s">
        <v>24</v>
      </c>
      <c r="F718" t="s">
        <v>42</v>
      </c>
      <c r="G718" s="1">
        <v>45192</v>
      </c>
      <c r="H718" s="1">
        <v>45196</v>
      </c>
      <c r="I718" s="1">
        <v>45215</v>
      </c>
      <c r="J718">
        <v>23</v>
      </c>
      <c r="K718">
        <v>4</v>
      </c>
      <c r="L718">
        <v>7</v>
      </c>
      <c r="M718">
        <v>60.39</v>
      </c>
      <c r="N718">
        <v>422.73</v>
      </c>
      <c r="O718">
        <v>0.04</v>
      </c>
      <c r="P718">
        <v>16.91</v>
      </c>
      <c r="Q718">
        <v>405.82</v>
      </c>
      <c r="R718">
        <v>295.91000000000003</v>
      </c>
      <c r="S718">
        <v>109.91</v>
      </c>
    </row>
    <row r="719" spans="1:19" x14ac:dyDescent="0.35">
      <c r="A719">
        <v>100717</v>
      </c>
      <c r="B719">
        <v>4296</v>
      </c>
      <c r="C719" t="s">
        <v>33</v>
      </c>
      <c r="D719" t="s">
        <v>29</v>
      </c>
      <c r="E719" t="s">
        <v>24</v>
      </c>
      <c r="F719" t="s">
        <v>32</v>
      </c>
      <c r="G719" s="1">
        <v>45148</v>
      </c>
      <c r="H719" s="1">
        <v>45152</v>
      </c>
      <c r="I719" s="1">
        <v>45154</v>
      </c>
      <c r="J719">
        <v>6</v>
      </c>
      <c r="K719">
        <v>4</v>
      </c>
      <c r="L719">
        <v>4</v>
      </c>
      <c r="M719">
        <v>500.91</v>
      </c>
      <c r="N719">
        <v>2003.64</v>
      </c>
      <c r="O719">
        <v>0.01</v>
      </c>
      <c r="P719">
        <v>20.04</v>
      </c>
      <c r="Q719">
        <v>1983.6</v>
      </c>
      <c r="R719">
        <v>1362.48</v>
      </c>
      <c r="S719">
        <v>621.12</v>
      </c>
    </row>
    <row r="720" spans="1:19" x14ac:dyDescent="0.35">
      <c r="A720">
        <v>100718</v>
      </c>
      <c r="B720">
        <v>2456</v>
      </c>
      <c r="C720" t="s">
        <v>33</v>
      </c>
      <c r="D720" t="s">
        <v>31</v>
      </c>
      <c r="E720" t="s">
        <v>24</v>
      </c>
      <c r="F720" t="s">
        <v>25</v>
      </c>
      <c r="G720" s="1">
        <v>45261</v>
      </c>
      <c r="H720" s="1">
        <v>45266</v>
      </c>
      <c r="I720" s="1">
        <v>45275</v>
      </c>
      <c r="J720">
        <v>14</v>
      </c>
      <c r="K720">
        <v>5</v>
      </c>
      <c r="L720">
        <v>7</v>
      </c>
      <c r="M720">
        <v>425.59</v>
      </c>
      <c r="N720">
        <v>2979.13</v>
      </c>
      <c r="O720">
        <v>7.0000000000000007E-2</v>
      </c>
      <c r="P720">
        <v>208.54</v>
      </c>
      <c r="Q720">
        <v>2770.59</v>
      </c>
      <c r="R720">
        <v>1817.27</v>
      </c>
      <c r="S720">
        <v>953.32</v>
      </c>
    </row>
    <row r="721" spans="1:19" x14ac:dyDescent="0.35">
      <c r="A721">
        <v>100719</v>
      </c>
      <c r="B721">
        <v>2673</v>
      </c>
      <c r="C721" t="s">
        <v>33</v>
      </c>
      <c r="D721" t="s">
        <v>31</v>
      </c>
      <c r="E721" t="s">
        <v>26</v>
      </c>
      <c r="F721" t="s">
        <v>27</v>
      </c>
      <c r="G721" s="1">
        <v>44993</v>
      </c>
      <c r="H721" s="1">
        <v>44995</v>
      </c>
      <c r="I721" s="1">
        <v>44997</v>
      </c>
      <c r="J721">
        <v>4</v>
      </c>
      <c r="K721">
        <v>2</v>
      </c>
      <c r="L721">
        <v>3</v>
      </c>
      <c r="M721">
        <v>658.54</v>
      </c>
      <c r="N721">
        <v>1975.62</v>
      </c>
      <c r="O721">
        <v>0.14000000000000001</v>
      </c>
      <c r="P721">
        <v>276.58999999999997</v>
      </c>
      <c r="Q721">
        <v>1699.03</v>
      </c>
      <c r="R721">
        <v>1264.4000000000001</v>
      </c>
      <c r="S721">
        <v>434.63</v>
      </c>
    </row>
    <row r="722" spans="1:19" x14ac:dyDescent="0.35">
      <c r="A722">
        <v>100720</v>
      </c>
      <c r="B722">
        <v>4734</v>
      </c>
      <c r="C722" t="s">
        <v>23</v>
      </c>
      <c r="D722" t="s">
        <v>20</v>
      </c>
      <c r="E722" t="s">
        <v>26</v>
      </c>
      <c r="F722" t="s">
        <v>44</v>
      </c>
      <c r="G722" s="1">
        <v>45256</v>
      </c>
      <c r="H722" s="1">
        <v>45258</v>
      </c>
      <c r="I722" s="1">
        <v>45283</v>
      </c>
      <c r="J722">
        <v>27</v>
      </c>
      <c r="K722">
        <v>2</v>
      </c>
      <c r="L722">
        <v>7</v>
      </c>
      <c r="M722">
        <v>455.08</v>
      </c>
      <c r="N722">
        <v>3185.56</v>
      </c>
      <c r="O722">
        <v>0.04</v>
      </c>
      <c r="P722">
        <v>127.42</v>
      </c>
      <c r="Q722">
        <v>3058.14</v>
      </c>
      <c r="R722">
        <v>1752.06</v>
      </c>
      <c r="S722">
        <v>1306.08</v>
      </c>
    </row>
    <row r="723" spans="1:19" x14ac:dyDescent="0.35">
      <c r="A723">
        <v>100721</v>
      </c>
      <c r="B723">
        <v>3506</v>
      </c>
      <c r="C723" t="s">
        <v>19</v>
      </c>
      <c r="D723" t="s">
        <v>20</v>
      </c>
      <c r="E723" t="s">
        <v>24</v>
      </c>
      <c r="F723" t="s">
        <v>42</v>
      </c>
      <c r="G723" s="1">
        <v>45130</v>
      </c>
      <c r="H723" s="1">
        <v>45134</v>
      </c>
      <c r="I723" s="1">
        <v>45143</v>
      </c>
      <c r="J723">
        <v>13</v>
      </c>
      <c r="K723">
        <v>4</v>
      </c>
      <c r="L723">
        <v>7</v>
      </c>
      <c r="M723">
        <v>685.01</v>
      </c>
      <c r="N723">
        <v>4795.07</v>
      </c>
      <c r="O723">
        <v>0.03</v>
      </c>
      <c r="P723">
        <v>143.85</v>
      </c>
      <c r="Q723">
        <v>4651.22</v>
      </c>
      <c r="R723">
        <v>3068.84</v>
      </c>
      <c r="S723">
        <v>1582.38</v>
      </c>
    </row>
    <row r="724" spans="1:19" x14ac:dyDescent="0.35">
      <c r="A724">
        <v>100722</v>
      </c>
      <c r="B724">
        <v>2468</v>
      </c>
      <c r="C724" t="s">
        <v>28</v>
      </c>
      <c r="D724" t="s">
        <v>29</v>
      </c>
      <c r="E724" t="s">
        <v>24</v>
      </c>
      <c r="F724" t="s">
        <v>30</v>
      </c>
      <c r="G724" s="1">
        <v>45048</v>
      </c>
      <c r="H724" s="1">
        <v>45050</v>
      </c>
      <c r="I724" s="1">
        <v>45059</v>
      </c>
      <c r="J724">
        <v>11</v>
      </c>
      <c r="K724">
        <v>2</v>
      </c>
      <c r="L724">
        <v>5</v>
      </c>
      <c r="M724">
        <v>776.16</v>
      </c>
      <c r="N724">
        <v>3880.8</v>
      </c>
      <c r="O724">
        <v>0.08</v>
      </c>
      <c r="P724">
        <v>310.45999999999998</v>
      </c>
      <c r="Q724">
        <v>3570.34</v>
      </c>
      <c r="R724">
        <v>2212.06</v>
      </c>
      <c r="S724">
        <v>1358.28</v>
      </c>
    </row>
    <row r="725" spans="1:19" x14ac:dyDescent="0.35">
      <c r="A725">
        <v>100723</v>
      </c>
      <c r="B725">
        <v>4569</v>
      </c>
      <c r="C725" t="s">
        <v>28</v>
      </c>
      <c r="D725" t="s">
        <v>29</v>
      </c>
      <c r="E725" t="s">
        <v>34</v>
      </c>
      <c r="F725" t="s">
        <v>45</v>
      </c>
      <c r="G725" s="1">
        <v>45248</v>
      </c>
      <c r="H725" s="1">
        <v>45253</v>
      </c>
      <c r="I725" s="1">
        <v>45253</v>
      </c>
      <c r="J725">
        <v>5</v>
      </c>
      <c r="K725">
        <v>5</v>
      </c>
      <c r="L725">
        <v>14</v>
      </c>
      <c r="M725">
        <v>587.26</v>
      </c>
      <c r="N725">
        <v>8221.64</v>
      </c>
      <c r="O725">
        <v>7.0000000000000007E-2</v>
      </c>
      <c r="P725">
        <v>575.51</v>
      </c>
      <c r="Q725">
        <v>7646.13</v>
      </c>
      <c r="R725">
        <v>5179.63</v>
      </c>
      <c r="S725">
        <v>2466.5</v>
      </c>
    </row>
    <row r="726" spans="1:19" x14ac:dyDescent="0.35">
      <c r="A726">
        <v>100724</v>
      </c>
      <c r="B726">
        <v>3606</v>
      </c>
      <c r="C726" t="s">
        <v>28</v>
      </c>
      <c r="D726" t="s">
        <v>20</v>
      </c>
      <c r="E726" t="s">
        <v>34</v>
      </c>
      <c r="F726" t="s">
        <v>45</v>
      </c>
      <c r="G726" s="1">
        <v>45118</v>
      </c>
      <c r="H726" s="1">
        <v>45121</v>
      </c>
      <c r="I726" s="1">
        <v>45130</v>
      </c>
      <c r="J726">
        <v>12</v>
      </c>
      <c r="K726">
        <v>3</v>
      </c>
      <c r="L726">
        <v>6</v>
      </c>
      <c r="M726">
        <v>382.91</v>
      </c>
      <c r="N726">
        <v>2297.46</v>
      </c>
      <c r="O726">
        <v>0.14000000000000001</v>
      </c>
      <c r="P726">
        <v>321.64</v>
      </c>
      <c r="Q726">
        <v>1975.82</v>
      </c>
      <c r="R726">
        <v>1608.22</v>
      </c>
      <c r="S726">
        <v>367.6</v>
      </c>
    </row>
    <row r="727" spans="1:19" x14ac:dyDescent="0.35">
      <c r="A727">
        <v>100725</v>
      </c>
      <c r="B727">
        <v>3283</v>
      </c>
      <c r="C727" t="s">
        <v>28</v>
      </c>
      <c r="D727" t="s">
        <v>20</v>
      </c>
      <c r="E727" t="s">
        <v>26</v>
      </c>
      <c r="F727" t="s">
        <v>37</v>
      </c>
      <c r="G727" s="1">
        <v>45008</v>
      </c>
      <c r="H727" s="1">
        <v>45013</v>
      </c>
      <c r="I727" s="1">
        <v>45034</v>
      </c>
      <c r="J727">
        <v>26</v>
      </c>
      <c r="K727">
        <v>5</v>
      </c>
      <c r="L727">
        <v>8</v>
      </c>
      <c r="M727">
        <v>417.71</v>
      </c>
      <c r="N727">
        <v>3341.68</v>
      </c>
      <c r="O727">
        <v>0.09</v>
      </c>
      <c r="P727">
        <v>300.75</v>
      </c>
      <c r="Q727">
        <v>3040.93</v>
      </c>
      <c r="R727">
        <v>2105.2600000000002</v>
      </c>
      <c r="S727">
        <v>935.67</v>
      </c>
    </row>
    <row r="728" spans="1:19" x14ac:dyDescent="0.35">
      <c r="A728">
        <v>100726</v>
      </c>
      <c r="B728">
        <v>4968</v>
      </c>
      <c r="C728" t="s">
        <v>28</v>
      </c>
      <c r="D728" t="s">
        <v>29</v>
      </c>
      <c r="E728" t="s">
        <v>21</v>
      </c>
      <c r="F728" t="s">
        <v>22</v>
      </c>
      <c r="G728" s="1">
        <v>45060</v>
      </c>
      <c r="H728" s="1">
        <v>45062</v>
      </c>
      <c r="I728" s="1">
        <v>45083</v>
      </c>
      <c r="J728">
        <v>23</v>
      </c>
      <c r="K728">
        <v>2</v>
      </c>
      <c r="L728">
        <v>11</v>
      </c>
      <c r="M728">
        <v>281.3</v>
      </c>
      <c r="N728">
        <v>3094.3</v>
      </c>
      <c r="O728">
        <v>0.05</v>
      </c>
      <c r="P728">
        <v>154.72</v>
      </c>
      <c r="Q728">
        <v>2939.58</v>
      </c>
      <c r="R728">
        <v>1887.52</v>
      </c>
      <c r="S728">
        <v>1052.06</v>
      </c>
    </row>
    <row r="729" spans="1:19" x14ac:dyDescent="0.35">
      <c r="A729">
        <v>100727</v>
      </c>
      <c r="B729">
        <v>4268</v>
      </c>
      <c r="C729" t="s">
        <v>28</v>
      </c>
      <c r="D729" t="s">
        <v>20</v>
      </c>
      <c r="E729" t="s">
        <v>26</v>
      </c>
      <c r="F729" t="s">
        <v>44</v>
      </c>
      <c r="G729" s="1">
        <v>45038</v>
      </c>
      <c r="H729" s="1">
        <v>45039</v>
      </c>
      <c r="I729" s="1">
        <v>45053</v>
      </c>
      <c r="J729">
        <v>15</v>
      </c>
      <c r="K729">
        <v>1</v>
      </c>
      <c r="L729">
        <v>14</v>
      </c>
      <c r="M729">
        <v>200.64</v>
      </c>
      <c r="N729">
        <v>2808.96</v>
      </c>
      <c r="O729">
        <v>0.09</v>
      </c>
      <c r="P729">
        <v>252.81</v>
      </c>
      <c r="Q729">
        <v>2556.15</v>
      </c>
      <c r="R729">
        <v>1741.56</v>
      </c>
      <c r="S729">
        <v>814.59</v>
      </c>
    </row>
    <row r="730" spans="1:19" x14ac:dyDescent="0.35">
      <c r="A730">
        <v>100728</v>
      </c>
      <c r="B730">
        <v>1097</v>
      </c>
      <c r="C730" t="s">
        <v>19</v>
      </c>
      <c r="D730" t="s">
        <v>31</v>
      </c>
      <c r="E730" t="s">
        <v>24</v>
      </c>
      <c r="F730" t="s">
        <v>25</v>
      </c>
      <c r="G730" s="1">
        <v>45093</v>
      </c>
      <c r="H730" s="1">
        <v>45094</v>
      </c>
      <c r="I730" s="1">
        <v>45107</v>
      </c>
      <c r="J730">
        <v>14</v>
      </c>
      <c r="K730">
        <v>1</v>
      </c>
      <c r="L730">
        <v>13</v>
      </c>
      <c r="M730">
        <v>520.62</v>
      </c>
      <c r="N730">
        <v>6768.06</v>
      </c>
      <c r="O730">
        <v>0.1</v>
      </c>
      <c r="P730">
        <v>676.81</v>
      </c>
      <c r="Q730">
        <v>6091.25</v>
      </c>
      <c r="R730">
        <v>3451.71</v>
      </c>
      <c r="S730">
        <v>2639.54</v>
      </c>
    </row>
    <row r="731" spans="1:19" x14ac:dyDescent="0.35">
      <c r="A731">
        <v>100729</v>
      </c>
      <c r="B731">
        <v>4253</v>
      </c>
      <c r="C731" t="s">
        <v>33</v>
      </c>
      <c r="D731" t="s">
        <v>31</v>
      </c>
      <c r="E731" t="s">
        <v>34</v>
      </c>
      <c r="F731" t="s">
        <v>40</v>
      </c>
      <c r="G731" s="1">
        <v>45278</v>
      </c>
      <c r="H731" s="1">
        <v>45280</v>
      </c>
      <c r="I731" s="1">
        <v>45285</v>
      </c>
      <c r="J731">
        <v>7</v>
      </c>
      <c r="K731">
        <v>2</v>
      </c>
      <c r="L731">
        <v>6</v>
      </c>
      <c r="M731">
        <v>484</v>
      </c>
      <c r="N731">
        <v>2904</v>
      </c>
      <c r="O731">
        <v>0.08</v>
      </c>
      <c r="P731">
        <v>232.32</v>
      </c>
      <c r="Q731">
        <v>2671.68</v>
      </c>
      <c r="R731">
        <v>1800.48</v>
      </c>
      <c r="S731">
        <v>871.2</v>
      </c>
    </row>
    <row r="732" spans="1:19" x14ac:dyDescent="0.35">
      <c r="A732">
        <v>100730</v>
      </c>
      <c r="B732">
        <v>3628</v>
      </c>
      <c r="C732" t="s">
        <v>33</v>
      </c>
      <c r="D732" t="s">
        <v>31</v>
      </c>
      <c r="E732" t="s">
        <v>21</v>
      </c>
      <c r="F732" t="s">
        <v>22</v>
      </c>
      <c r="G732" s="1">
        <v>44977</v>
      </c>
      <c r="H732" s="1">
        <v>44978</v>
      </c>
      <c r="I732" s="1">
        <v>45003</v>
      </c>
      <c r="J732">
        <v>26</v>
      </c>
      <c r="K732">
        <v>1</v>
      </c>
      <c r="L732">
        <v>13</v>
      </c>
      <c r="M732">
        <v>399.01</v>
      </c>
      <c r="N732">
        <v>5187.13</v>
      </c>
      <c r="O732">
        <v>0.08</v>
      </c>
      <c r="P732">
        <v>414.97</v>
      </c>
      <c r="Q732">
        <v>4772.16</v>
      </c>
      <c r="R732">
        <v>3164.15</v>
      </c>
      <c r="S732">
        <v>1608.01</v>
      </c>
    </row>
    <row r="733" spans="1:19" x14ac:dyDescent="0.35">
      <c r="A733">
        <v>100731</v>
      </c>
      <c r="B733">
        <v>4907</v>
      </c>
      <c r="C733" t="s">
        <v>28</v>
      </c>
      <c r="D733" t="s">
        <v>31</v>
      </c>
      <c r="E733" t="s">
        <v>26</v>
      </c>
      <c r="F733" t="s">
        <v>27</v>
      </c>
      <c r="G733" s="1">
        <v>45069</v>
      </c>
      <c r="H733" s="1">
        <v>45073</v>
      </c>
      <c r="I733" s="1">
        <v>45088</v>
      </c>
      <c r="J733">
        <v>19</v>
      </c>
      <c r="K733">
        <v>4</v>
      </c>
      <c r="L733">
        <v>1</v>
      </c>
      <c r="M733">
        <v>314.33</v>
      </c>
      <c r="N733">
        <v>314.33</v>
      </c>
      <c r="O733">
        <v>0.14000000000000001</v>
      </c>
      <c r="P733">
        <v>44.01</v>
      </c>
      <c r="Q733">
        <v>270.32</v>
      </c>
      <c r="R733">
        <v>185.45</v>
      </c>
      <c r="S733">
        <v>84.87</v>
      </c>
    </row>
    <row r="734" spans="1:19" x14ac:dyDescent="0.35">
      <c r="A734">
        <v>100732</v>
      </c>
      <c r="B734">
        <v>3392</v>
      </c>
      <c r="C734" t="s">
        <v>28</v>
      </c>
      <c r="D734" t="s">
        <v>31</v>
      </c>
      <c r="E734" t="s">
        <v>21</v>
      </c>
      <c r="F734" t="s">
        <v>39</v>
      </c>
      <c r="G734" s="1">
        <v>45047</v>
      </c>
      <c r="H734" s="1">
        <v>45050</v>
      </c>
      <c r="I734" s="1">
        <v>45076</v>
      </c>
      <c r="J734">
        <v>29</v>
      </c>
      <c r="K734">
        <v>3</v>
      </c>
      <c r="L734">
        <v>1</v>
      </c>
      <c r="M734">
        <v>685.09</v>
      </c>
      <c r="N734">
        <v>685.09</v>
      </c>
      <c r="O734">
        <v>0.06</v>
      </c>
      <c r="P734">
        <v>41.11</v>
      </c>
      <c r="Q734">
        <v>643.98</v>
      </c>
      <c r="R734">
        <v>445.31</v>
      </c>
      <c r="S734">
        <v>198.67</v>
      </c>
    </row>
    <row r="735" spans="1:19" x14ac:dyDescent="0.35">
      <c r="A735">
        <v>100733</v>
      </c>
      <c r="B735">
        <v>2817</v>
      </c>
      <c r="C735" t="s">
        <v>28</v>
      </c>
      <c r="D735" t="s">
        <v>29</v>
      </c>
      <c r="E735" t="s">
        <v>26</v>
      </c>
      <c r="F735" t="s">
        <v>27</v>
      </c>
      <c r="G735" s="1">
        <v>45136</v>
      </c>
      <c r="H735" s="1">
        <v>45139</v>
      </c>
      <c r="I735" s="1">
        <v>45149</v>
      </c>
      <c r="J735">
        <v>13</v>
      </c>
      <c r="K735">
        <v>3</v>
      </c>
      <c r="L735">
        <v>3</v>
      </c>
      <c r="M735">
        <v>116.88</v>
      </c>
      <c r="N735">
        <v>350.64</v>
      </c>
      <c r="O735">
        <v>0.08</v>
      </c>
      <c r="P735">
        <v>28.05</v>
      </c>
      <c r="Q735">
        <v>322.58999999999997</v>
      </c>
      <c r="R735">
        <v>192.85</v>
      </c>
      <c r="S735">
        <v>129.74</v>
      </c>
    </row>
    <row r="736" spans="1:19" x14ac:dyDescent="0.35">
      <c r="A736">
        <v>100734</v>
      </c>
      <c r="B736">
        <v>3746</v>
      </c>
      <c r="C736" t="s">
        <v>33</v>
      </c>
      <c r="D736" t="s">
        <v>31</v>
      </c>
      <c r="E736" t="s">
        <v>21</v>
      </c>
      <c r="F736" t="s">
        <v>22</v>
      </c>
      <c r="G736" s="1">
        <v>45188</v>
      </c>
      <c r="H736" s="1">
        <v>45189</v>
      </c>
      <c r="I736" s="1">
        <v>45207</v>
      </c>
      <c r="J736">
        <v>19</v>
      </c>
      <c r="K736">
        <v>1</v>
      </c>
      <c r="L736">
        <v>9</v>
      </c>
      <c r="M736">
        <v>246.41</v>
      </c>
      <c r="N736">
        <v>2217.69</v>
      </c>
      <c r="O736">
        <v>0.03</v>
      </c>
      <c r="P736">
        <v>66.53</v>
      </c>
      <c r="Q736">
        <v>2151.16</v>
      </c>
      <c r="R736">
        <v>1153.2</v>
      </c>
      <c r="S736">
        <v>997.96</v>
      </c>
    </row>
    <row r="737" spans="1:19" x14ac:dyDescent="0.35">
      <c r="A737">
        <v>100735</v>
      </c>
      <c r="B737">
        <v>2285</v>
      </c>
      <c r="C737" t="s">
        <v>28</v>
      </c>
      <c r="D737" t="s">
        <v>20</v>
      </c>
      <c r="E737" t="s">
        <v>24</v>
      </c>
      <c r="F737" t="s">
        <v>32</v>
      </c>
      <c r="G737" s="1">
        <v>45051</v>
      </c>
      <c r="H737" s="1">
        <v>45052</v>
      </c>
      <c r="I737" s="1">
        <v>45075</v>
      </c>
      <c r="J737">
        <v>24</v>
      </c>
      <c r="K737">
        <v>1</v>
      </c>
      <c r="L737">
        <v>8</v>
      </c>
      <c r="M737">
        <v>679.66</v>
      </c>
      <c r="N737">
        <v>5437.28</v>
      </c>
      <c r="O737">
        <v>7.0000000000000007E-2</v>
      </c>
      <c r="P737">
        <v>380.61</v>
      </c>
      <c r="Q737">
        <v>5056.67</v>
      </c>
      <c r="R737">
        <v>3425.49</v>
      </c>
      <c r="S737">
        <v>1631.18</v>
      </c>
    </row>
    <row r="738" spans="1:19" x14ac:dyDescent="0.35">
      <c r="A738">
        <v>100736</v>
      </c>
      <c r="B738">
        <v>3814</v>
      </c>
      <c r="C738" t="s">
        <v>28</v>
      </c>
      <c r="D738" t="s">
        <v>20</v>
      </c>
      <c r="E738" t="s">
        <v>21</v>
      </c>
      <c r="F738" t="s">
        <v>39</v>
      </c>
      <c r="G738" s="1">
        <v>45267</v>
      </c>
      <c r="H738" s="1">
        <v>45270</v>
      </c>
      <c r="I738" s="1">
        <v>45275</v>
      </c>
      <c r="J738">
        <v>8</v>
      </c>
      <c r="K738">
        <v>3</v>
      </c>
      <c r="L738">
        <v>9</v>
      </c>
      <c r="M738">
        <v>221.66</v>
      </c>
      <c r="N738">
        <v>1994.94</v>
      </c>
      <c r="O738">
        <v>0</v>
      </c>
      <c r="P738">
        <v>0</v>
      </c>
      <c r="Q738">
        <v>1994.94</v>
      </c>
      <c r="R738">
        <v>1376.51</v>
      </c>
      <c r="S738">
        <v>618.42999999999995</v>
      </c>
    </row>
    <row r="739" spans="1:19" x14ac:dyDescent="0.35">
      <c r="A739">
        <v>100737</v>
      </c>
      <c r="B739">
        <v>2525</v>
      </c>
      <c r="C739" t="s">
        <v>19</v>
      </c>
      <c r="D739" t="s">
        <v>20</v>
      </c>
      <c r="E739" t="s">
        <v>24</v>
      </c>
      <c r="F739" t="s">
        <v>32</v>
      </c>
      <c r="G739" s="1">
        <v>45051</v>
      </c>
      <c r="H739" s="1">
        <v>45053</v>
      </c>
      <c r="I739" s="1">
        <v>45079</v>
      </c>
      <c r="J739">
        <v>28</v>
      </c>
      <c r="K739">
        <v>2</v>
      </c>
      <c r="L739">
        <v>9</v>
      </c>
      <c r="M739">
        <v>174.72</v>
      </c>
      <c r="N739">
        <v>1572.48</v>
      </c>
      <c r="O739">
        <v>0.04</v>
      </c>
      <c r="P739">
        <v>62.9</v>
      </c>
      <c r="Q739">
        <v>1509.58</v>
      </c>
      <c r="R739">
        <v>1006.39</v>
      </c>
      <c r="S739">
        <v>503.19</v>
      </c>
    </row>
    <row r="740" spans="1:19" x14ac:dyDescent="0.35">
      <c r="A740">
        <v>100738</v>
      </c>
      <c r="B740">
        <v>1891</v>
      </c>
      <c r="C740" t="s">
        <v>28</v>
      </c>
      <c r="D740" t="s">
        <v>20</v>
      </c>
      <c r="E740" t="s">
        <v>24</v>
      </c>
      <c r="F740" t="s">
        <v>32</v>
      </c>
      <c r="G740" s="1">
        <v>44949</v>
      </c>
      <c r="H740" s="1">
        <v>44952</v>
      </c>
      <c r="I740" s="1">
        <v>44963</v>
      </c>
      <c r="J740">
        <v>14</v>
      </c>
      <c r="K740">
        <v>3</v>
      </c>
      <c r="L740">
        <v>9</v>
      </c>
      <c r="M740">
        <v>201.74</v>
      </c>
      <c r="N740">
        <v>1815.66</v>
      </c>
      <c r="O740">
        <v>0.15</v>
      </c>
      <c r="P740">
        <v>272.35000000000002</v>
      </c>
      <c r="Q740">
        <v>1543.31</v>
      </c>
      <c r="R740">
        <v>1053.08</v>
      </c>
      <c r="S740">
        <v>490.23</v>
      </c>
    </row>
    <row r="741" spans="1:19" x14ac:dyDescent="0.35">
      <c r="A741">
        <v>100739</v>
      </c>
      <c r="B741">
        <v>3999</v>
      </c>
      <c r="C741" t="s">
        <v>33</v>
      </c>
      <c r="D741" t="s">
        <v>20</v>
      </c>
      <c r="E741" t="s">
        <v>26</v>
      </c>
      <c r="F741" t="s">
        <v>37</v>
      </c>
      <c r="G741" s="1">
        <v>45165</v>
      </c>
      <c r="H741" s="1">
        <v>45170</v>
      </c>
      <c r="I741" s="1">
        <v>45168</v>
      </c>
      <c r="J741">
        <v>3</v>
      </c>
      <c r="K741">
        <v>5</v>
      </c>
      <c r="L741">
        <v>12</v>
      </c>
      <c r="M741">
        <v>173.47</v>
      </c>
      <c r="N741">
        <v>2081.64</v>
      </c>
      <c r="O741">
        <v>0.08</v>
      </c>
      <c r="P741">
        <v>166.53</v>
      </c>
      <c r="Q741">
        <v>1915.11</v>
      </c>
      <c r="R741">
        <v>1623.68</v>
      </c>
      <c r="S741">
        <v>291.43</v>
      </c>
    </row>
    <row r="742" spans="1:19" x14ac:dyDescent="0.35">
      <c r="A742">
        <v>100740</v>
      </c>
      <c r="B742">
        <v>3003</v>
      </c>
      <c r="C742" t="s">
        <v>33</v>
      </c>
      <c r="D742" t="s">
        <v>20</v>
      </c>
      <c r="E742" t="s">
        <v>21</v>
      </c>
      <c r="F742" t="s">
        <v>39</v>
      </c>
      <c r="G742" s="1">
        <v>45152</v>
      </c>
      <c r="H742" s="1">
        <v>45157</v>
      </c>
      <c r="I742" s="1">
        <v>45161</v>
      </c>
      <c r="J742">
        <v>9</v>
      </c>
      <c r="K742">
        <v>5</v>
      </c>
      <c r="L742">
        <v>8</v>
      </c>
      <c r="M742">
        <v>595.79999999999995</v>
      </c>
      <c r="N742">
        <v>4766.3999999999996</v>
      </c>
      <c r="O742">
        <v>0.06</v>
      </c>
      <c r="P742">
        <v>285.98</v>
      </c>
      <c r="Q742">
        <v>4480.42</v>
      </c>
      <c r="R742">
        <v>2716.85</v>
      </c>
      <c r="S742">
        <v>1763.57</v>
      </c>
    </row>
    <row r="743" spans="1:19" x14ac:dyDescent="0.35">
      <c r="A743">
        <v>100741</v>
      </c>
      <c r="B743">
        <v>4768</v>
      </c>
      <c r="C743" t="s">
        <v>28</v>
      </c>
      <c r="D743" t="s">
        <v>29</v>
      </c>
      <c r="E743" t="s">
        <v>26</v>
      </c>
      <c r="F743" t="s">
        <v>37</v>
      </c>
      <c r="G743" s="1">
        <v>45286</v>
      </c>
      <c r="H743" s="1">
        <v>45288</v>
      </c>
      <c r="I743" s="1">
        <v>45293</v>
      </c>
      <c r="J743">
        <v>7</v>
      </c>
      <c r="K743">
        <v>2</v>
      </c>
      <c r="L743">
        <v>3</v>
      </c>
      <c r="M743">
        <v>117.46</v>
      </c>
      <c r="N743">
        <v>352.38</v>
      </c>
      <c r="O743">
        <v>0.12</v>
      </c>
      <c r="P743">
        <v>42.29</v>
      </c>
      <c r="Q743">
        <v>310.08999999999997</v>
      </c>
      <c r="R743">
        <v>218.48</v>
      </c>
      <c r="S743">
        <v>91.61</v>
      </c>
    </row>
    <row r="744" spans="1:19" x14ac:dyDescent="0.35">
      <c r="A744">
        <v>100742</v>
      </c>
      <c r="B744">
        <v>1385</v>
      </c>
      <c r="C744" t="s">
        <v>33</v>
      </c>
      <c r="D744" t="s">
        <v>20</v>
      </c>
      <c r="E744" t="s">
        <v>26</v>
      </c>
      <c r="F744" t="s">
        <v>37</v>
      </c>
      <c r="G744" s="1">
        <v>44978</v>
      </c>
      <c r="H744" s="1">
        <v>44980</v>
      </c>
      <c r="I744" s="1">
        <v>45003</v>
      </c>
      <c r="J744">
        <v>25</v>
      </c>
      <c r="K744">
        <v>2</v>
      </c>
      <c r="L744">
        <v>3</v>
      </c>
      <c r="M744">
        <v>312.20999999999998</v>
      </c>
      <c r="N744">
        <v>936.63</v>
      </c>
      <c r="O744">
        <v>0.12</v>
      </c>
      <c r="P744">
        <v>112.4</v>
      </c>
      <c r="Q744">
        <v>824.23</v>
      </c>
      <c r="R744">
        <v>608.80999999999995</v>
      </c>
      <c r="S744">
        <v>215.42</v>
      </c>
    </row>
    <row r="745" spans="1:19" x14ac:dyDescent="0.35">
      <c r="A745">
        <v>100743</v>
      </c>
      <c r="B745">
        <v>4982</v>
      </c>
      <c r="C745" t="s">
        <v>33</v>
      </c>
      <c r="D745" t="s">
        <v>31</v>
      </c>
      <c r="E745" t="s">
        <v>26</v>
      </c>
      <c r="F745" t="s">
        <v>36</v>
      </c>
      <c r="G745" s="1">
        <v>45279</v>
      </c>
      <c r="H745" s="1">
        <v>45280</v>
      </c>
      <c r="I745" s="1">
        <v>45288</v>
      </c>
      <c r="J745">
        <v>9</v>
      </c>
      <c r="K745">
        <v>1</v>
      </c>
      <c r="L745">
        <v>14</v>
      </c>
      <c r="M745">
        <v>609.48</v>
      </c>
      <c r="N745">
        <v>8532.7199999999993</v>
      </c>
      <c r="O745">
        <v>0.04</v>
      </c>
      <c r="P745">
        <v>341.31</v>
      </c>
      <c r="Q745">
        <v>8191.41</v>
      </c>
      <c r="R745">
        <v>4863.6499999999996</v>
      </c>
      <c r="S745">
        <v>3327.76</v>
      </c>
    </row>
    <row r="746" spans="1:19" x14ac:dyDescent="0.35">
      <c r="A746">
        <v>100744</v>
      </c>
      <c r="B746">
        <v>4047</v>
      </c>
      <c r="C746" t="s">
        <v>23</v>
      </c>
      <c r="D746" t="s">
        <v>29</v>
      </c>
      <c r="E746" t="s">
        <v>21</v>
      </c>
      <c r="F746" t="s">
        <v>22</v>
      </c>
      <c r="G746" s="1">
        <v>45104</v>
      </c>
      <c r="H746" s="1">
        <v>45108</v>
      </c>
      <c r="I746" s="1">
        <v>45132</v>
      </c>
      <c r="J746">
        <v>28</v>
      </c>
      <c r="K746">
        <v>4</v>
      </c>
      <c r="L746">
        <v>5</v>
      </c>
      <c r="M746">
        <v>795.45</v>
      </c>
      <c r="N746">
        <v>3977.25</v>
      </c>
      <c r="O746">
        <v>0.02</v>
      </c>
      <c r="P746">
        <v>79.540000000000006</v>
      </c>
      <c r="Q746">
        <v>3897.7</v>
      </c>
      <c r="R746">
        <v>2386.35</v>
      </c>
      <c r="S746">
        <v>1511.35</v>
      </c>
    </row>
    <row r="747" spans="1:19" x14ac:dyDescent="0.35">
      <c r="A747">
        <v>100745</v>
      </c>
      <c r="B747">
        <v>2077</v>
      </c>
      <c r="C747" t="s">
        <v>19</v>
      </c>
      <c r="D747" t="s">
        <v>31</v>
      </c>
      <c r="E747" t="s">
        <v>34</v>
      </c>
      <c r="F747" t="s">
        <v>40</v>
      </c>
      <c r="G747" s="1">
        <v>45237</v>
      </c>
      <c r="H747" s="1">
        <v>45239</v>
      </c>
      <c r="I747" s="1">
        <v>45246</v>
      </c>
      <c r="J747">
        <v>9</v>
      </c>
      <c r="K747">
        <v>2</v>
      </c>
      <c r="L747">
        <v>9</v>
      </c>
      <c r="M747">
        <v>311.72000000000003</v>
      </c>
      <c r="N747">
        <v>2805.48</v>
      </c>
      <c r="O747">
        <v>0.08</v>
      </c>
      <c r="P747">
        <v>224.44</v>
      </c>
      <c r="Q747">
        <v>2581.04</v>
      </c>
      <c r="R747">
        <v>1683.29</v>
      </c>
      <c r="S747">
        <v>897.75</v>
      </c>
    </row>
    <row r="748" spans="1:19" x14ac:dyDescent="0.35">
      <c r="A748">
        <v>100746</v>
      </c>
      <c r="B748">
        <v>1381</v>
      </c>
      <c r="C748" t="s">
        <v>23</v>
      </c>
      <c r="D748" t="s">
        <v>31</v>
      </c>
      <c r="E748" t="s">
        <v>21</v>
      </c>
      <c r="F748" t="s">
        <v>38</v>
      </c>
      <c r="G748" s="1">
        <v>44943</v>
      </c>
      <c r="H748" s="1">
        <v>44944</v>
      </c>
      <c r="I748" s="1">
        <v>44952</v>
      </c>
      <c r="J748">
        <v>9</v>
      </c>
      <c r="K748">
        <v>1</v>
      </c>
      <c r="L748">
        <v>8</v>
      </c>
      <c r="M748">
        <v>49.28</v>
      </c>
      <c r="N748">
        <v>394.24</v>
      </c>
      <c r="O748">
        <v>0.05</v>
      </c>
      <c r="P748">
        <v>19.71</v>
      </c>
      <c r="Q748">
        <v>374.53</v>
      </c>
      <c r="R748">
        <v>264.14</v>
      </c>
      <c r="S748">
        <v>110.39</v>
      </c>
    </row>
    <row r="749" spans="1:19" x14ac:dyDescent="0.35">
      <c r="A749">
        <v>100747</v>
      </c>
      <c r="B749">
        <v>3310</v>
      </c>
      <c r="C749" t="s">
        <v>33</v>
      </c>
      <c r="D749" t="s">
        <v>31</v>
      </c>
      <c r="E749" t="s">
        <v>34</v>
      </c>
      <c r="F749" t="s">
        <v>35</v>
      </c>
      <c r="G749" s="1">
        <v>45042</v>
      </c>
      <c r="H749" s="1">
        <v>45044</v>
      </c>
      <c r="I749" s="1">
        <v>45061</v>
      </c>
      <c r="J749">
        <v>19</v>
      </c>
      <c r="K749">
        <v>2</v>
      </c>
      <c r="L749">
        <v>13</v>
      </c>
      <c r="M749">
        <v>95.57</v>
      </c>
      <c r="N749">
        <v>1242.4100000000001</v>
      </c>
      <c r="O749">
        <v>0.01</v>
      </c>
      <c r="P749">
        <v>12.42</v>
      </c>
      <c r="Q749">
        <v>1229.99</v>
      </c>
      <c r="R749">
        <v>745.45</v>
      </c>
      <c r="S749">
        <v>484.54</v>
      </c>
    </row>
    <row r="750" spans="1:19" x14ac:dyDescent="0.35">
      <c r="A750">
        <v>100748</v>
      </c>
      <c r="B750">
        <v>4801</v>
      </c>
      <c r="C750" t="s">
        <v>19</v>
      </c>
      <c r="D750" t="s">
        <v>31</v>
      </c>
      <c r="E750" t="s">
        <v>21</v>
      </c>
      <c r="F750" t="s">
        <v>41</v>
      </c>
      <c r="G750" s="1">
        <v>45226</v>
      </c>
      <c r="H750" s="1">
        <v>45231</v>
      </c>
      <c r="I750" s="1">
        <v>45232</v>
      </c>
      <c r="J750">
        <v>6</v>
      </c>
      <c r="K750">
        <v>5</v>
      </c>
      <c r="L750">
        <v>1</v>
      </c>
      <c r="M750">
        <v>247.64</v>
      </c>
      <c r="N750">
        <v>247.64</v>
      </c>
      <c r="O750">
        <v>0.1</v>
      </c>
      <c r="P750">
        <v>24.76</v>
      </c>
      <c r="Q750">
        <v>222.88</v>
      </c>
      <c r="R750">
        <v>148.58000000000001</v>
      </c>
      <c r="S750">
        <v>74.3</v>
      </c>
    </row>
    <row r="751" spans="1:19" x14ac:dyDescent="0.35">
      <c r="A751">
        <v>100749</v>
      </c>
      <c r="B751">
        <v>2768</v>
      </c>
      <c r="C751" t="s">
        <v>19</v>
      </c>
      <c r="D751" t="s">
        <v>31</v>
      </c>
      <c r="E751" t="s">
        <v>21</v>
      </c>
      <c r="F751" t="s">
        <v>41</v>
      </c>
      <c r="G751" s="1">
        <v>45074</v>
      </c>
      <c r="H751" s="1">
        <v>45079</v>
      </c>
      <c r="I751" s="1">
        <v>45099</v>
      </c>
      <c r="J751">
        <v>25</v>
      </c>
      <c r="K751">
        <v>5</v>
      </c>
      <c r="L751">
        <v>7</v>
      </c>
      <c r="M751">
        <v>794.2</v>
      </c>
      <c r="N751">
        <v>5559.4</v>
      </c>
      <c r="O751">
        <v>7.0000000000000007E-2</v>
      </c>
      <c r="P751">
        <v>389.16</v>
      </c>
      <c r="Q751">
        <v>5170.24</v>
      </c>
      <c r="R751">
        <v>3891.58</v>
      </c>
      <c r="S751">
        <v>1278.6600000000001</v>
      </c>
    </row>
    <row r="752" spans="1:19" x14ac:dyDescent="0.35">
      <c r="A752">
        <v>100750</v>
      </c>
      <c r="B752">
        <v>3112</v>
      </c>
      <c r="C752" t="s">
        <v>33</v>
      </c>
      <c r="D752" t="s">
        <v>29</v>
      </c>
      <c r="E752" t="s">
        <v>34</v>
      </c>
      <c r="F752" t="s">
        <v>45</v>
      </c>
      <c r="G752" s="1">
        <v>45201</v>
      </c>
      <c r="H752" s="1">
        <v>45206</v>
      </c>
      <c r="I752" s="1">
        <v>45222</v>
      </c>
      <c r="J752">
        <v>21</v>
      </c>
      <c r="K752">
        <v>5</v>
      </c>
      <c r="L752">
        <v>7</v>
      </c>
      <c r="M752">
        <v>346.15</v>
      </c>
      <c r="N752">
        <v>2423.0500000000002</v>
      </c>
      <c r="O752">
        <v>0.05</v>
      </c>
      <c r="P752">
        <v>121.15</v>
      </c>
      <c r="Q752">
        <v>2301.9</v>
      </c>
      <c r="R752">
        <v>1550.75</v>
      </c>
      <c r="S752">
        <v>751.15</v>
      </c>
    </row>
    <row r="753" spans="1:19" x14ac:dyDescent="0.35">
      <c r="A753">
        <v>100751</v>
      </c>
      <c r="B753">
        <v>3211</v>
      </c>
      <c r="C753" t="s">
        <v>33</v>
      </c>
      <c r="D753" t="s">
        <v>31</v>
      </c>
      <c r="E753" t="s">
        <v>34</v>
      </c>
      <c r="F753" t="s">
        <v>43</v>
      </c>
      <c r="G753" s="1">
        <v>45137</v>
      </c>
      <c r="H753" s="1">
        <v>45140</v>
      </c>
      <c r="I753" s="1">
        <v>45150</v>
      </c>
      <c r="J753">
        <v>13</v>
      </c>
      <c r="K753">
        <v>3</v>
      </c>
      <c r="L753">
        <v>11</v>
      </c>
      <c r="M753">
        <v>171.95</v>
      </c>
      <c r="N753">
        <v>1891.45</v>
      </c>
      <c r="O753">
        <v>7.0000000000000007E-2</v>
      </c>
      <c r="P753">
        <v>132.4</v>
      </c>
      <c r="Q753">
        <v>1759.05</v>
      </c>
      <c r="R753">
        <v>1286.19</v>
      </c>
      <c r="S753">
        <v>472.86</v>
      </c>
    </row>
    <row r="754" spans="1:19" x14ac:dyDescent="0.35">
      <c r="A754">
        <v>100752</v>
      </c>
      <c r="B754">
        <v>3825</v>
      </c>
      <c r="C754" t="s">
        <v>23</v>
      </c>
      <c r="D754" t="s">
        <v>29</v>
      </c>
      <c r="E754" t="s">
        <v>34</v>
      </c>
      <c r="F754" t="s">
        <v>43</v>
      </c>
      <c r="G754" s="1">
        <v>44927</v>
      </c>
      <c r="H754" s="1">
        <v>44928</v>
      </c>
      <c r="I754" s="1">
        <v>44936</v>
      </c>
      <c r="J754">
        <v>9</v>
      </c>
      <c r="K754">
        <v>1</v>
      </c>
      <c r="L754">
        <v>12</v>
      </c>
      <c r="M754">
        <v>268.39999999999998</v>
      </c>
      <c r="N754">
        <v>3220.8</v>
      </c>
      <c r="O754">
        <v>0.04</v>
      </c>
      <c r="P754">
        <v>128.83000000000001</v>
      </c>
      <c r="Q754">
        <v>3091.97</v>
      </c>
      <c r="R754">
        <v>2061.31</v>
      </c>
      <c r="S754">
        <v>1030.6600000000001</v>
      </c>
    </row>
    <row r="755" spans="1:19" x14ac:dyDescent="0.35">
      <c r="A755">
        <v>100753</v>
      </c>
      <c r="B755">
        <v>4828</v>
      </c>
      <c r="C755" t="s">
        <v>33</v>
      </c>
      <c r="D755" t="s">
        <v>29</v>
      </c>
      <c r="E755" t="s">
        <v>24</v>
      </c>
      <c r="F755" t="s">
        <v>32</v>
      </c>
      <c r="G755" s="1">
        <v>44939</v>
      </c>
      <c r="H755" s="1">
        <v>44940</v>
      </c>
      <c r="I755" s="1">
        <v>44946</v>
      </c>
      <c r="J755">
        <v>7</v>
      </c>
      <c r="K755">
        <v>1</v>
      </c>
      <c r="L755">
        <v>5</v>
      </c>
      <c r="M755">
        <v>585.41999999999996</v>
      </c>
      <c r="N755">
        <v>2927.1</v>
      </c>
      <c r="O755">
        <v>0.09</v>
      </c>
      <c r="P755">
        <v>263.44</v>
      </c>
      <c r="Q755">
        <v>2663.66</v>
      </c>
      <c r="R755">
        <v>1639.18</v>
      </c>
      <c r="S755">
        <v>1024.48</v>
      </c>
    </row>
    <row r="756" spans="1:19" x14ac:dyDescent="0.35">
      <c r="A756">
        <v>100754</v>
      </c>
      <c r="B756">
        <v>4859</v>
      </c>
      <c r="C756" t="s">
        <v>33</v>
      </c>
      <c r="D756" t="s">
        <v>20</v>
      </c>
      <c r="E756" t="s">
        <v>26</v>
      </c>
      <c r="F756" t="s">
        <v>44</v>
      </c>
      <c r="G756" s="1">
        <v>44972</v>
      </c>
      <c r="H756" s="1">
        <v>44977</v>
      </c>
      <c r="I756" s="1">
        <v>44986</v>
      </c>
      <c r="J756">
        <v>14</v>
      </c>
      <c r="K756">
        <v>5</v>
      </c>
      <c r="L756">
        <v>12</v>
      </c>
      <c r="M756">
        <v>353.91</v>
      </c>
      <c r="N756">
        <v>4246.92</v>
      </c>
      <c r="O756">
        <v>0.08</v>
      </c>
      <c r="P756">
        <v>339.75</v>
      </c>
      <c r="Q756">
        <v>3907.17</v>
      </c>
      <c r="R756">
        <v>2505.6799999999998</v>
      </c>
      <c r="S756">
        <v>1401.49</v>
      </c>
    </row>
    <row r="757" spans="1:19" x14ac:dyDescent="0.35">
      <c r="A757">
        <v>100755</v>
      </c>
      <c r="B757">
        <v>2029</v>
      </c>
      <c r="C757" t="s">
        <v>23</v>
      </c>
      <c r="D757" t="s">
        <v>31</v>
      </c>
      <c r="E757" t="s">
        <v>26</v>
      </c>
      <c r="F757" t="s">
        <v>36</v>
      </c>
      <c r="G757" s="1">
        <v>45204</v>
      </c>
      <c r="H757" s="1">
        <v>45206</v>
      </c>
      <c r="I757" s="1">
        <v>45233</v>
      </c>
      <c r="J757">
        <v>29</v>
      </c>
      <c r="K757">
        <v>2</v>
      </c>
      <c r="L757">
        <v>4</v>
      </c>
      <c r="M757">
        <v>216.98</v>
      </c>
      <c r="N757">
        <v>867.92</v>
      </c>
      <c r="O757">
        <v>0.09</v>
      </c>
      <c r="P757">
        <v>78.11</v>
      </c>
      <c r="Q757">
        <v>789.81</v>
      </c>
      <c r="R757">
        <v>486.04</v>
      </c>
      <c r="S757">
        <v>303.77</v>
      </c>
    </row>
    <row r="758" spans="1:19" x14ac:dyDescent="0.35">
      <c r="A758">
        <v>100756</v>
      </c>
      <c r="B758">
        <v>1829</v>
      </c>
      <c r="C758" t="s">
        <v>19</v>
      </c>
      <c r="D758" t="s">
        <v>29</v>
      </c>
      <c r="E758" t="s">
        <v>24</v>
      </c>
      <c r="F758" t="s">
        <v>42</v>
      </c>
      <c r="G758" s="1">
        <v>45199</v>
      </c>
      <c r="H758" s="1">
        <v>45202</v>
      </c>
      <c r="I758" s="1">
        <v>45211</v>
      </c>
      <c r="J758">
        <v>12</v>
      </c>
      <c r="K758">
        <v>3</v>
      </c>
      <c r="L758">
        <v>7</v>
      </c>
      <c r="M758">
        <v>471.32</v>
      </c>
      <c r="N758">
        <v>3299.24</v>
      </c>
      <c r="O758">
        <v>0.14000000000000001</v>
      </c>
      <c r="P758">
        <v>461.89</v>
      </c>
      <c r="Q758">
        <v>2837.35</v>
      </c>
      <c r="R758">
        <v>2012.54</v>
      </c>
      <c r="S758">
        <v>824.81</v>
      </c>
    </row>
    <row r="759" spans="1:19" x14ac:dyDescent="0.35">
      <c r="A759">
        <v>100757</v>
      </c>
      <c r="B759">
        <v>1653</v>
      </c>
      <c r="C759" t="s">
        <v>28</v>
      </c>
      <c r="D759" t="s">
        <v>31</v>
      </c>
      <c r="E759" t="s">
        <v>34</v>
      </c>
      <c r="F759" t="s">
        <v>40</v>
      </c>
      <c r="G759" s="1">
        <v>45101</v>
      </c>
      <c r="H759" s="1">
        <v>45104</v>
      </c>
      <c r="I759" s="1">
        <v>45113</v>
      </c>
      <c r="J759">
        <v>12</v>
      </c>
      <c r="K759">
        <v>3</v>
      </c>
      <c r="L759">
        <v>3</v>
      </c>
      <c r="M759">
        <v>277.52</v>
      </c>
      <c r="N759">
        <v>832.56</v>
      </c>
      <c r="O759">
        <v>0.06</v>
      </c>
      <c r="P759">
        <v>49.95</v>
      </c>
      <c r="Q759">
        <v>782.61</v>
      </c>
      <c r="R759">
        <v>549.49</v>
      </c>
      <c r="S759">
        <v>233.12</v>
      </c>
    </row>
    <row r="760" spans="1:19" x14ac:dyDescent="0.35">
      <c r="A760">
        <v>100758</v>
      </c>
      <c r="B760">
        <v>3995</v>
      </c>
      <c r="C760" t="s">
        <v>19</v>
      </c>
      <c r="D760" t="s">
        <v>29</v>
      </c>
      <c r="E760" t="s">
        <v>24</v>
      </c>
      <c r="F760" t="s">
        <v>32</v>
      </c>
      <c r="G760" s="1">
        <v>45198</v>
      </c>
      <c r="H760" s="1">
        <v>45203</v>
      </c>
      <c r="I760" s="1">
        <v>45213</v>
      </c>
      <c r="J760">
        <v>15</v>
      </c>
      <c r="K760">
        <v>5</v>
      </c>
      <c r="L760">
        <v>2</v>
      </c>
      <c r="M760">
        <v>136.99</v>
      </c>
      <c r="N760">
        <v>273.98</v>
      </c>
      <c r="O760">
        <v>0.06</v>
      </c>
      <c r="P760">
        <v>16.440000000000001</v>
      </c>
      <c r="Q760">
        <v>257.54000000000002</v>
      </c>
      <c r="R760">
        <v>158.91</v>
      </c>
      <c r="S760">
        <v>98.63</v>
      </c>
    </row>
    <row r="761" spans="1:19" x14ac:dyDescent="0.35">
      <c r="A761">
        <v>100759</v>
      </c>
      <c r="B761">
        <v>3290</v>
      </c>
      <c r="C761" t="s">
        <v>28</v>
      </c>
      <c r="D761" t="s">
        <v>31</v>
      </c>
      <c r="E761" t="s">
        <v>34</v>
      </c>
      <c r="F761" t="s">
        <v>43</v>
      </c>
      <c r="G761" s="1">
        <v>45289</v>
      </c>
      <c r="H761" s="1">
        <v>45290</v>
      </c>
      <c r="I761" s="1">
        <v>45307</v>
      </c>
      <c r="J761">
        <v>18</v>
      </c>
      <c r="K761">
        <v>1</v>
      </c>
      <c r="L761">
        <v>9</v>
      </c>
      <c r="M761">
        <v>104.34</v>
      </c>
      <c r="N761">
        <v>939.06</v>
      </c>
      <c r="O761">
        <v>0.04</v>
      </c>
      <c r="P761">
        <v>37.56</v>
      </c>
      <c r="Q761">
        <v>901.5</v>
      </c>
      <c r="R761">
        <v>582.22</v>
      </c>
      <c r="S761">
        <v>319.27999999999997</v>
      </c>
    </row>
    <row r="762" spans="1:19" x14ac:dyDescent="0.35">
      <c r="A762">
        <v>100760</v>
      </c>
      <c r="B762">
        <v>2384</v>
      </c>
      <c r="C762" t="s">
        <v>23</v>
      </c>
      <c r="D762" t="s">
        <v>20</v>
      </c>
      <c r="E762" t="s">
        <v>21</v>
      </c>
      <c r="F762" t="s">
        <v>38</v>
      </c>
      <c r="G762" s="1">
        <v>45177</v>
      </c>
      <c r="H762" s="1">
        <v>45182</v>
      </c>
      <c r="I762" s="1">
        <v>45194</v>
      </c>
      <c r="J762">
        <v>17</v>
      </c>
      <c r="K762">
        <v>5</v>
      </c>
      <c r="L762">
        <v>10</v>
      </c>
      <c r="M762">
        <v>624.45000000000005</v>
      </c>
      <c r="N762">
        <v>6244.5</v>
      </c>
      <c r="O762">
        <v>0.09</v>
      </c>
      <c r="P762">
        <v>562</v>
      </c>
      <c r="Q762">
        <v>5682.5</v>
      </c>
      <c r="R762">
        <v>4058.92</v>
      </c>
      <c r="S762">
        <v>1623.58</v>
      </c>
    </row>
    <row r="763" spans="1:19" x14ac:dyDescent="0.35">
      <c r="A763">
        <v>100761</v>
      </c>
      <c r="B763">
        <v>4742</v>
      </c>
      <c r="C763" t="s">
        <v>33</v>
      </c>
      <c r="D763" t="s">
        <v>29</v>
      </c>
      <c r="E763" t="s">
        <v>26</v>
      </c>
      <c r="F763" t="s">
        <v>37</v>
      </c>
      <c r="G763" s="1">
        <v>45129</v>
      </c>
      <c r="H763" s="1">
        <v>45132</v>
      </c>
      <c r="I763" s="1">
        <v>45144</v>
      </c>
      <c r="J763">
        <v>15</v>
      </c>
      <c r="K763">
        <v>3</v>
      </c>
      <c r="L763">
        <v>2</v>
      </c>
      <c r="M763">
        <v>590.07000000000005</v>
      </c>
      <c r="N763">
        <v>1180.1400000000001</v>
      </c>
      <c r="O763">
        <v>0.01</v>
      </c>
      <c r="P763">
        <v>11.8</v>
      </c>
      <c r="Q763">
        <v>1168.3399999999999</v>
      </c>
      <c r="R763">
        <v>755.29</v>
      </c>
      <c r="S763">
        <v>413.05</v>
      </c>
    </row>
    <row r="764" spans="1:19" x14ac:dyDescent="0.35">
      <c r="A764">
        <v>100762</v>
      </c>
      <c r="B764">
        <v>1521</v>
      </c>
      <c r="C764" t="s">
        <v>23</v>
      </c>
      <c r="D764" t="s">
        <v>20</v>
      </c>
      <c r="E764" t="s">
        <v>21</v>
      </c>
      <c r="F764" t="s">
        <v>41</v>
      </c>
      <c r="G764" s="1">
        <v>45016</v>
      </c>
      <c r="H764" s="1">
        <v>45021</v>
      </c>
      <c r="I764" s="1">
        <v>45023</v>
      </c>
      <c r="J764">
        <v>7</v>
      </c>
      <c r="K764">
        <v>5</v>
      </c>
      <c r="L764">
        <v>14</v>
      </c>
      <c r="M764">
        <v>781.45</v>
      </c>
      <c r="N764">
        <v>10940.3</v>
      </c>
      <c r="O764">
        <v>7.0000000000000007E-2</v>
      </c>
      <c r="P764">
        <v>765.82</v>
      </c>
      <c r="Q764">
        <v>10174.48</v>
      </c>
      <c r="R764">
        <v>6345.37</v>
      </c>
      <c r="S764">
        <v>3829.11</v>
      </c>
    </row>
    <row r="765" spans="1:19" x14ac:dyDescent="0.35">
      <c r="A765">
        <v>100763</v>
      </c>
      <c r="B765">
        <v>3343</v>
      </c>
      <c r="C765" t="s">
        <v>23</v>
      </c>
      <c r="D765" t="s">
        <v>20</v>
      </c>
      <c r="E765" t="s">
        <v>24</v>
      </c>
      <c r="F765" t="s">
        <v>25</v>
      </c>
      <c r="G765" s="1">
        <v>45247</v>
      </c>
      <c r="H765" s="1">
        <v>45251</v>
      </c>
      <c r="I765" s="1">
        <v>45272</v>
      </c>
      <c r="J765">
        <v>25</v>
      </c>
      <c r="K765">
        <v>4</v>
      </c>
      <c r="L765">
        <v>12</v>
      </c>
      <c r="M765">
        <v>600.91999999999996</v>
      </c>
      <c r="N765">
        <v>7211.04</v>
      </c>
      <c r="O765">
        <v>7.0000000000000007E-2</v>
      </c>
      <c r="P765">
        <v>504.77</v>
      </c>
      <c r="Q765">
        <v>6706.27</v>
      </c>
      <c r="R765">
        <v>4254.51</v>
      </c>
      <c r="S765">
        <v>2451.7600000000002</v>
      </c>
    </row>
    <row r="766" spans="1:19" x14ac:dyDescent="0.35">
      <c r="A766">
        <v>100764</v>
      </c>
      <c r="B766">
        <v>2097</v>
      </c>
      <c r="C766" t="s">
        <v>19</v>
      </c>
      <c r="D766" t="s">
        <v>31</v>
      </c>
      <c r="E766" t="s">
        <v>24</v>
      </c>
      <c r="F766" t="s">
        <v>30</v>
      </c>
      <c r="G766" s="1">
        <v>45015</v>
      </c>
      <c r="H766" s="1">
        <v>45018</v>
      </c>
      <c r="I766" s="1">
        <v>45040</v>
      </c>
      <c r="J766">
        <v>25</v>
      </c>
      <c r="K766">
        <v>3</v>
      </c>
      <c r="L766">
        <v>10</v>
      </c>
      <c r="M766">
        <v>384.14</v>
      </c>
      <c r="N766">
        <v>3841.4</v>
      </c>
      <c r="O766">
        <v>0.09</v>
      </c>
      <c r="P766">
        <v>345.73</v>
      </c>
      <c r="Q766">
        <v>3495.67</v>
      </c>
      <c r="R766">
        <v>2765.81</v>
      </c>
      <c r="S766">
        <v>729.86</v>
      </c>
    </row>
    <row r="767" spans="1:19" x14ac:dyDescent="0.35">
      <c r="A767">
        <v>100765</v>
      </c>
      <c r="B767">
        <v>3187</v>
      </c>
      <c r="C767" t="s">
        <v>23</v>
      </c>
      <c r="D767" t="s">
        <v>20</v>
      </c>
      <c r="E767" t="s">
        <v>34</v>
      </c>
      <c r="F767" t="s">
        <v>40</v>
      </c>
      <c r="G767" s="1">
        <v>44959</v>
      </c>
      <c r="H767" s="1">
        <v>44963</v>
      </c>
      <c r="I767" s="1">
        <v>44987</v>
      </c>
      <c r="J767">
        <v>28</v>
      </c>
      <c r="K767">
        <v>4</v>
      </c>
      <c r="L767">
        <v>2</v>
      </c>
      <c r="M767">
        <v>140.71</v>
      </c>
      <c r="N767">
        <v>281.42</v>
      </c>
      <c r="O767">
        <v>0.04</v>
      </c>
      <c r="P767">
        <v>11.26</v>
      </c>
      <c r="Q767">
        <v>270.16000000000003</v>
      </c>
      <c r="R767">
        <v>182.92</v>
      </c>
      <c r="S767">
        <v>87.24</v>
      </c>
    </row>
    <row r="768" spans="1:19" x14ac:dyDescent="0.35">
      <c r="A768">
        <v>100766</v>
      </c>
      <c r="B768">
        <v>3891</v>
      </c>
      <c r="C768" t="s">
        <v>23</v>
      </c>
      <c r="D768" t="s">
        <v>29</v>
      </c>
      <c r="E768" t="s">
        <v>26</v>
      </c>
      <c r="F768" t="s">
        <v>37</v>
      </c>
      <c r="G768" s="1">
        <v>44966</v>
      </c>
      <c r="H768" s="1">
        <v>44967</v>
      </c>
      <c r="I768" s="1">
        <v>44991</v>
      </c>
      <c r="J768">
        <v>25</v>
      </c>
      <c r="K768">
        <v>1</v>
      </c>
      <c r="L768">
        <v>2</v>
      </c>
      <c r="M768">
        <v>689.77</v>
      </c>
      <c r="N768">
        <v>1379.54</v>
      </c>
      <c r="O768">
        <v>0.09</v>
      </c>
      <c r="P768">
        <v>124.16</v>
      </c>
      <c r="Q768">
        <v>1255.3800000000001</v>
      </c>
      <c r="R768">
        <v>827.72</v>
      </c>
      <c r="S768">
        <v>427.66</v>
      </c>
    </row>
    <row r="769" spans="1:19" x14ac:dyDescent="0.35">
      <c r="A769">
        <v>100767</v>
      </c>
      <c r="B769">
        <v>2884</v>
      </c>
      <c r="C769" t="s">
        <v>28</v>
      </c>
      <c r="D769" t="s">
        <v>29</v>
      </c>
      <c r="E769" t="s">
        <v>34</v>
      </c>
      <c r="F769" t="s">
        <v>40</v>
      </c>
      <c r="G769" s="1">
        <v>45103</v>
      </c>
      <c r="H769" s="1">
        <v>45108</v>
      </c>
      <c r="I769" s="1">
        <v>45125</v>
      </c>
      <c r="J769">
        <v>22</v>
      </c>
      <c r="K769">
        <v>5</v>
      </c>
      <c r="L769">
        <v>9</v>
      </c>
      <c r="M769">
        <v>340.54</v>
      </c>
      <c r="N769">
        <v>3064.86</v>
      </c>
      <c r="O769">
        <v>0.13</v>
      </c>
      <c r="P769">
        <v>398.43</v>
      </c>
      <c r="Q769">
        <v>2666.43</v>
      </c>
      <c r="R769">
        <v>2114.75</v>
      </c>
      <c r="S769">
        <v>551.67999999999995</v>
      </c>
    </row>
    <row r="770" spans="1:19" x14ac:dyDescent="0.35">
      <c r="A770">
        <v>100768</v>
      </c>
      <c r="B770">
        <v>2305</v>
      </c>
      <c r="C770" t="s">
        <v>19</v>
      </c>
      <c r="D770" t="s">
        <v>29</v>
      </c>
      <c r="E770" t="s">
        <v>34</v>
      </c>
      <c r="F770" t="s">
        <v>40</v>
      </c>
      <c r="G770" s="1">
        <v>45049</v>
      </c>
      <c r="H770" s="1">
        <v>45052</v>
      </c>
      <c r="I770" s="1">
        <v>45051</v>
      </c>
      <c r="J770">
        <v>2</v>
      </c>
      <c r="K770">
        <v>3</v>
      </c>
      <c r="L770">
        <v>6</v>
      </c>
      <c r="M770">
        <v>573.84</v>
      </c>
      <c r="N770">
        <v>3443.04</v>
      </c>
      <c r="O770">
        <v>0.1</v>
      </c>
      <c r="P770">
        <v>344.3</v>
      </c>
      <c r="Q770">
        <v>3098.74</v>
      </c>
      <c r="R770">
        <v>2100.25</v>
      </c>
      <c r="S770">
        <v>998.49</v>
      </c>
    </row>
    <row r="771" spans="1:19" x14ac:dyDescent="0.35">
      <c r="A771">
        <v>100769</v>
      </c>
      <c r="B771">
        <v>2454</v>
      </c>
      <c r="C771" t="s">
        <v>23</v>
      </c>
      <c r="D771" t="s">
        <v>20</v>
      </c>
      <c r="E771" t="s">
        <v>34</v>
      </c>
      <c r="F771" t="s">
        <v>45</v>
      </c>
      <c r="G771" s="1">
        <v>44966</v>
      </c>
      <c r="H771" s="1">
        <v>44970</v>
      </c>
      <c r="I771" s="1">
        <v>44989</v>
      </c>
      <c r="J771">
        <v>23</v>
      </c>
      <c r="K771">
        <v>4</v>
      </c>
      <c r="L771">
        <v>13</v>
      </c>
      <c r="M771">
        <v>139.18</v>
      </c>
      <c r="N771">
        <v>1809.34</v>
      </c>
      <c r="O771">
        <v>0</v>
      </c>
      <c r="P771">
        <v>0</v>
      </c>
      <c r="Q771">
        <v>1809.34</v>
      </c>
      <c r="R771">
        <v>1157.98</v>
      </c>
      <c r="S771">
        <v>651.36</v>
      </c>
    </row>
    <row r="772" spans="1:19" x14ac:dyDescent="0.35">
      <c r="A772">
        <v>100770</v>
      </c>
      <c r="B772">
        <v>4470</v>
      </c>
      <c r="C772" t="s">
        <v>23</v>
      </c>
      <c r="D772" t="s">
        <v>29</v>
      </c>
      <c r="E772" t="s">
        <v>24</v>
      </c>
      <c r="F772" t="s">
        <v>30</v>
      </c>
      <c r="G772" s="1">
        <v>44954</v>
      </c>
      <c r="H772" s="1">
        <v>44958</v>
      </c>
      <c r="I772" s="1">
        <v>44959</v>
      </c>
      <c r="J772">
        <v>5</v>
      </c>
      <c r="K772">
        <v>4</v>
      </c>
      <c r="L772">
        <v>13</v>
      </c>
      <c r="M772">
        <v>639.98</v>
      </c>
      <c r="N772">
        <v>8319.74</v>
      </c>
      <c r="O772">
        <v>0.08</v>
      </c>
      <c r="P772">
        <v>665.58</v>
      </c>
      <c r="Q772">
        <v>7654.16</v>
      </c>
      <c r="R772">
        <v>5657.42</v>
      </c>
      <c r="S772">
        <v>1996.74</v>
      </c>
    </row>
    <row r="773" spans="1:19" x14ac:dyDescent="0.35">
      <c r="A773">
        <v>100771</v>
      </c>
      <c r="B773">
        <v>4832</v>
      </c>
      <c r="C773" t="s">
        <v>33</v>
      </c>
      <c r="D773" t="s">
        <v>31</v>
      </c>
      <c r="E773" t="s">
        <v>21</v>
      </c>
      <c r="F773" t="s">
        <v>22</v>
      </c>
      <c r="G773" s="1">
        <v>45168</v>
      </c>
      <c r="H773" s="1">
        <v>45173</v>
      </c>
      <c r="I773" s="1">
        <v>45194</v>
      </c>
      <c r="J773">
        <v>26</v>
      </c>
      <c r="K773">
        <v>5</v>
      </c>
      <c r="L773">
        <v>10</v>
      </c>
      <c r="M773">
        <v>607.84</v>
      </c>
      <c r="N773">
        <v>6078.4</v>
      </c>
      <c r="O773">
        <v>0.08</v>
      </c>
      <c r="P773">
        <v>486.27</v>
      </c>
      <c r="Q773">
        <v>5592.13</v>
      </c>
      <c r="R773">
        <v>3525.47</v>
      </c>
      <c r="S773">
        <v>2066.66</v>
      </c>
    </row>
    <row r="774" spans="1:19" x14ac:dyDescent="0.35">
      <c r="A774">
        <v>100772</v>
      </c>
      <c r="B774">
        <v>1653</v>
      </c>
      <c r="C774" t="s">
        <v>19</v>
      </c>
      <c r="D774" t="s">
        <v>29</v>
      </c>
      <c r="E774" t="s">
        <v>26</v>
      </c>
      <c r="F774" t="s">
        <v>27</v>
      </c>
      <c r="G774" s="1">
        <v>45167</v>
      </c>
      <c r="H774" s="1">
        <v>45169</v>
      </c>
      <c r="I774" s="1">
        <v>45175</v>
      </c>
      <c r="J774">
        <v>8</v>
      </c>
      <c r="K774">
        <v>2</v>
      </c>
      <c r="L774">
        <v>10</v>
      </c>
      <c r="M774">
        <v>595.04</v>
      </c>
      <c r="N774">
        <v>5950.4</v>
      </c>
      <c r="O774">
        <v>0.06</v>
      </c>
      <c r="P774">
        <v>357.02</v>
      </c>
      <c r="Q774">
        <v>5593.38</v>
      </c>
      <c r="R774">
        <v>3629.74</v>
      </c>
      <c r="S774">
        <v>1963.64</v>
      </c>
    </row>
    <row r="775" spans="1:19" x14ac:dyDescent="0.35">
      <c r="A775">
        <v>100773</v>
      </c>
      <c r="B775">
        <v>1563</v>
      </c>
      <c r="C775" t="s">
        <v>33</v>
      </c>
      <c r="D775" t="s">
        <v>29</v>
      </c>
      <c r="E775" t="s">
        <v>34</v>
      </c>
      <c r="F775" t="s">
        <v>43</v>
      </c>
      <c r="G775" s="1">
        <v>45185</v>
      </c>
      <c r="H775" s="1">
        <v>45189</v>
      </c>
      <c r="I775" s="1">
        <v>45188</v>
      </c>
      <c r="J775">
        <v>3</v>
      </c>
      <c r="K775">
        <v>4</v>
      </c>
      <c r="L775">
        <v>5</v>
      </c>
      <c r="M775">
        <v>11.82</v>
      </c>
      <c r="N775">
        <v>59.1</v>
      </c>
      <c r="O775">
        <v>0.08</v>
      </c>
      <c r="P775">
        <v>4.7300000000000004</v>
      </c>
      <c r="Q775">
        <v>54.37</v>
      </c>
      <c r="R775">
        <v>32.51</v>
      </c>
      <c r="S775">
        <v>21.86</v>
      </c>
    </row>
    <row r="776" spans="1:19" x14ac:dyDescent="0.35">
      <c r="A776">
        <v>100774</v>
      </c>
      <c r="B776">
        <v>3352</v>
      </c>
      <c r="C776" t="s">
        <v>19</v>
      </c>
      <c r="D776" t="s">
        <v>20</v>
      </c>
      <c r="E776" t="s">
        <v>21</v>
      </c>
      <c r="F776" t="s">
        <v>41</v>
      </c>
      <c r="G776" s="1">
        <v>45136</v>
      </c>
      <c r="H776" s="1">
        <v>45137</v>
      </c>
      <c r="I776" s="1">
        <v>45155</v>
      </c>
      <c r="J776">
        <v>19</v>
      </c>
      <c r="K776">
        <v>1</v>
      </c>
      <c r="L776">
        <v>13</v>
      </c>
      <c r="M776">
        <v>707.22</v>
      </c>
      <c r="N776">
        <v>9193.86</v>
      </c>
      <c r="O776">
        <v>0.05</v>
      </c>
      <c r="P776">
        <v>459.69</v>
      </c>
      <c r="Q776">
        <v>8734.17</v>
      </c>
      <c r="R776">
        <v>5976.01</v>
      </c>
      <c r="S776">
        <v>2758.16</v>
      </c>
    </row>
    <row r="777" spans="1:19" x14ac:dyDescent="0.35">
      <c r="A777">
        <v>100775</v>
      </c>
      <c r="B777">
        <v>1980</v>
      </c>
      <c r="C777" t="s">
        <v>33</v>
      </c>
      <c r="D777" t="s">
        <v>31</v>
      </c>
      <c r="E777" t="s">
        <v>24</v>
      </c>
      <c r="F777" t="s">
        <v>32</v>
      </c>
      <c r="G777" s="1">
        <v>45111</v>
      </c>
      <c r="H777" s="1">
        <v>45114</v>
      </c>
      <c r="I777" s="1">
        <v>45126</v>
      </c>
      <c r="J777">
        <v>15</v>
      </c>
      <c r="K777">
        <v>3</v>
      </c>
      <c r="L777">
        <v>4</v>
      </c>
      <c r="M777">
        <v>310.02</v>
      </c>
      <c r="N777">
        <v>1240.08</v>
      </c>
      <c r="O777">
        <v>0.06</v>
      </c>
      <c r="P777">
        <v>74.400000000000006</v>
      </c>
      <c r="Q777">
        <v>1165.68</v>
      </c>
      <c r="R777">
        <v>620.04</v>
      </c>
      <c r="S777">
        <v>545.64</v>
      </c>
    </row>
    <row r="778" spans="1:19" x14ac:dyDescent="0.35">
      <c r="A778">
        <v>100776</v>
      </c>
      <c r="B778">
        <v>2212</v>
      </c>
      <c r="C778" t="s">
        <v>23</v>
      </c>
      <c r="D778" t="s">
        <v>20</v>
      </c>
      <c r="E778" t="s">
        <v>21</v>
      </c>
      <c r="F778" t="s">
        <v>41</v>
      </c>
      <c r="G778" s="1">
        <v>45056</v>
      </c>
      <c r="H778" s="1">
        <v>45058</v>
      </c>
      <c r="I778" s="1">
        <v>45069</v>
      </c>
      <c r="J778">
        <v>13</v>
      </c>
      <c r="K778">
        <v>2</v>
      </c>
      <c r="L778">
        <v>3</v>
      </c>
      <c r="M778">
        <v>189.87</v>
      </c>
      <c r="N778">
        <v>569.61</v>
      </c>
      <c r="O778">
        <v>0.06</v>
      </c>
      <c r="P778">
        <v>34.18</v>
      </c>
      <c r="Q778">
        <v>535.42999999999995</v>
      </c>
      <c r="R778">
        <v>318.98</v>
      </c>
      <c r="S778">
        <v>216.45</v>
      </c>
    </row>
    <row r="779" spans="1:19" x14ac:dyDescent="0.35">
      <c r="A779">
        <v>100777</v>
      </c>
      <c r="B779">
        <v>3845</v>
      </c>
      <c r="C779" t="s">
        <v>33</v>
      </c>
      <c r="D779" t="s">
        <v>20</v>
      </c>
      <c r="E779" t="s">
        <v>24</v>
      </c>
      <c r="F779" t="s">
        <v>30</v>
      </c>
      <c r="G779" s="1">
        <v>45249</v>
      </c>
      <c r="H779" s="1">
        <v>45253</v>
      </c>
      <c r="I779" s="1">
        <v>45269</v>
      </c>
      <c r="J779">
        <v>20</v>
      </c>
      <c r="K779">
        <v>4</v>
      </c>
      <c r="L779">
        <v>1</v>
      </c>
      <c r="M779">
        <v>174.73</v>
      </c>
      <c r="N779">
        <v>174.73</v>
      </c>
      <c r="O779">
        <v>0.1</v>
      </c>
      <c r="P779">
        <v>17.47</v>
      </c>
      <c r="Q779">
        <v>157.26</v>
      </c>
      <c r="R779">
        <v>113.57</v>
      </c>
      <c r="S779">
        <v>43.69</v>
      </c>
    </row>
    <row r="780" spans="1:19" x14ac:dyDescent="0.35">
      <c r="A780">
        <v>100778</v>
      </c>
      <c r="B780">
        <v>1519</v>
      </c>
      <c r="C780" t="s">
        <v>19</v>
      </c>
      <c r="D780" t="s">
        <v>29</v>
      </c>
      <c r="E780" t="s">
        <v>21</v>
      </c>
      <c r="F780" t="s">
        <v>39</v>
      </c>
      <c r="G780" s="1">
        <v>45169</v>
      </c>
      <c r="H780" s="1">
        <v>45173</v>
      </c>
      <c r="I780" s="1">
        <v>45176</v>
      </c>
      <c r="J780">
        <v>7</v>
      </c>
      <c r="K780">
        <v>4</v>
      </c>
      <c r="L780">
        <v>14</v>
      </c>
      <c r="M780">
        <v>132.46</v>
      </c>
      <c r="N780">
        <v>1854.44</v>
      </c>
      <c r="O780">
        <v>0.04</v>
      </c>
      <c r="P780">
        <v>74.180000000000007</v>
      </c>
      <c r="Q780">
        <v>1780.26</v>
      </c>
      <c r="R780">
        <v>945.76</v>
      </c>
      <c r="S780">
        <v>834.5</v>
      </c>
    </row>
    <row r="781" spans="1:19" x14ac:dyDescent="0.35">
      <c r="A781">
        <v>100779</v>
      </c>
      <c r="B781">
        <v>3923</v>
      </c>
      <c r="C781" t="s">
        <v>19</v>
      </c>
      <c r="D781" t="s">
        <v>29</v>
      </c>
      <c r="E781" t="s">
        <v>26</v>
      </c>
      <c r="F781" t="s">
        <v>37</v>
      </c>
      <c r="G781" s="1">
        <v>44957</v>
      </c>
      <c r="H781" s="1">
        <v>44958</v>
      </c>
      <c r="I781" s="1">
        <v>44965</v>
      </c>
      <c r="J781">
        <v>8</v>
      </c>
      <c r="K781">
        <v>1</v>
      </c>
      <c r="L781">
        <v>11</v>
      </c>
      <c r="M781">
        <v>123.39</v>
      </c>
      <c r="N781">
        <v>1357.29</v>
      </c>
      <c r="O781">
        <v>0.02</v>
      </c>
      <c r="P781">
        <v>27.15</v>
      </c>
      <c r="Q781">
        <v>1330.14</v>
      </c>
      <c r="R781">
        <v>800.8</v>
      </c>
      <c r="S781">
        <v>529.34</v>
      </c>
    </row>
    <row r="782" spans="1:19" x14ac:dyDescent="0.35">
      <c r="A782">
        <v>100780</v>
      </c>
      <c r="B782">
        <v>1162</v>
      </c>
      <c r="C782" t="s">
        <v>19</v>
      </c>
      <c r="D782" t="s">
        <v>29</v>
      </c>
      <c r="E782" t="s">
        <v>24</v>
      </c>
      <c r="F782" t="s">
        <v>25</v>
      </c>
      <c r="G782" s="1">
        <v>45256</v>
      </c>
      <c r="H782" s="1">
        <v>45259</v>
      </c>
      <c r="I782" s="1">
        <v>45266</v>
      </c>
      <c r="J782">
        <v>10</v>
      </c>
      <c r="K782">
        <v>3</v>
      </c>
      <c r="L782">
        <v>2</v>
      </c>
      <c r="M782">
        <v>792.89</v>
      </c>
      <c r="N782">
        <v>1585.78</v>
      </c>
      <c r="O782">
        <v>0</v>
      </c>
      <c r="P782">
        <v>0</v>
      </c>
      <c r="Q782">
        <v>1585.78</v>
      </c>
      <c r="R782">
        <v>856.32</v>
      </c>
      <c r="S782">
        <v>729.46</v>
      </c>
    </row>
    <row r="783" spans="1:19" x14ac:dyDescent="0.35">
      <c r="A783">
        <v>100781</v>
      </c>
      <c r="B783">
        <v>2659</v>
      </c>
      <c r="C783" t="s">
        <v>23</v>
      </c>
      <c r="D783" t="s">
        <v>20</v>
      </c>
      <c r="E783" t="s">
        <v>26</v>
      </c>
      <c r="F783" t="s">
        <v>44</v>
      </c>
      <c r="G783" s="1">
        <v>45142</v>
      </c>
      <c r="H783" s="1">
        <v>45146</v>
      </c>
      <c r="I783" s="1">
        <v>45155</v>
      </c>
      <c r="J783">
        <v>13</v>
      </c>
      <c r="K783">
        <v>4</v>
      </c>
      <c r="L783">
        <v>10</v>
      </c>
      <c r="M783">
        <v>463.62</v>
      </c>
      <c r="N783">
        <v>4636.2</v>
      </c>
      <c r="O783">
        <v>0.03</v>
      </c>
      <c r="P783">
        <v>139.09</v>
      </c>
      <c r="Q783">
        <v>4497.1099999999997</v>
      </c>
      <c r="R783">
        <v>2920.81</v>
      </c>
      <c r="S783">
        <v>1576.3</v>
      </c>
    </row>
    <row r="784" spans="1:19" x14ac:dyDescent="0.35">
      <c r="A784">
        <v>100782</v>
      </c>
      <c r="B784">
        <v>1542</v>
      </c>
      <c r="C784" t="s">
        <v>33</v>
      </c>
      <c r="D784" t="s">
        <v>31</v>
      </c>
      <c r="E784" t="s">
        <v>34</v>
      </c>
      <c r="F784" t="s">
        <v>45</v>
      </c>
      <c r="G784" s="1">
        <v>45167</v>
      </c>
      <c r="H784" s="1">
        <v>45170</v>
      </c>
      <c r="I784" s="1">
        <v>45183</v>
      </c>
      <c r="J784">
        <v>16</v>
      </c>
      <c r="K784">
        <v>3</v>
      </c>
      <c r="L784">
        <v>4</v>
      </c>
      <c r="M784">
        <v>103.61</v>
      </c>
      <c r="N784">
        <v>414.44</v>
      </c>
      <c r="O784">
        <v>0.05</v>
      </c>
      <c r="P784">
        <v>20.72</v>
      </c>
      <c r="Q784">
        <v>393.72</v>
      </c>
      <c r="R784">
        <v>273.52999999999997</v>
      </c>
      <c r="S784">
        <v>120.19</v>
      </c>
    </row>
    <row r="785" spans="1:19" x14ac:dyDescent="0.35">
      <c r="A785">
        <v>100783</v>
      </c>
      <c r="B785">
        <v>4829</v>
      </c>
      <c r="C785" t="s">
        <v>19</v>
      </c>
      <c r="D785" t="s">
        <v>20</v>
      </c>
      <c r="E785" t="s">
        <v>26</v>
      </c>
      <c r="F785" t="s">
        <v>27</v>
      </c>
      <c r="G785" s="1">
        <v>45251</v>
      </c>
      <c r="H785" s="1">
        <v>45254</v>
      </c>
      <c r="I785" s="1">
        <v>45257</v>
      </c>
      <c r="J785">
        <v>6</v>
      </c>
      <c r="K785">
        <v>3</v>
      </c>
      <c r="L785">
        <v>5</v>
      </c>
      <c r="M785">
        <v>532.99</v>
      </c>
      <c r="N785">
        <v>2664.95</v>
      </c>
      <c r="O785">
        <v>0.05</v>
      </c>
      <c r="P785">
        <v>133.25</v>
      </c>
      <c r="Q785">
        <v>2531.6999999999998</v>
      </c>
      <c r="R785">
        <v>1785.52</v>
      </c>
      <c r="S785">
        <v>746.18</v>
      </c>
    </row>
    <row r="786" spans="1:19" x14ac:dyDescent="0.35">
      <c r="A786">
        <v>100784</v>
      </c>
      <c r="B786">
        <v>4428</v>
      </c>
      <c r="C786" t="s">
        <v>19</v>
      </c>
      <c r="D786" t="s">
        <v>29</v>
      </c>
      <c r="E786" t="s">
        <v>21</v>
      </c>
      <c r="F786" t="s">
        <v>22</v>
      </c>
      <c r="G786" s="1">
        <v>45228</v>
      </c>
      <c r="H786" s="1">
        <v>45231</v>
      </c>
      <c r="I786" s="1">
        <v>45230</v>
      </c>
      <c r="J786">
        <v>2</v>
      </c>
      <c r="K786">
        <v>3</v>
      </c>
      <c r="L786">
        <v>10</v>
      </c>
      <c r="M786">
        <v>454.63</v>
      </c>
      <c r="N786">
        <v>4546.3</v>
      </c>
      <c r="O786">
        <v>0.04</v>
      </c>
      <c r="P786">
        <v>181.85</v>
      </c>
      <c r="Q786">
        <v>4364.45</v>
      </c>
      <c r="R786">
        <v>2682.32</v>
      </c>
      <c r="S786">
        <v>1682.13</v>
      </c>
    </row>
    <row r="787" spans="1:19" x14ac:dyDescent="0.35">
      <c r="A787">
        <v>100785</v>
      </c>
      <c r="B787">
        <v>4389</v>
      </c>
      <c r="C787" t="s">
        <v>33</v>
      </c>
      <c r="D787" t="s">
        <v>31</v>
      </c>
      <c r="E787" t="s">
        <v>24</v>
      </c>
      <c r="F787" t="s">
        <v>30</v>
      </c>
      <c r="G787" s="1">
        <v>45227</v>
      </c>
      <c r="H787" s="1">
        <v>45232</v>
      </c>
      <c r="I787" s="1">
        <v>45240</v>
      </c>
      <c r="J787">
        <v>13</v>
      </c>
      <c r="K787">
        <v>5</v>
      </c>
      <c r="L787">
        <v>3</v>
      </c>
      <c r="M787">
        <v>655.04</v>
      </c>
      <c r="N787">
        <v>1965.12</v>
      </c>
      <c r="O787">
        <v>0.1</v>
      </c>
      <c r="P787">
        <v>196.51</v>
      </c>
      <c r="Q787">
        <v>1768.61</v>
      </c>
      <c r="R787">
        <v>1198.72</v>
      </c>
      <c r="S787">
        <v>569.89</v>
      </c>
    </row>
    <row r="788" spans="1:19" x14ac:dyDescent="0.35">
      <c r="A788">
        <v>100786</v>
      </c>
      <c r="B788">
        <v>4463</v>
      </c>
      <c r="C788" t="s">
        <v>28</v>
      </c>
      <c r="D788" t="s">
        <v>31</v>
      </c>
      <c r="E788" t="s">
        <v>21</v>
      </c>
      <c r="F788" t="s">
        <v>38</v>
      </c>
      <c r="G788" s="1">
        <v>45027</v>
      </c>
      <c r="H788" s="1">
        <v>45032</v>
      </c>
      <c r="I788" s="1">
        <v>45054</v>
      </c>
      <c r="J788">
        <v>27</v>
      </c>
      <c r="K788">
        <v>5</v>
      </c>
      <c r="L788">
        <v>11</v>
      </c>
      <c r="M788">
        <v>313.62</v>
      </c>
      <c r="N788">
        <v>3449.82</v>
      </c>
      <c r="O788">
        <v>0.03</v>
      </c>
      <c r="P788">
        <v>103.49</v>
      </c>
      <c r="Q788">
        <v>3346.33</v>
      </c>
      <c r="R788">
        <v>2104.39</v>
      </c>
      <c r="S788">
        <v>1241.94</v>
      </c>
    </row>
    <row r="789" spans="1:19" x14ac:dyDescent="0.35">
      <c r="A789">
        <v>100787</v>
      </c>
      <c r="B789">
        <v>4720</v>
      </c>
      <c r="C789" t="s">
        <v>19</v>
      </c>
      <c r="D789" t="s">
        <v>31</v>
      </c>
      <c r="E789" t="s">
        <v>26</v>
      </c>
      <c r="F789" t="s">
        <v>44</v>
      </c>
      <c r="G789" s="1">
        <v>45007</v>
      </c>
      <c r="H789" s="1">
        <v>45009</v>
      </c>
      <c r="I789" s="1">
        <v>45018</v>
      </c>
      <c r="J789">
        <v>11</v>
      </c>
      <c r="K789">
        <v>2</v>
      </c>
      <c r="L789">
        <v>4</v>
      </c>
      <c r="M789">
        <v>455.75</v>
      </c>
      <c r="N789">
        <v>1823</v>
      </c>
      <c r="O789">
        <v>0.18</v>
      </c>
      <c r="P789">
        <v>328.14</v>
      </c>
      <c r="Q789">
        <v>1494.86</v>
      </c>
      <c r="R789">
        <v>1112.03</v>
      </c>
      <c r="S789">
        <v>382.83</v>
      </c>
    </row>
    <row r="790" spans="1:19" x14ac:dyDescent="0.35">
      <c r="A790">
        <v>100788</v>
      </c>
      <c r="B790">
        <v>3584</v>
      </c>
      <c r="C790" t="s">
        <v>19</v>
      </c>
      <c r="D790" t="s">
        <v>29</v>
      </c>
      <c r="E790" t="s">
        <v>24</v>
      </c>
      <c r="F790" t="s">
        <v>30</v>
      </c>
      <c r="G790" s="1">
        <v>44996</v>
      </c>
      <c r="H790" s="1">
        <v>44998</v>
      </c>
      <c r="I790" s="1">
        <v>45019</v>
      </c>
      <c r="J790">
        <v>23</v>
      </c>
      <c r="K790">
        <v>2</v>
      </c>
      <c r="L790">
        <v>1</v>
      </c>
      <c r="M790">
        <v>177.67</v>
      </c>
      <c r="N790">
        <v>177.67</v>
      </c>
      <c r="O790">
        <v>0.04</v>
      </c>
      <c r="P790">
        <v>7.11</v>
      </c>
      <c r="Q790">
        <v>170.56</v>
      </c>
      <c r="R790">
        <v>115.49</v>
      </c>
      <c r="S790">
        <v>55.07</v>
      </c>
    </row>
    <row r="791" spans="1:19" x14ac:dyDescent="0.35">
      <c r="A791">
        <v>100789</v>
      </c>
      <c r="B791">
        <v>2573</v>
      </c>
      <c r="C791" t="s">
        <v>23</v>
      </c>
      <c r="D791" t="s">
        <v>29</v>
      </c>
      <c r="E791" t="s">
        <v>34</v>
      </c>
      <c r="F791" t="s">
        <v>40</v>
      </c>
      <c r="G791" s="1">
        <v>45107</v>
      </c>
      <c r="H791" s="1">
        <v>45108</v>
      </c>
      <c r="I791" s="1">
        <v>45117</v>
      </c>
      <c r="J791">
        <v>10</v>
      </c>
      <c r="K791">
        <v>1</v>
      </c>
      <c r="L791">
        <v>9</v>
      </c>
      <c r="M791">
        <v>404.65</v>
      </c>
      <c r="N791">
        <v>3641.85</v>
      </c>
      <c r="O791">
        <v>0.09</v>
      </c>
      <c r="P791">
        <v>327.77</v>
      </c>
      <c r="Q791">
        <v>3314.08</v>
      </c>
      <c r="R791">
        <v>2148.69</v>
      </c>
      <c r="S791">
        <v>1165.3900000000001</v>
      </c>
    </row>
    <row r="792" spans="1:19" x14ac:dyDescent="0.35">
      <c r="A792">
        <v>100790</v>
      </c>
      <c r="B792">
        <v>4499</v>
      </c>
      <c r="C792" t="s">
        <v>23</v>
      </c>
      <c r="D792" t="s">
        <v>20</v>
      </c>
      <c r="E792" t="s">
        <v>26</v>
      </c>
      <c r="F792" t="s">
        <v>27</v>
      </c>
      <c r="G792" s="1">
        <v>45094</v>
      </c>
      <c r="H792" s="1">
        <v>45098</v>
      </c>
      <c r="I792" s="1">
        <v>45106</v>
      </c>
      <c r="J792">
        <v>12</v>
      </c>
      <c r="K792">
        <v>4</v>
      </c>
      <c r="L792">
        <v>6</v>
      </c>
      <c r="M792">
        <v>322.88</v>
      </c>
      <c r="N792">
        <v>1937.28</v>
      </c>
      <c r="O792">
        <v>0.06</v>
      </c>
      <c r="P792">
        <v>116.24</v>
      </c>
      <c r="Q792">
        <v>1821.04</v>
      </c>
      <c r="R792">
        <v>1162.3699999999999</v>
      </c>
      <c r="S792">
        <v>658.67</v>
      </c>
    </row>
    <row r="793" spans="1:19" x14ac:dyDescent="0.35">
      <c r="A793">
        <v>100791</v>
      </c>
      <c r="B793">
        <v>4919</v>
      </c>
      <c r="C793" t="s">
        <v>23</v>
      </c>
      <c r="D793" t="s">
        <v>29</v>
      </c>
      <c r="E793" t="s">
        <v>24</v>
      </c>
      <c r="F793" t="s">
        <v>30</v>
      </c>
      <c r="G793" s="1">
        <v>45164</v>
      </c>
      <c r="H793" s="1">
        <v>45169</v>
      </c>
      <c r="I793" s="1">
        <v>45189</v>
      </c>
      <c r="J793">
        <v>25</v>
      </c>
      <c r="K793">
        <v>5</v>
      </c>
      <c r="L793">
        <v>4</v>
      </c>
      <c r="M793">
        <v>578.92999999999995</v>
      </c>
      <c r="N793">
        <v>2315.7199999999998</v>
      </c>
      <c r="O793">
        <v>0.09</v>
      </c>
      <c r="P793">
        <v>208.41</v>
      </c>
      <c r="Q793">
        <v>2107.31</v>
      </c>
      <c r="R793">
        <v>1435.75</v>
      </c>
      <c r="S793">
        <v>671.56</v>
      </c>
    </row>
    <row r="794" spans="1:19" x14ac:dyDescent="0.35">
      <c r="A794">
        <v>100792</v>
      </c>
      <c r="B794">
        <v>3326</v>
      </c>
      <c r="C794" t="s">
        <v>19</v>
      </c>
      <c r="D794" t="s">
        <v>31</v>
      </c>
      <c r="E794" t="s">
        <v>26</v>
      </c>
      <c r="F794" t="s">
        <v>37</v>
      </c>
      <c r="G794" s="1">
        <v>45145</v>
      </c>
      <c r="H794" s="1">
        <v>45150</v>
      </c>
      <c r="I794" s="1">
        <v>45160</v>
      </c>
      <c r="J794">
        <v>15</v>
      </c>
      <c r="K794">
        <v>5</v>
      </c>
      <c r="L794">
        <v>10</v>
      </c>
      <c r="M794">
        <v>625.65</v>
      </c>
      <c r="N794">
        <v>6256.5</v>
      </c>
      <c r="O794">
        <v>0.12</v>
      </c>
      <c r="P794">
        <v>750.78</v>
      </c>
      <c r="Q794">
        <v>5505.72</v>
      </c>
      <c r="R794">
        <v>3941.6</v>
      </c>
      <c r="S794">
        <v>1564.12</v>
      </c>
    </row>
    <row r="795" spans="1:19" x14ac:dyDescent="0.35">
      <c r="A795">
        <v>100793</v>
      </c>
      <c r="B795">
        <v>1236</v>
      </c>
      <c r="C795" t="s">
        <v>28</v>
      </c>
      <c r="D795" t="s">
        <v>20</v>
      </c>
      <c r="E795" t="s">
        <v>24</v>
      </c>
      <c r="F795" t="s">
        <v>42</v>
      </c>
      <c r="G795" s="1">
        <v>45279</v>
      </c>
      <c r="H795" s="1">
        <v>45281</v>
      </c>
      <c r="I795" s="1">
        <v>45297</v>
      </c>
      <c r="J795">
        <v>18</v>
      </c>
      <c r="K795">
        <v>2</v>
      </c>
      <c r="L795">
        <v>4</v>
      </c>
      <c r="M795">
        <v>343.28</v>
      </c>
      <c r="N795">
        <v>1373.12</v>
      </c>
      <c r="O795">
        <v>0.11</v>
      </c>
      <c r="P795">
        <v>151.04</v>
      </c>
      <c r="Q795">
        <v>1222.08</v>
      </c>
      <c r="R795">
        <v>892.53</v>
      </c>
      <c r="S795">
        <v>329.55</v>
      </c>
    </row>
    <row r="796" spans="1:19" x14ac:dyDescent="0.35">
      <c r="A796">
        <v>100794</v>
      </c>
      <c r="B796">
        <v>2221</v>
      </c>
      <c r="C796" t="s">
        <v>23</v>
      </c>
      <c r="D796" t="s">
        <v>29</v>
      </c>
      <c r="E796" t="s">
        <v>24</v>
      </c>
      <c r="F796" t="s">
        <v>32</v>
      </c>
      <c r="G796" s="1">
        <v>45230</v>
      </c>
      <c r="H796" s="1">
        <v>45234</v>
      </c>
      <c r="I796" s="1">
        <v>45257</v>
      </c>
      <c r="J796">
        <v>27</v>
      </c>
      <c r="K796">
        <v>4</v>
      </c>
      <c r="L796">
        <v>10</v>
      </c>
      <c r="M796">
        <v>69</v>
      </c>
      <c r="N796">
        <v>690</v>
      </c>
      <c r="O796">
        <v>0</v>
      </c>
      <c r="P796">
        <v>0</v>
      </c>
      <c r="Q796">
        <v>690</v>
      </c>
      <c r="R796">
        <v>441.6</v>
      </c>
      <c r="S796">
        <v>248.4</v>
      </c>
    </row>
    <row r="797" spans="1:19" x14ac:dyDescent="0.35">
      <c r="A797">
        <v>100795</v>
      </c>
      <c r="B797">
        <v>3444</v>
      </c>
      <c r="C797" t="s">
        <v>23</v>
      </c>
      <c r="D797" t="s">
        <v>29</v>
      </c>
      <c r="E797" t="s">
        <v>26</v>
      </c>
      <c r="F797" t="s">
        <v>36</v>
      </c>
      <c r="G797" s="1">
        <v>45177</v>
      </c>
      <c r="H797" s="1">
        <v>45182</v>
      </c>
      <c r="I797" s="1">
        <v>45203</v>
      </c>
      <c r="J797">
        <v>26</v>
      </c>
      <c r="K797">
        <v>5</v>
      </c>
      <c r="L797">
        <v>14</v>
      </c>
      <c r="M797">
        <v>713.64</v>
      </c>
      <c r="N797">
        <v>9990.9599999999991</v>
      </c>
      <c r="O797">
        <v>0.1</v>
      </c>
      <c r="P797">
        <v>999.1</v>
      </c>
      <c r="Q797">
        <v>8991.86</v>
      </c>
      <c r="R797">
        <v>6693.94</v>
      </c>
      <c r="S797">
        <v>2297.92</v>
      </c>
    </row>
    <row r="798" spans="1:19" x14ac:dyDescent="0.35">
      <c r="A798">
        <v>100796</v>
      </c>
      <c r="B798">
        <v>1516</v>
      </c>
      <c r="C798" t="s">
        <v>28</v>
      </c>
      <c r="D798" t="s">
        <v>31</v>
      </c>
      <c r="E798" t="s">
        <v>24</v>
      </c>
      <c r="F798" t="s">
        <v>25</v>
      </c>
      <c r="G798" s="1">
        <v>45054</v>
      </c>
      <c r="H798" s="1">
        <v>45058</v>
      </c>
      <c r="I798" s="1">
        <v>45074</v>
      </c>
      <c r="J798">
        <v>20</v>
      </c>
      <c r="K798">
        <v>4</v>
      </c>
      <c r="L798">
        <v>6</v>
      </c>
      <c r="M798">
        <v>51.56</v>
      </c>
      <c r="N798">
        <v>309.36</v>
      </c>
      <c r="O798">
        <v>0</v>
      </c>
      <c r="P798">
        <v>0</v>
      </c>
      <c r="Q798">
        <v>309.36</v>
      </c>
      <c r="R798">
        <v>194.9</v>
      </c>
      <c r="S798">
        <v>114.46</v>
      </c>
    </row>
    <row r="799" spans="1:19" x14ac:dyDescent="0.35">
      <c r="A799">
        <v>100797</v>
      </c>
      <c r="B799">
        <v>1571</v>
      </c>
      <c r="C799" t="s">
        <v>28</v>
      </c>
      <c r="D799" t="s">
        <v>29</v>
      </c>
      <c r="E799" t="s">
        <v>34</v>
      </c>
      <c r="F799" t="s">
        <v>35</v>
      </c>
      <c r="G799" s="1">
        <v>45004</v>
      </c>
      <c r="H799" s="1">
        <v>45008</v>
      </c>
      <c r="I799" s="1">
        <v>45030</v>
      </c>
      <c r="J799">
        <v>26</v>
      </c>
      <c r="K799">
        <v>4</v>
      </c>
      <c r="L799">
        <v>1</v>
      </c>
      <c r="M799">
        <v>738.09</v>
      </c>
      <c r="N799">
        <v>738.09</v>
      </c>
      <c r="O799">
        <v>0.15</v>
      </c>
      <c r="P799">
        <v>110.71</v>
      </c>
      <c r="Q799">
        <v>627.38</v>
      </c>
      <c r="R799">
        <v>428.09</v>
      </c>
      <c r="S799">
        <v>199.29</v>
      </c>
    </row>
    <row r="800" spans="1:19" x14ac:dyDescent="0.35">
      <c r="A800">
        <v>100798</v>
      </c>
      <c r="B800">
        <v>3227</v>
      </c>
      <c r="C800" t="s">
        <v>19</v>
      </c>
      <c r="D800" t="s">
        <v>31</v>
      </c>
      <c r="E800" t="s">
        <v>34</v>
      </c>
      <c r="F800" t="s">
        <v>40</v>
      </c>
      <c r="G800" s="1">
        <v>45222</v>
      </c>
      <c r="H800" s="1">
        <v>45226</v>
      </c>
      <c r="I800" s="1">
        <v>45246</v>
      </c>
      <c r="J800">
        <v>24</v>
      </c>
      <c r="K800">
        <v>4</v>
      </c>
      <c r="L800">
        <v>10</v>
      </c>
      <c r="M800">
        <v>411.22</v>
      </c>
      <c r="N800">
        <v>4112.2</v>
      </c>
      <c r="O800">
        <v>0.15</v>
      </c>
      <c r="P800">
        <v>616.83000000000004</v>
      </c>
      <c r="Q800">
        <v>3495.37</v>
      </c>
      <c r="R800">
        <v>2261.71</v>
      </c>
      <c r="S800">
        <v>1233.6600000000001</v>
      </c>
    </row>
    <row r="801" spans="1:19" x14ac:dyDescent="0.35">
      <c r="A801">
        <v>100799</v>
      </c>
      <c r="B801">
        <v>1911</v>
      </c>
      <c r="C801" t="s">
        <v>28</v>
      </c>
      <c r="D801" t="s">
        <v>20</v>
      </c>
      <c r="E801" t="s">
        <v>24</v>
      </c>
      <c r="F801" t="s">
        <v>25</v>
      </c>
      <c r="G801" s="1">
        <v>45280</v>
      </c>
      <c r="H801" s="1">
        <v>45281</v>
      </c>
      <c r="I801" s="1">
        <v>45303</v>
      </c>
      <c r="J801">
        <v>23</v>
      </c>
      <c r="K801">
        <v>1</v>
      </c>
      <c r="L801">
        <v>6</v>
      </c>
      <c r="M801">
        <v>389.06</v>
      </c>
      <c r="N801">
        <v>2334.36</v>
      </c>
      <c r="O801">
        <v>0.06</v>
      </c>
      <c r="P801">
        <v>140.06</v>
      </c>
      <c r="Q801">
        <v>2194.3000000000002</v>
      </c>
      <c r="R801">
        <v>1190.52</v>
      </c>
      <c r="S801">
        <v>1003.78</v>
      </c>
    </row>
    <row r="802" spans="1:19" x14ac:dyDescent="0.35">
      <c r="A802">
        <v>100800</v>
      </c>
      <c r="B802">
        <v>4302</v>
      </c>
      <c r="C802" t="s">
        <v>33</v>
      </c>
      <c r="D802" t="s">
        <v>31</v>
      </c>
      <c r="E802" t="s">
        <v>34</v>
      </c>
      <c r="F802" t="s">
        <v>35</v>
      </c>
      <c r="G802" s="1">
        <v>45220</v>
      </c>
      <c r="H802" s="1">
        <v>45224</v>
      </c>
      <c r="I802" s="1">
        <v>45249</v>
      </c>
      <c r="J802">
        <v>29</v>
      </c>
      <c r="K802">
        <v>4</v>
      </c>
      <c r="L802">
        <v>4</v>
      </c>
      <c r="M802">
        <v>210.56</v>
      </c>
      <c r="N802">
        <v>842.24</v>
      </c>
      <c r="O802">
        <v>0.11</v>
      </c>
      <c r="P802">
        <v>92.65</v>
      </c>
      <c r="Q802">
        <v>749.59</v>
      </c>
      <c r="R802">
        <v>572.72</v>
      </c>
      <c r="S802">
        <v>176.87</v>
      </c>
    </row>
    <row r="803" spans="1:19" x14ac:dyDescent="0.35">
      <c r="A803">
        <v>100801</v>
      </c>
      <c r="B803">
        <v>1491</v>
      </c>
      <c r="C803" t="s">
        <v>23</v>
      </c>
      <c r="D803" t="s">
        <v>20</v>
      </c>
      <c r="E803" t="s">
        <v>34</v>
      </c>
      <c r="F803" t="s">
        <v>43</v>
      </c>
      <c r="G803" s="1">
        <v>45237</v>
      </c>
      <c r="H803" s="1">
        <v>45238</v>
      </c>
      <c r="I803" s="1">
        <v>45252</v>
      </c>
      <c r="J803">
        <v>15</v>
      </c>
      <c r="K803">
        <v>1</v>
      </c>
      <c r="L803">
        <v>10</v>
      </c>
      <c r="M803">
        <v>723.51</v>
      </c>
      <c r="N803">
        <v>7235.1</v>
      </c>
      <c r="O803">
        <v>7.0000000000000007E-2</v>
      </c>
      <c r="P803">
        <v>506.46</v>
      </c>
      <c r="Q803">
        <v>6728.64</v>
      </c>
      <c r="R803">
        <v>4124.01</v>
      </c>
      <c r="S803">
        <v>2604.63</v>
      </c>
    </row>
    <row r="804" spans="1:19" x14ac:dyDescent="0.35">
      <c r="A804">
        <v>100802</v>
      </c>
      <c r="B804">
        <v>4054</v>
      </c>
      <c r="C804" t="s">
        <v>19</v>
      </c>
      <c r="D804" t="s">
        <v>29</v>
      </c>
      <c r="E804" t="s">
        <v>26</v>
      </c>
      <c r="F804" t="s">
        <v>37</v>
      </c>
      <c r="G804" s="1">
        <v>45015</v>
      </c>
      <c r="H804" s="1">
        <v>45020</v>
      </c>
      <c r="I804" s="1">
        <v>45022</v>
      </c>
      <c r="J804">
        <v>7</v>
      </c>
      <c r="K804">
        <v>5</v>
      </c>
      <c r="L804">
        <v>8</v>
      </c>
      <c r="M804">
        <v>555.97</v>
      </c>
      <c r="N804">
        <v>4447.76</v>
      </c>
      <c r="O804">
        <v>0.16</v>
      </c>
      <c r="P804">
        <v>711.64</v>
      </c>
      <c r="Q804">
        <v>3736.12</v>
      </c>
      <c r="R804">
        <v>2312.84</v>
      </c>
      <c r="S804">
        <v>1423.28</v>
      </c>
    </row>
    <row r="805" spans="1:19" x14ac:dyDescent="0.35">
      <c r="A805">
        <v>100803</v>
      </c>
      <c r="B805">
        <v>2353</v>
      </c>
      <c r="C805" t="s">
        <v>28</v>
      </c>
      <c r="D805" t="s">
        <v>20</v>
      </c>
      <c r="E805" t="s">
        <v>34</v>
      </c>
      <c r="F805" t="s">
        <v>35</v>
      </c>
      <c r="G805" s="1">
        <v>45048</v>
      </c>
      <c r="H805" s="1">
        <v>45052</v>
      </c>
      <c r="I805" s="1">
        <v>45070</v>
      </c>
      <c r="J805">
        <v>22</v>
      </c>
      <c r="K805">
        <v>4</v>
      </c>
      <c r="L805">
        <v>7</v>
      </c>
      <c r="M805">
        <v>604.73</v>
      </c>
      <c r="N805">
        <v>4233.1099999999997</v>
      </c>
      <c r="O805">
        <v>0.12</v>
      </c>
      <c r="P805">
        <v>507.97</v>
      </c>
      <c r="Q805">
        <v>3725.14</v>
      </c>
      <c r="R805">
        <v>2793.85</v>
      </c>
      <c r="S805">
        <v>931.29</v>
      </c>
    </row>
    <row r="806" spans="1:19" x14ac:dyDescent="0.35">
      <c r="A806">
        <v>100804</v>
      </c>
      <c r="B806">
        <v>3110</v>
      </c>
      <c r="C806" t="s">
        <v>19</v>
      </c>
      <c r="D806" t="s">
        <v>29</v>
      </c>
      <c r="E806" t="s">
        <v>21</v>
      </c>
      <c r="F806" t="s">
        <v>39</v>
      </c>
      <c r="G806" s="1">
        <v>45234</v>
      </c>
      <c r="H806" s="1">
        <v>45237</v>
      </c>
      <c r="I806" s="1">
        <v>45254</v>
      </c>
      <c r="J806">
        <v>20</v>
      </c>
      <c r="K806">
        <v>3</v>
      </c>
      <c r="L806">
        <v>14</v>
      </c>
      <c r="M806">
        <v>673.03</v>
      </c>
      <c r="N806">
        <v>9422.42</v>
      </c>
      <c r="O806">
        <v>0.04</v>
      </c>
      <c r="P806">
        <v>376.9</v>
      </c>
      <c r="Q806">
        <v>9045.52</v>
      </c>
      <c r="R806">
        <v>5841.9</v>
      </c>
      <c r="S806">
        <v>3203.62</v>
      </c>
    </row>
    <row r="807" spans="1:19" x14ac:dyDescent="0.35">
      <c r="A807">
        <v>100805</v>
      </c>
      <c r="B807">
        <v>2714</v>
      </c>
      <c r="C807" t="s">
        <v>33</v>
      </c>
      <c r="D807" t="s">
        <v>29</v>
      </c>
      <c r="E807" t="s">
        <v>21</v>
      </c>
      <c r="F807" t="s">
        <v>22</v>
      </c>
      <c r="G807" s="1">
        <v>45265</v>
      </c>
      <c r="H807" s="1">
        <v>45269</v>
      </c>
      <c r="I807" s="1">
        <v>45278</v>
      </c>
      <c r="J807">
        <v>13</v>
      </c>
      <c r="K807">
        <v>4</v>
      </c>
      <c r="L807">
        <v>8</v>
      </c>
      <c r="M807">
        <v>70.45</v>
      </c>
      <c r="N807">
        <v>563.6</v>
      </c>
      <c r="O807">
        <v>7.0000000000000007E-2</v>
      </c>
      <c r="P807">
        <v>39.450000000000003</v>
      </c>
      <c r="Q807">
        <v>524.15</v>
      </c>
      <c r="R807">
        <v>343.8</v>
      </c>
      <c r="S807">
        <v>180.35</v>
      </c>
    </row>
    <row r="808" spans="1:19" x14ac:dyDescent="0.35">
      <c r="A808">
        <v>100806</v>
      </c>
      <c r="B808">
        <v>3718</v>
      </c>
      <c r="C808" t="s">
        <v>23</v>
      </c>
      <c r="D808" t="s">
        <v>20</v>
      </c>
      <c r="E808" t="s">
        <v>24</v>
      </c>
      <c r="F808" t="s">
        <v>30</v>
      </c>
      <c r="G808" s="1">
        <v>45039</v>
      </c>
      <c r="H808" s="1">
        <v>45044</v>
      </c>
      <c r="I808" s="1">
        <v>45050</v>
      </c>
      <c r="J808">
        <v>11</v>
      </c>
      <c r="K808">
        <v>5</v>
      </c>
      <c r="L808">
        <v>10</v>
      </c>
      <c r="M808">
        <v>642.12</v>
      </c>
      <c r="N808">
        <v>6421.2</v>
      </c>
      <c r="O808">
        <v>7.0000000000000007E-2</v>
      </c>
      <c r="P808">
        <v>449.48</v>
      </c>
      <c r="Q808">
        <v>5971.72</v>
      </c>
      <c r="R808">
        <v>3467.45</v>
      </c>
      <c r="S808">
        <v>2504.27</v>
      </c>
    </row>
    <row r="809" spans="1:19" x14ac:dyDescent="0.35">
      <c r="A809">
        <v>100807</v>
      </c>
      <c r="B809">
        <v>2475</v>
      </c>
      <c r="C809" t="s">
        <v>23</v>
      </c>
      <c r="D809" t="s">
        <v>29</v>
      </c>
      <c r="E809" t="s">
        <v>21</v>
      </c>
      <c r="F809" t="s">
        <v>39</v>
      </c>
      <c r="G809" s="1">
        <v>45056</v>
      </c>
      <c r="H809" s="1">
        <v>45057</v>
      </c>
      <c r="I809" s="1">
        <v>45077</v>
      </c>
      <c r="J809">
        <v>21</v>
      </c>
      <c r="K809">
        <v>1</v>
      </c>
      <c r="L809">
        <v>11</v>
      </c>
      <c r="M809">
        <v>311.36</v>
      </c>
      <c r="N809">
        <v>3424.96</v>
      </c>
      <c r="O809">
        <v>0</v>
      </c>
      <c r="P809">
        <v>0</v>
      </c>
      <c r="Q809">
        <v>3424.96</v>
      </c>
      <c r="R809">
        <v>2157.7199999999998</v>
      </c>
      <c r="S809">
        <v>1267.24</v>
      </c>
    </row>
    <row r="810" spans="1:19" x14ac:dyDescent="0.35">
      <c r="A810">
        <v>100808</v>
      </c>
      <c r="B810">
        <v>2882</v>
      </c>
      <c r="C810" t="s">
        <v>19</v>
      </c>
      <c r="D810" t="s">
        <v>20</v>
      </c>
      <c r="E810" t="s">
        <v>26</v>
      </c>
      <c r="F810" t="s">
        <v>36</v>
      </c>
      <c r="G810" s="1">
        <v>45257</v>
      </c>
      <c r="H810" s="1">
        <v>45261</v>
      </c>
      <c r="I810" s="1">
        <v>45269</v>
      </c>
      <c r="J810">
        <v>12</v>
      </c>
      <c r="K810">
        <v>4</v>
      </c>
      <c r="L810">
        <v>7</v>
      </c>
      <c r="M810">
        <v>47.36</v>
      </c>
      <c r="N810">
        <v>331.52</v>
      </c>
      <c r="O810">
        <v>0.1</v>
      </c>
      <c r="P810">
        <v>33.15</v>
      </c>
      <c r="Q810">
        <v>298.37</v>
      </c>
      <c r="R810">
        <v>215.49</v>
      </c>
      <c r="S810">
        <v>82.88</v>
      </c>
    </row>
    <row r="811" spans="1:19" x14ac:dyDescent="0.35">
      <c r="A811">
        <v>100809</v>
      </c>
      <c r="B811">
        <v>2865</v>
      </c>
      <c r="C811" t="s">
        <v>33</v>
      </c>
      <c r="D811" t="s">
        <v>29</v>
      </c>
      <c r="E811" t="s">
        <v>24</v>
      </c>
      <c r="F811" t="s">
        <v>25</v>
      </c>
      <c r="G811" s="1">
        <v>45129</v>
      </c>
      <c r="H811" s="1">
        <v>45133</v>
      </c>
      <c r="I811" s="1">
        <v>45144</v>
      </c>
      <c r="J811">
        <v>15</v>
      </c>
      <c r="K811">
        <v>4</v>
      </c>
      <c r="L811">
        <v>9</v>
      </c>
      <c r="M811">
        <v>350.32</v>
      </c>
      <c r="N811">
        <v>3152.88</v>
      </c>
      <c r="O811">
        <v>0.03</v>
      </c>
      <c r="P811">
        <v>94.59</v>
      </c>
      <c r="Q811">
        <v>3058.29</v>
      </c>
      <c r="R811">
        <v>2143.96</v>
      </c>
      <c r="S811">
        <v>914.33</v>
      </c>
    </row>
    <row r="812" spans="1:19" x14ac:dyDescent="0.35">
      <c r="A812">
        <v>100810</v>
      </c>
      <c r="B812">
        <v>4466</v>
      </c>
      <c r="C812" t="s">
        <v>28</v>
      </c>
      <c r="D812" t="s">
        <v>29</v>
      </c>
      <c r="E812" t="s">
        <v>34</v>
      </c>
      <c r="F812" t="s">
        <v>43</v>
      </c>
      <c r="G812" s="1">
        <v>44975</v>
      </c>
      <c r="H812" s="1">
        <v>44976</v>
      </c>
      <c r="I812" s="1">
        <v>44980</v>
      </c>
      <c r="J812">
        <v>5</v>
      </c>
      <c r="K812">
        <v>1</v>
      </c>
      <c r="L812">
        <v>1</v>
      </c>
      <c r="M812">
        <v>616.96</v>
      </c>
      <c r="N812">
        <v>616.96</v>
      </c>
      <c r="O812">
        <v>0.05</v>
      </c>
      <c r="P812">
        <v>30.85</v>
      </c>
      <c r="Q812">
        <v>586.11</v>
      </c>
      <c r="R812">
        <v>407.19</v>
      </c>
      <c r="S812">
        <v>178.92</v>
      </c>
    </row>
    <row r="813" spans="1:19" x14ac:dyDescent="0.35">
      <c r="A813">
        <v>100811</v>
      </c>
      <c r="B813">
        <v>2657</v>
      </c>
      <c r="C813" t="s">
        <v>28</v>
      </c>
      <c r="D813" t="s">
        <v>20</v>
      </c>
      <c r="E813" t="s">
        <v>24</v>
      </c>
      <c r="F813" t="s">
        <v>32</v>
      </c>
      <c r="G813" s="1">
        <v>45287</v>
      </c>
      <c r="H813" s="1">
        <v>45291</v>
      </c>
      <c r="I813" s="1">
        <v>45299</v>
      </c>
      <c r="J813">
        <v>12</v>
      </c>
      <c r="K813">
        <v>4</v>
      </c>
      <c r="L813">
        <v>12</v>
      </c>
      <c r="M813">
        <v>537.15</v>
      </c>
      <c r="N813">
        <v>6445.8</v>
      </c>
      <c r="O813">
        <v>0.17</v>
      </c>
      <c r="P813">
        <v>1095.79</v>
      </c>
      <c r="Q813">
        <v>5350.01</v>
      </c>
      <c r="R813">
        <v>3803.02</v>
      </c>
      <c r="S813">
        <v>1546.99</v>
      </c>
    </row>
    <row r="814" spans="1:19" x14ac:dyDescent="0.35">
      <c r="A814">
        <v>100812</v>
      </c>
      <c r="B814">
        <v>2623</v>
      </c>
      <c r="C814" t="s">
        <v>23</v>
      </c>
      <c r="D814" t="s">
        <v>20</v>
      </c>
      <c r="E814" t="s">
        <v>21</v>
      </c>
      <c r="F814" t="s">
        <v>41</v>
      </c>
      <c r="G814" s="1">
        <v>44929</v>
      </c>
      <c r="H814" s="1">
        <v>44934</v>
      </c>
      <c r="I814" s="1">
        <v>44938</v>
      </c>
      <c r="J814">
        <v>9</v>
      </c>
      <c r="K814">
        <v>5</v>
      </c>
      <c r="L814">
        <v>8</v>
      </c>
      <c r="M814">
        <v>288.89999999999998</v>
      </c>
      <c r="N814">
        <v>2311.1999999999998</v>
      </c>
      <c r="O814">
        <v>0.1</v>
      </c>
      <c r="P814">
        <v>231.12</v>
      </c>
      <c r="Q814">
        <v>2080.08</v>
      </c>
      <c r="R814">
        <v>1571.62</v>
      </c>
      <c r="S814">
        <v>508.46</v>
      </c>
    </row>
    <row r="815" spans="1:19" x14ac:dyDescent="0.35">
      <c r="A815">
        <v>100813</v>
      </c>
      <c r="B815">
        <v>2286</v>
      </c>
      <c r="C815" t="s">
        <v>33</v>
      </c>
      <c r="D815" t="s">
        <v>20</v>
      </c>
      <c r="E815" t="s">
        <v>24</v>
      </c>
      <c r="F815" t="s">
        <v>42</v>
      </c>
      <c r="G815" s="1">
        <v>45214</v>
      </c>
      <c r="H815" s="1">
        <v>45217</v>
      </c>
      <c r="I815" s="1">
        <v>45216</v>
      </c>
      <c r="J815">
        <v>2</v>
      </c>
      <c r="K815">
        <v>3</v>
      </c>
      <c r="L815">
        <v>2</v>
      </c>
      <c r="M815">
        <v>152.88</v>
      </c>
      <c r="N815">
        <v>305.76</v>
      </c>
      <c r="O815">
        <v>0.14000000000000001</v>
      </c>
      <c r="P815">
        <v>42.81</v>
      </c>
      <c r="Q815">
        <v>262.95</v>
      </c>
      <c r="R815">
        <v>201.8</v>
      </c>
      <c r="S815">
        <v>61.15</v>
      </c>
    </row>
    <row r="816" spans="1:19" x14ac:dyDescent="0.35">
      <c r="A816">
        <v>100814</v>
      </c>
      <c r="B816">
        <v>4948</v>
      </c>
      <c r="C816" t="s">
        <v>19</v>
      </c>
      <c r="D816" t="s">
        <v>31</v>
      </c>
      <c r="E816" t="s">
        <v>26</v>
      </c>
      <c r="F816" t="s">
        <v>27</v>
      </c>
      <c r="G816" s="1">
        <v>45086</v>
      </c>
      <c r="H816" s="1">
        <v>45088</v>
      </c>
      <c r="I816" s="1">
        <v>45097</v>
      </c>
      <c r="J816">
        <v>11</v>
      </c>
      <c r="K816">
        <v>2</v>
      </c>
      <c r="L816">
        <v>11</v>
      </c>
      <c r="M816">
        <v>670.3</v>
      </c>
      <c r="N816">
        <v>7373.3</v>
      </c>
      <c r="O816">
        <v>0.03</v>
      </c>
      <c r="P816">
        <v>221.2</v>
      </c>
      <c r="Q816">
        <v>7152.1</v>
      </c>
      <c r="R816">
        <v>4497.71</v>
      </c>
      <c r="S816">
        <v>2654.39</v>
      </c>
    </row>
    <row r="817" spans="1:19" x14ac:dyDescent="0.35">
      <c r="A817">
        <v>100815</v>
      </c>
      <c r="B817">
        <v>3105</v>
      </c>
      <c r="C817" t="s">
        <v>23</v>
      </c>
      <c r="D817" t="s">
        <v>20</v>
      </c>
      <c r="E817" t="s">
        <v>21</v>
      </c>
      <c r="F817" t="s">
        <v>22</v>
      </c>
      <c r="G817" s="1">
        <v>44942</v>
      </c>
      <c r="H817" s="1">
        <v>44944</v>
      </c>
      <c r="I817" s="1">
        <v>44964</v>
      </c>
      <c r="J817">
        <v>22</v>
      </c>
      <c r="K817">
        <v>2</v>
      </c>
      <c r="L817">
        <v>6</v>
      </c>
      <c r="M817">
        <v>740.65</v>
      </c>
      <c r="N817">
        <v>4443.8999999999996</v>
      </c>
      <c r="O817">
        <v>0.03</v>
      </c>
      <c r="P817">
        <v>133.32</v>
      </c>
      <c r="Q817">
        <v>4310.58</v>
      </c>
      <c r="R817">
        <v>3110.73</v>
      </c>
      <c r="S817">
        <v>1199.8499999999999</v>
      </c>
    </row>
    <row r="818" spans="1:19" x14ac:dyDescent="0.35">
      <c r="A818">
        <v>100816</v>
      </c>
      <c r="B818">
        <v>1052</v>
      </c>
      <c r="C818" t="s">
        <v>28</v>
      </c>
      <c r="D818" t="s">
        <v>31</v>
      </c>
      <c r="E818" t="s">
        <v>26</v>
      </c>
      <c r="F818" t="s">
        <v>36</v>
      </c>
      <c r="G818" s="1">
        <v>45100</v>
      </c>
      <c r="H818" s="1">
        <v>45104</v>
      </c>
      <c r="I818" s="1">
        <v>45118</v>
      </c>
      <c r="J818">
        <v>18</v>
      </c>
      <c r="K818">
        <v>4</v>
      </c>
      <c r="L818">
        <v>13</v>
      </c>
      <c r="M818">
        <v>223.55</v>
      </c>
      <c r="N818">
        <v>2906.15</v>
      </c>
      <c r="O818">
        <v>0.04</v>
      </c>
      <c r="P818">
        <v>116.25</v>
      </c>
      <c r="Q818">
        <v>2789.9</v>
      </c>
      <c r="R818">
        <v>1976.18</v>
      </c>
      <c r="S818">
        <v>813.72</v>
      </c>
    </row>
    <row r="819" spans="1:19" x14ac:dyDescent="0.35">
      <c r="A819">
        <v>100817</v>
      </c>
      <c r="B819">
        <v>2785</v>
      </c>
      <c r="C819" t="s">
        <v>23</v>
      </c>
      <c r="D819" t="s">
        <v>31</v>
      </c>
      <c r="E819" t="s">
        <v>34</v>
      </c>
      <c r="F819" t="s">
        <v>45</v>
      </c>
      <c r="G819" s="1">
        <v>45176</v>
      </c>
      <c r="H819" s="1">
        <v>45179</v>
      </c>
      <c r="I819" s="1">
        <v>45181</v>
      </c>
      <c r="J819">
        <v>5</v>
      </c>
      <c r="K819">
        <v>3</v>
      </c>
      <c r="L819">
        <v>5</v>
      </c>
      <c r="M819">
        <v>192.91</v>
      </c>
      <c r="N819">
        <v>964.55</v>
      </c>
      <c r="O819">
        <v>0.09</v>
      </c>
      <c r="P819">
        <v>86.81</v>
      </c>
      <c r="Q819">
        <v>877.74</v>
      </c>
      <c r="R819">
        <v>588.38</v>
      </c>
      <c r="S819">
        <v>289.36</v>
      </c>
    </row>
    <row r="820" spans="1:19" x14ac:dyDescent="0.35">
      <c r="A820">
        <v>100818</v>
      </c>
      <c r="B820">
        <v>3417</v>
      </c>
      <c r="C820" t="s">
        <v>19</v>
      </c>
      <c r="D820" t="s">
        <v>20</v>
      </c>
      <c r="E820" t="s">
        <v>34</v>
      </c>
      <c r="F820" t="s">
        <v>43</v>
      </c>
      <c r="G820" s="1">
        <v>45011</v>
      </c>
      <c r="H820" s="1">
        <v>45016</v>
      </c>
      <c r="I820" s="1">
        <v>45024</v>
      </c>
      <c r="J820">
        <v>13</v>
      </c>
      <c r="K820">
        <v>5</v>
      </c>
      <c r="L820">
        <v>14</v>
      </c>
      <c r="M820">
        <v>335.29</v>
      </c>
      <c r="N820">
        <v>4694.0600000000004</v>
      </c>
      <c r="O820">
        <v>0</v>
      </c>
      <c r="P820">
        <v>0</v>
      </c>
      <c r="Q820">
        <v>4694.0600000000004</v>
      </c>
      <c r="R820">
        <v>2957.26</v>
      </c>
      <c r="S820">
        <v>1736.8</v>
      </c>
    </row>
    <row r="821" spans="1:19" x14ac:dyDescent="0.35">
      <c r="A821">
        <v>100819</v>
      </c>
      <c r="B821">
        <v>2324</v>
      </c>
      <c r="C821" t="s">
        <v>28</v>
      </c>
      <c r="D821" t="s">
        <v>29</v>
      </c>
      <c r="E821" t="s">
        <v>24</v>
      </c>
      <c r="F821" t="s">
        <v>32</v>
      </c>
      <c r="G821" s="1">
        <v>45077</v>
      </c>
      <c r="H821" s="1">
        <v>45081</v>
      </c>
      <c r="I821" s="1">
        <v>45097</v>
      </c>
      <c r="J821">
        <v>20</v>
      </c>
      <c r="K821">
        <v>4</v>
      </c>
      <c r="L821">
        <v>11</v>
      </c>
      <c r="M821">
        <v>610.5</v>
      </c>
      <c r="N821">
        <v>6715.5</v>
      </c>
      <c r="O821">
        <v>0.06</v>
      </c>
      <c r="P821">
        <v>402.93</v>
      </c>
      <c r="Q821">
        <v>6312.57</v>
      </c>
      <c r="R821">
        <v>4029.3</v>
      </c>
      <c r="S821">
        <v>2283.27</v>
      </c>
    </row>
    <row r="822" spans="1:19" x14ac:dyDescent="0.35">
      <c r="A822">
        <v>100820</v>
      </c>
      <c r="B822">
        <v>4367</v>
      </c>
      <c r="C822" t="s">
        <v>23</v>
      </c>
      <c r="D822" t="s">
        <v>31</v>
      </c>
      <c r="E822" t="s">
        <v>34</v>
      </c>
      <c r="F822" t="s">
        <v>35</v>
      </c>
      <c r="G822" s="1">
        <v>44958</v>
      </c>
      <c r="H822" s="1">
        <v>44963</v>
      </c>
      <c r="I822" s="1">
        <v>44973</v>
      </c>
      <c r="J822">
        <v>15</v>
      </c>
      <c r="K822">
        <v>5</v>
      </c>
      <c r="L822">
        <v>14</v>
      </c>
      <c r="M822">
        <v>793.08</v>
      </c>
      <c r="N822">
        <v>11103.12</v>
      </c>
      <c r="O822">
        <v>0.08</v>
      </c>
      <c r="P822">
        <v>888.25</v>
      </c>
      <c r="Q822">
        <v>10214.870000000001</v>
      </c>
      <c r="R822">
        <v>7661.15</v>
      </c>
      <c r="S822">
        <v>2553.7199999999998</v>
      </c>
    </row>
    <row r="823" spans="1:19" x14ac:dyDescent="0.35">
      <c r="A823">
        <v>100821</v>
      </c>
      <c r="B823">
        <v>2811</v>
      </c>
      <c r="C823" t="s">
        <v>33</v>
      </c>
      <c r="D823" t="s">
        <v>20</v>
      </c>
      <c r="E823" t="s">
        <v>34</v>
      </c>
      <c r="F823" t="s">
        <v>40</v>
      </c>
      <c r="G823" s="1">
        <v>45225</v>
      </c>
      <c r="H823" s="1">
        <v>45227</v>
      </c>
      <c r="I823" s="1">
        <v>45227</v>
      </c>
      <c r="J823">
        <v>2</v>
      </c>
      <c r="K823">
        <v>2</v>
      </c>
      <c r="L823">
        <v>11</v>
      </c>
      <c r="M823">
        <v>651.70000000000005</v>
      </c>
      <c r="N823">
        <v>7168.7</v>
      </c>
      <c r="O823">
        <v>0.06</v>
      </c>
      <c r="P823">
        <v>430.12</v>
      </c>
      <c r="Q823">
        <v>6738.58</v>
      </c>
      <c r="R823">
        <v>4587.97</v>
      </c>
      <c r="S823">
        <v>2150.61</v>
      </c>
    </row>
    <row r="824" spans="1:19" x14ac:dyDescent="0.35">
      <c r="A824">
        <v>100822</v>
      </c>
      <c r="B824">
        <v>2686</v>
      </c>
      <c r="C824" t="s">
        <v>23</v>
      </c>
      <c r="D824" t="s">
        <v>29</v>
      </c>
      <c r="E824" t="s">
        <v>26</v>
      </c>
      <c r="F824" t="s">
        <v>37</v>
      </c>
      <c r="G824" s="1">
        <v>45256</v>
      </c>
      <c r="H824" s="1">
        <v>45257</v>
      </c>
      <c r="I824" s="1">
        <v>45273</v>
      </c>
      <c r="J824">
        <v>17</v>
      </c>
      <c r="K824">
        <v>1</v>
      </c>
      <c r="L824">
        <v>10</v>
      </c>
      <c r="M824">
        <v>586.36</v>
      </c>
      <c r="N824">
        <v>5863.6</v>
      </c>
      <c r="O824">
        <v>0.06</v>
      </c>
      <c r="P824">
        <v>351.82</v>
      </c>
      <c r="Q824">
        <v>5511.78</v>
      </c>
      <c r="R824">
        <v>3400.89</v>
      </c>
      <c r="S824">
        <v>2110.89</v>
      </c>
    </row>
    <row r="825" spans="1:19" x14ac:dyDescent="0.35">
      <c r="A825">
        <v>100823</v>
      </c>
      <c r="B825">
        <v>1768</v>
      </c>
      <c r="C825" t="s">
        <v>28</v>
      </c>
      <c r="D825" t="s">
        <v>29</v>
      </c>
      <c r="E825" t="s">
        <v>21</v>
      </c>
      <c r="F825" t="s">
        <v>41</v>
      </c>
      <c r="G825" s="1">
        <v>45274</v>
      </c>
      <c r="H825" s="1">
        <v>45279</v>
      </c>
      <c r="I825" s="1">
        <v>45287</v>
      </c>
      <c r="J825">
        <v>13</v>
      </c>
      <c r="K825">
        <v>5</v>
      </c>
      <c r="L825">
        <v>2</v>
      </c>
      <c r="M825">
        <v>69.95</v>
      </c>
      <c r="N825">
        <v>139.9</v>
      </c>
      <c r="O825">
        <v>0.11</v>
      </c>
      <c r="P825">
        <v>15.39</v>
      </c>
      <c r="Q825">
        <v>124.51</v>
      </c>
      <c r="R825">
        <v>99.33</v>
      </c>
      <c r="S825">
        <v>25.18</v>
      </c>
    </row>
    <row r="826" spans="1:19" x14ac:dyDescent="0.35">
      <c r="A826">
        <v>100824</v>
      </c>
      <c r="B826">
        <v>3676</v>
      </c>
      <c r="C826" t="s">
        <v>33</v>
      </c>
      <c r="D826" t="s">
        <v>29</v>
      </c>
      <c r="E826" t="s">
        <v>34</v>
      </c>
      <c r="F826" t="s">
        <v>40</v>
      </c>
      <c r="G826" s="1">
        <v>45284</v>
      </c>
      <c r="H826" s="1">
        <v>45285</v>
      </c>
      <c r="I826" s="1">
        <v>45288</v>
      </c>
      <c r="J826">
        <v>4</v>
      </c>
      <c r="K826">
        <v>1</v>
      </c>
      <c r="L826">
        <v>9</v>
      </c>
      <c r="M826">
        <v>78.599999999999994</v>
      </c>
      <c r="N826">
        <v>707.4</v>
      </c>
      <c r="O826">
        <v>0.13</v>
      </c>
      <c r="P826">
        <v>91.96</v>
      </c>
      <c r="Q826">
        <v>615.44000000000005</v>
      </c>
      <c r="R826">
        <v>452.74</v>
      </c>
      <c r="S826">
        <v>162.69999999999999</v>
      </c>
    </row>
    <row r="827" spans="1:19" x14ac:dyDescent="0.35">
      <c r="A827">
        <v>100825</v>
      </c>
      <c r="B827">
        <v>4905</v>
      </c>
      <c r="C827" t="s">
        <v>19</v>
      </c>
      <c r="D827" t="s">
        <v>29</v>
      </c>
      <c r="E827" t="s">
        <v>24</v>
      </c>
      <c r="F827" t="s">
        <v>42</v>
      </c>
      <c r="G827" s="1">
        <v>45241</v>
      </c>
      <c r="H827" s="1">
        <v>45242</v>
      </c>
      <c r="I827" s="1">
        <v>45257</v>
      </c>
      <c r="J827">
        <v>16</v>
      </c>
      <c r="K827">
        <v>1</v>
      </c>
      <c r="L827">
        <v>13</v>
      </c>
      <c r="M827">
        <v>156.74</v>
      </c>
      <c r="N827">
        <v>2037.62</v>
      </c>
      <c r="O827">
        <v>0.05</v>
      </c>
      <c r="P827">
        <v>101.88</v>
      </c>
      <c r="Q827">
        <v>1935.74</v>
      </c>
      <c r="R827">
        <v>1263.32</v>
      </c>
      <c r="S827">
        <v>672.42</v>
      </c>
    </row>
    <row r="828" spans="1:19" x14ac:dyDescent="0.35">
      <c r="A828">
        <v>100826</v>
      </c>
      <c r="B828">
        <v>3343</v>
      </c>
      <c r="C828" t="s">
        <v>28</v>
      </c>
      <c r="D828" t="s">
        <v>20</v>
      </c>
      <c r="E828" t="s">
        <v>34</v>
      </c>
      <c r="F828" t="s">
        <v>43</v>
      </c>
      <c r="G828" s="1">
        <v>45255</v>
      </c>
      <c r="H828" s="1">
        <v>45257</v>
      </c>
      <c r="I828" s="1">
        <v>45274</v>
      </c>
      <c r="J828">
        <v>19</v>
      </c>
      <c r="K828">
        <v>2</v>
      </c>
      <c r="L828">
        <v>3</v>
      </c>
      <c r="M828">
        <v>536.84</v>
      </c>
      <c r="N828">
        <v>1610.52</v>
      </c>
      <c r="O828">
        <v>0.06</v>
      </c>
      <c r="P828">
        <v>96.63</v>
      </c>
      <c r="Q828">
        <v>1513.89</v>
      </c>
      <c r="R828">
        <v>934.1</v>
      </c>
      <c r="S828">
        <v>579.79</v>
      </c>
    </row>
    <row r="829" spans="1:19" x14ac:dyDescent="0.35">
      <c r="A829">
        <v>100827</v>
      </c>
      <c r="B829">
        <v>3161</v>
      </c>
      <c r="C829" t="s">
        <v>19</v>
      </c>
      <c r="D829" t="s">
        <v>31</v>
      </c>
      <c r="E829" t="s">
        <v>26</v>
      </c>
      <c r="F829" t="s">
        <v>27</v>
      </c>
      <c r="G829" s="1">
        <v>45104</v>
      </c>
      <c r="H829" s="1">
        <v>45107</v>
      </c>
      <c r="I829" s="1">
        <v>45126</v>
      </c>
      <c r="J829">
        <v>22</v>
      </c>
      <c r="K829">
        <v>3</v>
      </c>
      <c r="L829">
        <v>10</v>
      </c>
      <c r="M829">
        <v>216.02</v>
      </c>
      <c r="N829">
        <v>2160.1999999999998</v>
      </c>
      <c r="O829">
        <v>0.14000000000000001</v>
      </c>
      <c r="P829">
        <v>302.43</v>
      </c>
      <c r="Q829">
        <v>1857.77</v>
      </c>
      <c r="R829">
        <v>1231.31</v>
      </c>
      <c r="S829">
        <v>626.46</v>
      </c>
    </row>
    <row r="830" spans="1:19" x14ac:dyDescent="0.35">
      <c r="A830">
        <v>100828</v>
      </c>
      <c r="B830">
        <v>1495</v>
      </c>
      <c r="C830" t="s">
        <v>28</v>
      </c>
      <c r="D830" t="s">
        <v>20</v>
      </c>
      <c r="E830" t="s">
        <v>34</v>
      </c>
      <c r="F830" t="s">
        <v>40</v>
      </c>
      <c r="G830" s="1">
        <v>45165</v>
      </c>
      <c r="H830" s="1">
        <v>45168</v>
      </c>
      <c r="I830" s="1">
        <v>45194</v>
      </c>
      <c r="J830">
        <v>29</v>
      </c>
      <c r="K830">
        <v>3</v>
      </c>
      <c r="L830">
        <v>4</v>
      </c>
      <c r="M830">
        <v>499.53</v>
      </c>
      <c r="N830">
        <v>1998.12</v>
      </c>
      <c r="O830">
        <v>0.13</v>
      </c>
      <c r="P830">
        <v>259.76</v>
      </c>
      <c r="Q830">
        <v>1738.36</v>
      </c>
      <c r="R830">
        <v>1298.78</v>
      </c>
      <c r="S830">
        <v>439.58</v>
      </c>
    </row>
    <row r="831" spans="1:19" x14ac:dyDescent="0.35">
      <c r="A831">
        <v>100829</v>
      </c>
      <c r="B831">
        <v>1671</v>
      </c>
      <c r="C831" t="s">
        <v>33</v>
      </c>
      <c r="D831" t="s">
        <v>29</v>
      </c>
      <c r="E831" t="s">
        <v>21</v>
      </c>
      <c r="F831" t="s">
        <v>41</v>
      </c>
      <c r="G831" s="1">
        <v>45214</v>
      </c>
      <c r="H831" s="1">
        <v>45218</v>
      </c>
      <c r="I831" s="1">
        <v>45227</v>
      </c>
      <c r="J831">
        <v>13</v>
      </c>
      <c r="K831">
        <v>4</v>
      </c>
      <c r="L831">
        <v>5</v>
      </c>
      <c r="M831">
        <v>649.15</v>
      </c>
      <c r="N831">
        <v>3245.75</v>
      </c>
      <c r="O831">
        <v>0.13</v>
      </c>
      <c r="P831">
        <v>421.95</v>
      </c>
      <c r="Q831">
        <v>2823.8</v>
      </c>
      <c r="R831">
        <v>1979.91</v>
      </c>
      <c r="S831">
        <v>843.89</v>
      </c>
    </row>
    <row r="832" spans="1:19" x14ac:dyDescent="0.35">
      <c r="A832">
        <v>100830</v>
      </c>
      <c r="B832">
        <v>3424</v>
      </c>
      <c r="C832" t="s">
        <v>23</v>
      </c>
      <c r="D832" t="s">
        <v>29</v>
      </c>
      <c r="E832" t="s">
        <v>24</v>
      </c>
      <c r="F832" t="s">
        <v>25</v>
      </c>
      <c r="G832" s="1">
        <v>45206</v>
      </c>
      <c r="H832" s="1">
        <v>45210</v>
      </c>
      <c r="I832" s="1">
        <v>45211</v>
      </c>
      <c r="J832">
        <v>5</v>
      </c>
      <c r="K832">
        <v>4</v>
      </c>
      <c r="L832">
        <v>13</v>
      </c>
      <c r="M832">
        <v>9.14</v>
      </c>
      <c r="N832">
        <v>118.82</v>
      </c>
      <c r="O832">
        <v>0</v>
      </c>
      <c r="P832">
        <v>0</v>
      </c>
      <c r="Q832">
        <v>118.82</v>
      </c>
      <c r="R832">
        <v>77.23</v>
      </c>
      <c r="S832">
        <v>41.59</v>
      </c>
    </row>
    <row r="833" spans="1:19" x14ac:dyDescent="0.35">
      <c r="A833">
        <v>100831</v>
      </c>
      <c r="B833">
        <v>2476</v>
      </c>
      <c r="C833" t="s">
        <v>23</v>
      </c>
      <c r="D833" t="s">
        <v>20</v>
      </c>
      <c r="E833" t="s">
        <v>24</v>
      </c>
      <c r="F833" t="s">
        <v>30</v>
      </c>
      <c r="G833" s="1">
        <v>45023</v>
      </c>
      <c r="H833" s="1">
        <v>45028</v>
      </c>
      <c r="I833" s="1">
        <v>45035</v>
      </c>
      <c r="J833">
        <v>12</v>
      </c>
      <c r="K833">
        <v>5</v>
      </c>
      <c r="L833">
        <v>7</v>
      </c>
      <c r="M833">
        <v>564.62</v>
      </c>
      <c r="N833">
        <v>3952.34</v>
      </c>
      <c r="O833">
        <v>0.02</v>
      </c>
      <c r="P833">
        <v>79.05</v>
      </c>
      <c r="Q833">
        <v>3873.29</v>
      </c>
      <c r="R833">
        <v>2015.69</v>
      </c>
      <c r="S833">
        <v>1857.6</v>
      </c>
    </row>
    <row r="834" spans="1:19" x14ac:dyDescent="0.35">
      <c r="A834">
        <v>100832</v>
      </c>
      <c r="B834">
        <v>2888</v>
      </c>
      <c r="C834" t="s">
        <v>33</v>
      </c>
      <c r="D834" t="s">
        <v>29</v>
      </c>
      <c r="E834" t="s">
        <v>26</v>
      </c>
      <c r="F834" t="s">
        <v>27</v>
      </c>
      <c r="G834" s="1">
        <v>44934</v>
      </c>
      <c r="H834" s="1">
        <v>44939</v>
      </c>
      <c r="I834" s="1">
        <v>44960</v>
      </c>
      <c r="J834">
        <v>26</v>
      </c>
      <c r="K834">
        <v>5</v>
      </c>
      <c r="L834">
        <v>4</v>
      </c>
      <c r="M834">
        <v>166.91</v>
      </c>
      <c r="N834">
        <v>667.64</v>
      </c>
      <c r="O834">
        <v>0.06</v>
      </c>
      <c r="P834">
        <v>40.06</v>
      </c>
      <c r="Q834">
        <v>627.58000000000004</v>
      </c>
      <c r="R834">
        <v>413.94</v>
      </c>
      <c r="S834">
        <v>213.64</v>
      </c>
    </row>
    <row r="835" spans="1:19" x14ac:dyDescent="0.35">
      <c r="A835">
        <v>100833</v>
      </c>
      <c r="B835">
        <v>2904</v>
      </c>
      <c r="C835" t="s">
        <v>19</v>
      </c>
      <c r="D835" t="s">
        <v>31</v>
      </c>
      <c r="E835" t="s">
        <v>26</v>
      </c>
      <c r="F835" t="s">
        <v>37</v>
      </c>
      <c r="G835" s="1">
        <v>45183</v>
      </c>
      <c r="H835" s="1">
        <v>45188</v>
      </c>
      <c r="I835" s="1">
        <v>45211</v>
      </c>
      <c r="J835">
        <v>28</v>
      </c>
      <c r="K835">
        <v>5</v>
      </c>
      <c r="L835">
        <v>12</v>
      </c>
      <c r="M835">
        <v>330.61</v>
      </c>
      <c r="N835">
        <v>3967.32</v>
      </c>
      <c r="O835">
        <v>0.03</v>
      </c>
      <c r="P835">
        <v>119.02</v>
      </c>
      <c r="Q835">
        <v>3848.3</v>
      </c>
      <c r="R835">
        <v>2340.7199999999998</v>
      </c>
      <c r="S835">
        <v>1507.58</v>
      </c>
    </row>
    <row r="836" spans="1:19" x14ac:dyDescent="0.35">
      <c r="A836">
        <v>100834</v>
      </c>
      <c r="B836">
        <v>1699</v>
      </c>
      <c r="C836" t="s">
        <v>19</v>
      </c>
      <c r="D836" t="s">
        <v>31</v>
      </c>
      <c r="E836" t="s">
        <v>34</v>
      </c>
      <c r="F836" t="s">
        <v>40</v>
      </c>
      <c r="G836" s="1">
        <v>45242</v>
      </c>
      <c r="H836" s="1">
        <v>45247</v>
      </c>
      <c r="I836" s="1">
        <v>45261</v>
      </c>
      <c r="J836">
        <v>19</v>
      </c>
      <c r="K836">
        <v>5</v>
      </c>
      <c r="L836">
        <v>12</v>
      </c>
      <c r="M836">
        <v>500.75</v>
      </c>
      <c r="N836">
        <v>6009</v>
      </c>
      <c r="O836">
        <v>0</v>
      </c>
      <c r="P836">
        <v>0</v>
      </c>
      <c r="Q836">
        <v>6009</v>
      </c>
      <c r="R836">
        <v>4086.12</v>
      </c>
      <c r="S836">
        <v>1922.88</v>
      </c>
    </row>
    <row r="837" spans="1:19" x14ac:dyDescent="0.35">
      <c r="A837">
        <v>100835</v>
      </c>
      <c r="B837">
        <v>1606</v>
      </c>
      <c r="C837" t="s">
        <v>33</v>
      </c>
      <c r="D837" t="s">
        <v>31</v>
      </c>
      <c r="E837" t="s">
        <v>26</v>
      </c>
      <c r="F837" t="s">
        <v>37</v>
      </c>
      <c r="G837" s="1">
        <v>45085</v>
      </c>
      <c r="H837" s="1">
        <v>45089</v>
      </c>
      <c r="I837" s="1">
        <v>45089</v>
      </c>
      <c r="J837">
        <v>4</v>
      </c>
      <c r="K837">
        <v>4</v>
      </c>
      <c r="L837">
        <v>5</v>
      </c>
      <c r="M837">
        <v>100.07</v>
      </c>
      <c r="N837">
        <v>500.35</v>
      </c>
      <c r="O837">
        <v>0</v>
      </c>
      <c r="P837">
        <v>0</v>
      </c>
      <c r="Q837">
        <v>500.35</v>
      </c>
      <c r="R837">
        <v>325.23</v>
      </c>
      <c r="S837">
        <v>175.12</v>
      </c>
    </row>
    <row r="838" spans="1:19" x14ac:dyDescent="0.35">
      <c r="A838">
        <v>100836</v>
      </c>
      <c r="B838">
        <v>2286</v>
      </c>
      <c r="C838" t="s">
        <v>23</v>
      </c>
      <c r="D838" t="s">
        <v>29</v>
      </c>
      <c r="E838" t="s">
        <v>24</v>
      </c>
      <c r="F838" t="s">
        <v>42</v>
      </c>
      <c r="G838" s="1">
        <v>45177</v>
      </c>
      <c r="H838" s="1">
        <v>45182</v>
      </c>
      <c r="I838" s="1">
        <v>45198</v>
      </c>
      <c r="J838">
        <v>21</v>
      </c>
      <c r="K838">
        <v>5</v>
      </c>
      <c r="L838">
        <v>8</v>
      </c>
      <c r="M838">
        <v>578.04999999999995</v>
      </c>
      <c r="N838">
        <v>4624.3999999999996</v>
      </c>
      <c r="O838">
        <v>0.06</v>
      </c>
      <c r="P838">
        <v>277.45999999999998</v>
      </c>
      <c r="Q838">
        <v>4346.9399999999996</v>
      </c>
      <c r="R838">
        <v>2589.66</v>
      </c>
      <c r="S838">
        <v>1757.28</v>
      </c>
    </row>
    <row r="839" spans="1:19" x14ac:dyDescent="0.35">
      <c r="A839">
        <v>100837</v>
      </c>
      <c r="B839">
        <v>1240</v>
      </c>
      <c r="C839" t="s">
        <v>19</v>
      </c>
      <c r="D839" t="s">
        <v>29</v>
      </c>
      <c r="E839" t="s">
        <v>34</v>
      </c>
      <c r="F839" t="s">
        <v>43</v>
      </c>
      <c r="G839" s="1">
        <v>45119</v>
      </c>
      <c r="H839" s="1">
        <v>45123</v>
      </c>
      <c r="I839" s="1">
        <v>45147</v>
      </c>
      <c r="J839">
        <v>28</v>
      </c>
      <c r="K839">
        <v>4</v>
      </c>
      <c r="L839">
        <v>11</v>
      </c>
      <c r="M839">
        <v>288.45999999999998</v>
      </c>
      <c r="N839">
        <v>3173.06</v>
      </c>
      <c r="O839">
        <v>0.03</v>
      </c>
      <c r="P839">
        <v>95.19</v>
      </c>
      <c r="Q839">
        <v>3077.87</v>
      </c>
      <c r="R839">
        <v>1967.3</v>
      </c>
      <c r="S839">
        <v>1110.57</v>
      </c>
    </row>
    <row r="840" spans="1:19" x14ac:dyDescent="0.35">
      <c r="A840">
        <v>100838</v>
      </c>
      <c r="B840">
        <v>3997</v>
      </c>
      <c r="C840" t="s">
        <v>33</v>
      </c>
      <c r="D840" t="s">
        <v>29</v>
      </c>
      <c r="E840" t="s">
        <v>24</v>
      </c>
      <c r="F840" t="s">
        <v>30</v>
      </c>
      <c r="G840" s="1">
        <v>45242</v>
      </c>
      <c r="H840" s="1">
        <v>45247</v>
      </c>
      <c r="I840" s="1">
        <v>45270</v>
      </c>
      <c r="J840">
        <v>28</v>
      </c>
      <c r="K840">
        <v>5</v>
      </c>
      <c r="L840">
        <v>6</v>
      </c>
      <c r="M840">
        <v>44.97</v>
      </c>
      <c r="N840">
        <v>269.82</v>
      </c>
      <c r="O840">
        <v>0.02</v>
      </c>
      <c r="P840">
        <v>5.4</v>
      </c>
      <c r="Q840">
        <v>264.42</v>
      </c>
      <c r="R840">
        <v>169.99</v>
      </c>
      <c r="S840">
        <v>94.43</v>
      </c>
    </row>
    <row r="841" spans="1:19" x14ac:dyDescent="0.35">
      <c r="A841">
        <v>100839</v>
      </c>
      <c r="B841">
        <v>4518</v>
      </c>
      <c r="C841" t="s">
        <v>33</v>
      </c>
      <c r="D841" t="s">
        <v>29</v>
      </c>
      <c r="E841" t="s">
        <v>34</v>
      </c>
      <c r="F841" t="s">
        <v>35</v>
      </c>
      <c r="G841" s="1">
        <v>45159</v>
      </c>
      <c r="H841" s="1">
        <v>45161</v>
      </c>
      <c r="I841" s="1">
        <v>45166</v>
      </c>
      <c r="J841">
        <v>7</v>
      </c>
      <c r="K841">
        <v>2</v>
      </c>
      <c r="L841">
        <v>12</v>
      </c>
      <c r="M841">
        <v>669.52</v>
      </c>
      <c r="N841">
        <v>8034.24</v>
      </c>
      <c r="O841">
        <v>0.04</v>
      </c>
      <c r="P841">
        <v>321.37</v>
      </c>
      <c r="Q841">
        <v>7712.87</v>
      </c>
      <c r="R841">
        <v>4981.2299999999996</v>
      </c>
      <c r="S841">
        <v>2731.64</v>
      </c>
    </row>
    <row r="842" spans="1:19" x14ac:dyDescent="0.35">
      <c r="A842">
        <v>100840</v>
      </c>
      <c r="B842">
        <v>1320</v>
      </c>
      <c r="C842" t="s">
        <v>23</v>
      </c>
      <c r="D842" t="s">
        <v>31</v>
      </c>
      <c r="E842" t="s">
        <v>24</v>
      </c>
      <c r="F842" t="s">
        <v>32</v>
      </c>
      <c r="G842" s="1">
        <v>45185</v>
      </c>
      <c r="H842" s="1">
        <v>45190</v>
      </c>
      <c r="I842" s="1">
        <v>45201</v>
      </c>
      <c r="J842">
        <v>16</v>
      </c>
      <c r="K842">
        <v>5</v>
      </c>
      <c r="L842">
        <v>2</v>
      </c>
      <c r="M842">
        <v>250.62</v>
      </c>
      <c r="N842">
        <v>501.24</v>
      </c>
      <c r="O842">
        <v>0.01</v>
      </c>
      <c r="P842">
        <v>5.01</v>
      </c>
      <c r="Q842">
        <v>496.23</v>
      </c>
      <c r="R842">
        <v>310.77</v>
      </c>
      <c r="S842">
        <v>185.46</v>
      </c>
    </row>
    <row r="843" spans="1:19" x14ac:dyDescent="0.35">
      <c r="A843">
        <v>100841</v>
      </c>
      <c r="B843">
        <v>4298</v>
      </c>
      <c r="C843" t="s">
        <v>23</v>
      </c>
      <c r="D843" t="s">
        <v>20</v>
      </c>
      <c r="E843" t="s">
        <v>26</v>
      </c>
      <c r="F843" t="s">
        <v>27</v>
      </c>
      <c r="G843" s="1">
        <v>45125</v>
      </c>
      <c r="H843" s="1">
        <v>45130</v>
      </c>
      <c r="I843" s="1">
        <v>45138</v>
      </c>
      <c r="J843">
        <v>13</v>
      </c>
      <c r="K843">
        <v>5</v>
      </c>
      <c r="L843">
        <v>9</v>
      </c>
      <c r="M843">
        <v>789.58</v>
      </c>
      <c r="N843">
        <v>7106.22</v>
      </c>
      <c r="O843">
        <v>0.05</v>
      </c>
      <c r="P843">
        <v>355.31</v>
      </c>
      <c r="Q843">
        <v>6750.91</v>
      </c>
      <c r="R843">
        <v>4405.8599999999997</v>
      </c>
      <c r="S843">
        <v>2345.0500000000002</v>
      </c>
    </row>
    <row r="844" spans="1:19" x14ac:dyDescent="0.35">
      <c r="A844">
        <v>100842</v>
      </c>
      <c r="B844">
        <v>2611</v>
      </c>
      <c r="C844" t="s">
        <v>19</v>
      </c>
      <c r="D844" t="s">
        <v>20</v>
      </c>
      <c r="E844" t="s">
        <v>34</v>
      </c>
      <c r="F844" t="s">
        <v>40</v>
      </c>
      <c r="G844" s="1">
        <v>45089</v>
      </c>
      <c r="H844" s="1">
        <v>45093</v>
      </c>
      <c r="I844" s="1">
        <v>45116</v>
      </c>
      <c r="J844">
        <v>27</v>
      </c>
      <c r="K844">
        <v>4</v>
      </c>
      <c r="L844">
        <v>6</v>
      </c>
      <c r="M844">
        <v>420.17</v>
      </c>
      <c r="N844">
        <v>2521.02</v>
      </c>
      <c r="O844">
        <v>0.08</v>
      </c>
      <c r="P844">
        <v>201.68</v>
      </c>
      <c r="Q844">
        <v>2319.34</v>
      </c>
      <c r="R844">
        <v>1588.24</v>
      </c>
      <c r="S844">
        <v>731.1</v>
      </c>
    </row>
    <row r="845" spans="1:19" x14ac:dyDescent="0.35">
      <c r="A845">
        <v>100843</v>
      </c>
      <c r="B845">
        <v>4290</v>
      </c>
      <c r="C845" t="s">
        <v>23</v>
      </c>
      <c r="D845" t="s">
        <v>20</v>
      </c>
      <c r="E845" t="s">
        <v>34</v>
      </c>
      <c r="F845" t="s">
        <v>45</v>
      </c>
      <c r="G845" s="1">
        <v>45104</v>
      </c>
      <c r="H845" s="1">
        <v>45108</v>
      </c>
      <c r="I845" s="1">
        <v>45129</v>
      </c>
      <c r="J845">
        <v>25</v>
      </c>
      <c r="K845">
        <v>4</v>
      </c>
      <c r="L845">
        <v>5</v>
      </c>
      <c r="M845">
        <v>400.51</v>
      </c>
      <c r="N845">
        <v>2002.55</v>
      </c>
      <c r="O845">
        <v>0.16</v>
      </c>
      <c r="P845">
        <v>320.41000000000003</v>
      </c>
      <c r="Q845">
        <v>1682.14</v>
      </c>
      <c r="R845">
        <v>1141.45</v>
      </c>
      <c r="S845">
        <v>540.69000000000005</v>
      </c>
    </row>
    <row r="846" spans="1:19" x14ac:dyDescent="0.35">
      <c r="A846">
        <v>100844</v>
      </c>
      <c r="B846">
        <v>1643</v>
      </c>
      <c r="C846" t="s">
        <v>33</v>
      </c>
      <c r="D846" t="s">
        <v>31</v>
      </c>
      <c r="E846" t="s">
        <v>24</v>
      </c>
      <c r="F846" t="s">
        <v>32</v>
      </c>
      <c r="G846" s="1">
        <v>45004</v>
      </c>
      <c r="H846" s="1">
        <v>45008</v>
      </c>
      <c r="I846" s="1">
        <v>45012</v>
      </c>
      <c r="J846">
        <v>8</v>
      </c>
      <c r="K846">
        <v>4</v>
      </c>
      <c r="L846">
        <v>2</v>
      </c>
      <c r="M846">
        <v>54.17</v>
      </c>
      <c r="N846">
        <v>108.34</v>
      </c>
      <c r="O846">
        <v>0.08</v>
      </c>
      <c r="P846">
        <v>8.67</v>
      </c>
      <c r="Q846">
        <v>99.67</v>
      </c>
      <c r="R846">
        <v>66.09</v>
      </c>
      <c r="S846">
        <v>33.58</v>
      </c>
    </row>
    <row r="847" spans="1:19" x14ac:dyDescent="0.35">
      <c r="A847">
        <v>100845</v>
      </c>
      <c r="B847">
        <v>2234</v>
      </c>
      <c r="C847" t="s">
        <v>33</v>
      </c>
      <c r="D847" t="s">
        <v>31</v>
      </c>
      <c r="E847" t="s">
        <v>34</v>
      </c>
      <c r="F847" t="s">
        <v>40</v>
      </c>
      <c r="G847" s="1">
        <v>45173</v>
      </c>
      <c r="H847" s="1">
        <v>45174</v>
      </c>
      <c r="I847" s="1">
        <v>45180</v>
      </c>
      <c r="J847">
        <v>7</v>
      </c>
      <c r="K847">
        <v>1</v>
      </c>
      <c r="L847">
        <v>11</v>
      </c>
      <c r="M847">
        <v>566.24</v>
      </c>
      <c r="N847">
        <v>6228.64</v>
      </c>
      <c r="O847">
        <v>0.09</v>
      </c>
      <c r="P847">
        <v>560.58000000000004</v>
      </c>
      <c r="Q847">
        <v>5668.06</v>
      </c>
      <c r="R847">
        <v>3986.33</v>
      </c>
      <c r="S847">
        <v>1681.73</v>
      </c>
    </row>
    <row r="848" spans="1:19" x14ac:dyDescent="0.35">
      <c r="A848">
        <v>100846</v>
      </c>
      <c r="B848">
        <v>4817</v>
      </c>
      <c r="C848" t="s">
        <v>23</v>
      </c>
      <c r="D848" t="s">
        <v>29</v>
      </c>
      <c r="E848" t="s">
        <v>26</v>
      </c>
      <c r="F848" t="s">
        <v>36</v>
      </c>
      <c r="G848" s="1">
        <v>44955</v>
      </c>
      <c r="H848" s="1">
        <v>44958</v>
      </c>
      <c r="I848" s="1">
        <v>44976</v>
      </c>
      <c r="J848">
        <v>21</v>
      </c>
      <c r="K848">
        <v>3</v>
      </c>
      <c r="L848">
        <v>12</v>
      </c>
      <c r="M848">
        <v>484.96</v>
      </c>
      <c r="N848">
        <v>5819.52</v>
      </c>
      <c r="O848">
        <v>7.0000000000000007E-2</v>
      </c>
      <c r="P848">
        <v>407.37</v>
      </c>
      <c r="Q848">
        <v>5412.15</v>
      </c>
      <c r="R848">
        <v>3608.1</v>
      </c>
      <c r="S848">
        <v>1804.05</v>
      </c>
    </row>
    <row r="849" spans="1:19" x14ac:dyDescent="0.35">
      <c r="A849">
        <v>100847</v>
      </c>
      <c r="B849">
        <v>2570</v>
      </c>
      <c r="C849" t="s">
        <v>28</v>
      </c>
      <c r="D849" t="s">
        <v>29</v>
      </c>
      <c r="E849" t="s">
        <v>24</v>
      </c>
      <c r="F849" t="s">
        <v>25</v>
      </c>
      <c r="G849" s="1">
        <v>45117</v>
      </c>
      <c r="H849" s="1">
        <v>45121</v>
      </c>
      <c r="I849" s="1">
        <v>45131</v>
      </c>
      <c r="J849">
        <v>14</v>
      </c>
      <c r="K849">
        <v>4</v>
      </c>
      <c r="L849">
        <v>6</v>
      </c>
      <c r="M849">
        <v>262.82</v>
      </c>
      <c r="N849">
        <v>1576.92</v>
      </c>
      <c r="O849">
        <v>0.08</v>
      </c>
      <c r="P849">
        <v>126.15</v>
      </c>
      <c r="Q849">
        <v>1450.77</v>
      </c>
      <c r="R849">
        <v>1025</v>
      </c>
      <c r="S849">
        <v>425.77</v>
      </c>
    </row>
    <row r="850" spans="1:19" x14ac:dyDescent="0.35">
      <c r="A850">
        <v>100848</v>
      </c>
      <c r="B850">
        <v>3948</v>
      </c>
      <c r="C850" t="s">
        <v>23</v>
      </c>
      <c r="D850" t="s">
        <v>29</v>
      </c>
      <c r="E850" t="s">
        <v>26</v>
      </c>
      <c r="F850" t="s">
        <v>36</v>
      </c>
      <c r="G850" s="1">
        <v>45230</v>
      </c>
      <c r="H850" s="1">
        <v>45232</v>
      </c>
      <c r="I850" s="1">
        <v>45239</v>
      </c>
      <c r="J850">
        <v>9</v>
      </c>
      <c r="K850">
        <v>2</v>
      </c>
      <c r="L850">
        <v>6</v>
      </c>
      <c r="M850">
        <v>222.14</v>
      </c>
      <c r="N850">
        <v>1332.84</v>
      </c>
      <c r="O850">
        <v>0.08</v>
      </c>
      <c r="P850">
        <v>106.63</v>
      </c>
      <c r="Q850">
        <v>1226.21</v>
      </c>
      <c r="R850">
        <v>786.38</v>
      </c>
      <c r="S850">
        <v>439.83</v>
      </c>
    </row>
    <row r="851" spans="1:19" x14ac:dyDescent="0.35">
      <c r="A851">
        <v>100849</v>
      </c>
      <c r="B851">
        <v>4942</v>
      </c>
      <c r="C851" t="s">
        <v>28</v>
      </c>
      <c r="D851" t="s">
        <v>20</v>
      </c>
      <c r="E851" t="s">
        <v>21</v>
      </c>
      <c r="F851" t="s">
        <v>41</v>
      </c>
      <c r="G851" s="1">
        <v>45075</v>
      </c>
      <c r="H851" s="1">
        <v>45080</v>
      </c>
      <c r="I851" s="1">
        <v>45084</v>
      </c>
      <c r="J851">
        <v>9</v>
      </c>
      <c r="K851">
        <v>5</v>
      </c>
      <c r="L851">
        <v>9</v>
      </c>
      <c r="M851">
        <v>593.37</v>
      </c>
      <c r="N851">
        <v>5340.33</v>
      </c>
      <c r="O851">
        <v>0.08</v>
      </c>
      <c r="P851">
        <v>427.23</v>
      </c>
      <c r="Q851">
        <v>4913.1000000000004</v>
      </c>
      <c r="R851">
        <v>3524.62</v>
      </c>
      <c r="S851">
        <v>1388.48</v>
      </c>
    </row>
    <row r="852" spans="1:19" x14ac:dyDescent="0.35">
      <c r="A852">
        <v>100850</v>
      </c>
      <c r="B852">
        <v>3230</v>
      </c>
      <c r="C852" t="s">
        <v>33</v>
      </c>
      <c r="D852" t="s">
        <v>31</v>
      </c>
      <c r="E852" t="s">
        <v>26</v>
      </c>
      <c r="F852" t="s">
        <v>37</v>
      </c>
      <c r="G852" s="1">
        <v>45072</v>
      </c>
      <c r="H852" s="1">
        <v>45075</v>
      </c>
      <c r="I852" s="1">
        <v>45095</v>
      </c>
      <c r="J852">
        <v>23</v>
      </c>
      <c r="K852">
        <v>3</v>
      </c>
      <c r="L852">
        <v>2</v>
      </c>
      <c r="M852">
        <v>17.170000000000002</v>
      </c>
      <c r="N852">
        <v>34.340000000000003</v>
      </c>
      <c r="O852">
        <v>0.03</v>
      </c>
      <c r="P852">
        <v>1.03</v>
      </c>
      <c r="Q852">
        <v>33.31</v>
      </c>
      <c r="R852">
        <v>21.63</v>
      </c>
      <c r="S852">
        <v>11.68</v>
      </c>
    </row>
    <row r="853" spans="1:19" x14ac:dyDescent="0.35">
      <c r="A853">
        <v>100851</v>
      </c>
      <c r="B853">
        <v>4783</v>
      </c>
      <c r="C853" t="s">
        <v>33</v>
      </c>
      <c r="D853" t="s">
        <v>29</v>
      </c>
      <c r="E853" t="s">
        <v>24</v>
      </c>
      <c r="F853" t="s">
        <v>25</v>
      </c>
      <c r="G853" s="1">
        <v>45222</v>
      </c>
      <c r="H853" s="1">
        <v>45225</v>
      </c>
      <c r="I853" s="1">
        <v>45230</v>
      </c>
      <c r="J853">
        <v>8</v>
      </c>
      <c r="K853">
        <v>3</v>
      </c>
      <c r="L853">
        <v>14</v>
      </c>
      <c r="M853">
        <v>185.58</v>
      </c>
      <c r="N853">
        <v>2598.12</v>
      </c>
      <c r="O853">
        <v>7.0000000000000007E-2</v>
      </c>
      <c r="P853">
        <v>181.87</v>
      </c>
      <c r="Q853">
        <v>2416.25</v>
      </c>
      <c r="R853">
        <v>1636.82</v>
      </c>
      <c r="S853">
        <v>779.43</v>
      </c>
    </row>
    <row r="854" spans="1:19" x14ac:dyDescent="0.35">
      <c r="A854">
        <v>100852</v>
      </c>
      <c r="B854">
        <v>2640</v>
      </c>
      <c r="C854" t="s">
        <v>19</v>
      </c>
      <c r="D854" t="s">
        <v>31</v>
      </c>
      <c r="E854" t="s">
        <v>24</v>
      </c>
      <c r="F854" t="s">
        <v>30</v>
      </c>
      <c r="G854" s="1">
        <v>45265</v>
      </c>
      <c r="H854" s="1">
        <v>45267</v>
      </c>
      <c r="I854" s="1">
        <v>45282</v>
      </c>
      <c r="J854">
        <v>17</v>
      </c>
      <c r="K854">
        <v>2</v>
      </c>
      <c r="L854">
        <v>5</v>
      </c>
      <c r="M854">
        <v>283.52999999999997</v>
      </c>
      <c r="N854">
        <v>1417.65</v>
      </c>
      <c r="O854">
        <v>0.19</v>
      </c>
      <c r="P854">
        <v>269.35000000000002</v>
      </c>
      <c r="Q854">
        <v>1148.3</v>
      </c>
      <c r="R854">
        <v>864.77</v>
      </c>
      <c r="S854">
        <v>283.52999999999997</v>
      </c>
    </row>
    <row r="855" spans="1:19" x14ac:dyDescent="0.35">
      <c r="A855">
        <v>100853</v>
      </c>
      <c r="B855">
        <v>4285</v>
      </c>
      <c r="C855" t="s">
        <v>28</v>
      </c>
      <c r="D855" t="s">
        <v>29</v>
      </c>
      <c r="E855" t="s">
        <v>21</v>
      </c>
      <c r="F855" t="s">
        <v>38</v>
      </c>
      <c r="G855" s="1">
        <v>45014</v>
      </c>
      <c r="H855" s="1">
        <v>45017</v>
      </c>
      <c r="I855" s="1">
        <v>45032</v>
      </c>
      <c r="J855">
        <v>18</v>
      </c>
      <c r="K855">
        <v>3</v>
      </c>
      <c r="L855">
        <v>7</v>
      </c>
      <c r="M855">
        <v>209.43</v>
      </c>
      <c r="N855">
        <v>1466.01</v>
      </c>
      <c r="O855">
        <v>0.05</v>
      </c>
      <c r="P855">
        <v>73.3</v>
      </c>
      <c r="Q855">
        <v>1392.71</v>
      </c>
      <c r="R855">
        <v>820.97</v>
      </c>
      <c r="S855">
        <v>571.74</v>
      </c>
    </row>
    <row r="856" spans="1:19" x14ac:dyDescent="0.35">
      <c r="A856">
        <v>100854</v>
      </c>
      <c r="B856">
        <v>2170</v>
      </c>
      <c r="C856" t="s">
        <v>23</v>
      </c>
      <c r="D856" t="s">
        <v>31</v>
      </c>
      <c r="E856" t="s">
        <v>34</v>
      </c>
      <c r="F856" t="s">
        <v>45</v>
      </c>
      <c r="G856" s="1">
        <v>44941</v>
      </c>
      <c r="H856" s="1">
        <v>44942</v>
      </c>
      <c r="I856" s="1">
        <v>44953</v>
      </c>
      <c r="J856">
        <v>12</v>
      </c>
      <c r="K856">
        <v>1</v>
      </c>
      <c r="L856">
        <v>7</v>
      </c>
      <c r="M856">
        <v>677.78</v>
      </c>
      <c r="N856">
        <v>4744.46</v>
      </c>
      <c r="O856">
        <v>7.0000000000000007E-2</v>
      </c>
      <c r="P856">
        <v>332.11</v>
      </c>
      <c r="Q856">
        <v>4412.3500000000004</v>
      </c>
      <c r="R856">
        <v>2609.4499999999998</v>
      </c>
      <c r="S856">
        <v>1802.9</v>
      </c>
    </row>
    <row r="857" spans="1:19" x14ac:dyDescent="0.35">
      <c r="A857">
        <v>100855</v>
      </c>
      <c r="B857">
        <v>4903</v>
      </c>
      <c r="C857" t="s">
        <v>28</v>
      </c>
      <c r="D857" t="s">
        <v>29</v>
      </c>
      <c r="E857" t="s">
        <v>24</v>
      </c>
      <c r="F857" t="s">
        <v>32</v>
      </c>
      <c r="G857" s="1">
        <v>44943</v>
      </c>
      <c r="H857" s="1">
        <v>44945</v>
      </c>
      <c r="I857" s="1">
        <v>44972</v>
      </c>
      <c r="J857">
        <v>29</v>
      </c>
      <c r="K857">
        <v>2</v>
      </c>
      <c r="L857">
        <v>14</v>
      </c>
      <c r="M857">
        <v>292.17</v>
      </c>
      <c r="N857">
        <v>4090.38</v>
      </c>
      <c r="O857">
        <v>0.02</v>
      </c>
      <c r="P857">
        <v>81.81</v>
      </c>
      <c r="Q857">
        <v>4008.57</v>
      </c>
      <c r="R857">
        <v>2617.84</v>
      </c>
      <c r="S857">
        <v>1390.73</v>
      </c>
    </row>
    <row r="858" spans="1:19" x14ac:dyDescent="0.35">
      <c r="A858">
        <v>100856</v>
      </c>
      <c r="B858">
        <v>1036</v>
      </c>
      <c r="C858" t="s">
        <v>28</v>
      </c>
      <c r="D858" t="s">
        <v>29</v>
      </c>
      <c r="E858" t="s">
        <v>34</v>
      </c>
      <c r="F858" t="s">
        <v>35</v>
      </c>
      <c r="G858" s="1">
        <v>45072</v>
      </c>
      <c r="H858" s="1">
        <v>45074</v>
      </c>
      <c r="I858" s="1">
        <v>45099</v>
      </c>
      <c r="J858">
        <v>27</v>
      </c>
      <c r="K858">
        <v>2</v>
      </c>
      <c r="L858">
        <v>6</v>
      </c>
      <c r="M858">
        <v>521.75</v>
      </c>
      <c r="N858">
        <v>3130.5</v>
      </c>
      <c r="O858">
        <v>0.03</v>
      </c>
      <c r="P858">
        <v>93.92</v>
      </c>
      <c r="Q858">
        <v>3036.58</v>
      </c>
      <c r="R858">
        <v>1784.38</v>
      </c>
      <c r="S858">
        <v>1252.2</v>
      </c>
    </row>
    <row r="859" spans="1:19" x14ac:dyDescent="0.35">
      <c r="A859">
        <v>100857</v>
      </c>
      <c r="B859">
        <v>3981</v>
      </c>
      <c r="C859" t="s">
        <v>23</v>
      </c>
      <c r="D859" t="s">
        <v>31</v>
      </c>
      <c r="E859" t="s">
        <v>26</v>
      </c>
      <c r="F859" t="s">
        <v>44</v>
      </c>
      <c r="G859" s="1">
        <v>45062</v>
      </c>
      <c r="H859" s="1">
        <v>45067</v>
      </c>
      <c r="I859" s="1">
        <v>45066</v>
      </c>
      <c r="J859">
        <v>4</v>
      </c>
      <c r="K859">
        <v>5</v>
      </c>
      <c r="L859">
        <v>9</v>
      </c>
      <c r="M859">
        <v>686.64</v>
      </c>
      <c r="N859">
        <v>6179.76</v>
      </c>
      <c r="O859">
        <v>0.02</v>
      </c>
      <c r="P859">
        <v>123.6</v>
      </c>
      <c r="Q859">
        <v>6056.16</v>
      </c>
      <c r="R859">
        <v>3831.45</v>
      </c>
      <c r="S859">
        <v>2224.71</v>
      </c>
    </row>
    <row r="860" spans="1:19" x14ac:dyDescent="0.35">
      <c r="A860">
        <v>100858</v>
      </c>
      <c r="B860">
        <v>1927</v>
      </c>
      <c r="C860" t="s">
        <v>23</v>
      </c>
      <c r="D860" t="s">
        <v>31</v>
      </c>
      <c r="E860" t="s">
        <v>26</v>
      </c>
      <c r="F860" t="s">
        <v>36</v>
      </c>
      <c r="G860" s="1">
        <v>45244</v>
      </c>
      <c r="H860" s="1">
        <v>45246</v>
      </c>
      <c r="I860" s="1">
        <v>45254</v>
      </c>
      <c r="J860">
        <v>10</v>
      </c>
      <c r="K860">
        <v>2</v>
      </c>
      <c r="L860">
        <v>12</v>
      </c>
      <c r="M860">
        <v>432.06</v>
      </c>
      <c r="N860">
        <v>5184.72</v>
      </c>
      <c r="O860">
        <v>0.18</v>
      </c>
      <c r="P860">
        <v>933.25</v>
      </c>
      <c r="Q860">
        <v>4251.47</v>
      </c>
      <c r="R860">
        <v>3058.98</v>
      </c>
      <c r="S860">
        <v>1192.49</v>
      </c>
    </row>
    <row r="861" spans="1:19" x14ac:dyDescent="0.35">
      <c r="A861">
        <v>100859</v>
      </c>
      <c r="B861">
        <v>4757</v>
      </c>
      <c r="C861" t="s">
        <v>28</v>
      </c>
      <c r="D861" t="s">
        <v>31</v>
      </c>
      <c r="E861" t="s">
        <v>24</v>
      </c>
      <c r="F861" t="s">
        <v>32</v>
      </c>
      <c r="G861" s="1">
        <v>45254</v>
      </c>
      <c r="H861" s="1">
        <v>45256</v>
      </c>
      <c r="I861" s="1">
        <v>45275</v>
      </c>
      <c r="J861">
        <v>21</v>
      </c>
      <c r="K861">
        <v>2</v>
      </c>
      <c r="L861">
        <v>2</v>
      </c>
      <c r="M861">
        <v>298.8</v>
      </c>
      <c r="N861">
        <v>597.6</v>
      </c>
      <c r="O861">
        <v>0.05</v>
      </c>
      <c r="P861">
        <v>29.88</v>
      </c>
      <c r="Q861">
        <v>567.72</v>
      </c>
      <c r="R861">
        <v>400.39</v>
      </c>
      <c r="S861">
        <v>167.33</v>
      </c>
    </row>
    <row r="862" spans="1:19" x14ac:dyDescent="0.35">
      <c r="A862">
        <v>100860</v>
      </c>
      <c r="B862">
        <v>4527</v>
      </c>
      <c r="C862" t="s">
        <v>28</v>
      </c>
      <c r="D862" t="s">
        <v>29</v>
      </c>
      <c r="E862" t="s">
        <v>34</v>
      </c>
      <c r="F862" t="s">
        <v>35</v>
      </c>
      <c r="G862" s="1">
        <v>45169</v>
      </c>
      <c r="H862" s="1">
        <v>45174</v>
      </c>
      <c r="I862" s="1">
        <v>45188</v>
      </c>
      <c r="J862">
        <v>19</v>
      </c>
      <c r="K862">
        <v>5</v>
      </c>
      <c r="L862">
        <v>11</v>
      </c>
      <c r="M862">
        <v>43.72</v>
      </c>
      <c r="N862">
        <v>480.92</v>
      </c>
      <c r="O862">
        <v>0.12</v>
      </c>
      <c r="P862">
        <v>57.71</v>
      </c>
      <c r="Q862">
        <v>423.21</v>
      </c>
      <c r="R862">
        <v>302.98</v>
      </c>
      <c r="S862">
        <v>120.23</v>
      </c>
    </row>
    <row r="863" spans="1:19" x14ac:dyDescent="0.35">
      <c r="A863">
        <v>100861</v>
      </c>
      <c r="B863">
        <v>1211</v>
      </c>
      <c r="C863" t="s">
        <v>28</v>
      </c>
      <c r="D863" t="s">
        <v>20</v>
      </c>
      <c r="E863" t="s">
        <v>26</v>
      </c>
      <c r="F863" t="s">
        <v>27</v>
      </c>
      <c r="G863" s="1">
        <v>44962</v>
      </c>
      <c r="H863" s="1">
        <v>44965</v>
      </c>
      <c r="I863" s="1">
        <v>44976</v>
      </c>
      <c r="J863">
        <v>14</v>
      </c>
      <c r="K863">
        <v>3</v>
      </c>
      <c r="L863">
        <v>10</v>
      </c>
      <c r="M863">
        <v>38.15</v>
      </c>
      <c r="N863">
        <v>381.5</v>
      </c>
      <c r="O863">
        <v>0.11</v>
      </c>
      <c r="P863">
        <v>41.96</v>
      </c>
      <c r="Q863">
        <v>339.54</v>
      </c>
      <c r="R863">
        <v>228.9</v>
      </c>
      <c r="S863">
        <v>110.64</v>
      </c>
    </row>
    <row r="864" spans="1:19" x14ac:dyDescent="0.35">
      <c r="A864">
        <v>100862</v>
      </c>
      <c r="B864">
        <v>2125</v>
      </c>
      <c r="C864" t="s">
        <v>23</v>
      </c>
      <c r="D864" t="s">
        <v>31</v>
      </c>
      <c r="E864" t="s">
        <v>21</v>
      </c>
      <c r="F864" t="s">
        <v>39</v>
      </c>
      <c r="G864" s="1">
        <v>45276</v>
      </c>
      <c r="H864" s="1">
        <v>45281</v>
      </c>
      <c r="I864" s="1">
        <v>45289</v>
      </c>
      <c r="J864">
        <v>13</v>
      </c>
      <c r="K864">
        <v>5</v>
      </c>
      <c r="L864">
        <v>12</v>
      </c>
      <c r="M864">
        <v>225.01</v>
      </c>
      <c r="N864">
        <v>2700.12</v>
      </c>
      <c r="O864">
        <v>0.16</v>
      </c>
      <c r="P864">
        <v>432.02</v>
      </c>
      <c r="Q864">
        <v>2268.1</v>
      </c>
      <c r="R864">
        <v>1620.07</v>
      </c>
      <c r="S864">
        <v>648.03</v>
      </c>
    </row>
    <row r="865" spans="1:19" x14ac:dyDescent="0.35">
      <c r="A865">
        <v>100863</v>
      </c>
      <c r="B865">
        <v>3679</v>
      </c>
      <c r="C865" t="s">
        <v>19</v>
      </c>
      <c r="D865" t="s">
        <v>20</v>
      </c>
      <c r="E865" t="s">
        <v>21</v>
      </c>
      <c r="F865" t="s">
        <v>41</v>
      </c>
      <c r="G865" s="1">
        <v>45085</v>
      </c>
      <c r="H865" s="1">
        <v>45086</v>
      </c>
      <c r="I865" s="1">
        <v>45091</v>
      </c>
      <c r="J865">
        <v>6</v>
      </c>
      <c r="K865">
        <v>1</v>
      </c>
      <c r="L865">
        <v>10</v>
      </c>
      <c r="M865">
        <v>281.82</v>
      </c>
      <c r="N865">
        <v>2818.2</v>
      </c>
      <c r="O865">
        <v>0.09</v>
      </c>
      <c r="P865">
        <v>253.64</v>
      </c>
      <c r="Q865">
        <v>2564.56</v>
      </c>
      <c r="R865">
        <v>1888.19</v>
      </c>
      <c r="S865">
        <v>676.37</v>
      </c>
    </row>
    <row r="866" spans="1:19" x14ac:dyDescent="0.35">
      <c r="A866">
        <v>100864</v>
      </c>
      <c r="B866">
        <v>2554</v>
      </c>
      <c r="C866" t="s">
        <v>19</v>
      </c>
      <c r="D866" t="s">
        <v>29</v>
      </c>
      <c r="E866" t="s">
        <v>21</v>
      </c>
      <c r="F866" t="s">
        <v>38</v>
      </c>
      <c r="G866" s="1">
        <v>45000</v>
      </c>
      <c r="H866" s="1">
        <v>45005</v>
      </c>
      <c r="I866" s="1">
        <v>45026</v>
      </c>
      <c r="J866">
        <v>26</v>
      </c>
      <c r="K866">
        <v>5</v>
      </c>
      <c r="L866">
        <v>2</v>
      </c>
      <c r="M866">
        <v>538.1</v>
      </c>
      <c r="N866">
        <v>1076.2</v>
      </c>
      <c r="O866">
        <v>0.1</v>
      </c>
      <c r="P866">
        <v>107.62</v>
      </c>
      <c r="Q866">
        <v>968.58</v>
      </c>
      <c r="R866">
        <v>656.48</v>
      </c>
      <c r="S866">
        <v>312.10000000000002</v>
      </c>
    </row>
    <row r="867" spans="1:19" x14ac:dyDescent="0.35">
      <c r="A867">
        <v>100865</v>
      </c>
      <c r="B867">
        <v>3785</v>
      </c>
      <c r="C867" t="s">
        <v>33</v>
      </c>
      <c r="D867" t="s">
        <v>20</v>
      </c>
      <c r="E867" t="s">
        <v>24</v>
      </c>
      <c r="F867" t="s">
        <v>42</v>
      </c>
      <c r="G867" s="1">
        <v>45112</v>
      </c>
      <c r="H867" s="1">
        <v>45117</v>
      </c>
      <c r="I867" s="1">
        <v>45126</v>
      </c>
      <c r="J867">
        <v>14</v>
      </c>
      <c r="K867">
        <v>5</v>
      </c>
      <c r="L867">
        <v>9</v>
      </c>
      <c r="M867">
        <v>464.46</v>
      </c>
      <c r="N867">
        <v>4180.1400000000003</v>
      </c>
      <c r="O867">
        <v>0.14000000000000001</v>
      </c>
      <c r="P867">
        <v>585.22</v>
      </c>
      <c r="Q867">
        <v>3594.92</v>
      </c>
      <c r="R867">
        <v>2633.49</v>
      </c>
      <c r="S867">
        <v>961.43</v>
      </c>
    </row>
    <row r="868" spans="1:19" x14ac:dyDescent="0.35">
      <c r="A868">
        <v>100866</v>
      </c>
      <c r="B868">
        <v>4518</v>
      </c>
      <c r="C868" t="s">
        <v>23</v>
      </c>
      <c r="D868" t="s">
        <v>20</v>
      </c>
      <c r="E868" t="s">
        <v>26</v>
      </c>
      <c r="F868" t="s">
        <v>27</v>
      </c>
      <c r="G868" s="1">
        <v>44972</v>
      </c>
      <c r="H868" s="1">
        <v>44977</v>
      </c>
      <c r="I868" s="1">
        <v>44992</v>
      </c>
      <c r="J868">
        <v>20</v>
      </c>
      <c r="K868">
        <v>5</v>
      </c>
      <c r="L868">
        <v>7</v>
      </c>
      <c r="M868">
        <v>64</v>
      </c>
      <c r="N868">
        <v>448</v>
      </c>
      <c r="O868">
        <v>0.13</v>
      </c>
      <c r="P868">
        <v>58.24</v>
      </c>
      <c r="Q868">
        <v>389.76</v>
      </c>
      <c r="R868">
        <v>255.36</v>
      </c>
      <c r="S868">
        <v>134.4</v>
      </c>
    </row>
    <row r="869" spans="1:19" x14ac:dyDescent="0.35">
      <c r="A869">
        <v>100867</v>
      </c>
      <c r="B869">
        <v>2398</v>
      </c>
      <c r="C869" t="s">
        <v>33</v>
      </c>
      <c r="D869" t="s">
        <v>31</v>
      </c>
      <c r="E869" t="s">
        <v>21</v>
      </c>
      <c r="F869" t="s">
        <v>39</v>
      </c>
      <c r="G869" s="1">
        <v>45064</v>
      </c>
      <c r="H869" s="1">
        <v>45066</v>
      </c>
      <c r="I869" s="1">
        <v>45085</v>
      </c>
      <c r="J869">
        <v>21</v>
      </c>
      <c r="K869">
        <v>2</v>
      </c>
      <c r="L869">
        <v>7</v>
      </c>
      <c r="M869">
        <v>760.94</v>
      </c>
      <c r="N869">
        <v>5326.58</v>
      </c>
      <c r="O869">
        <v>0.11</v>
      </c>
      <c r="P869">
        <v>585.91999999999996</v>
      </c>
      <c r="Q869">
        <v>4740.66</v>
      </c>
      <c r="R869">
        <v>3249.21</v>
      </c>
      <c r="S869">
        <v>1491.45</v>
      </c>
    </row>
    <row r="870" spans="1:19" x14ac:dyDescent="0.35">
      <c r="A870">
        <v>100868</v>
      </c>
      <c r="B870">
        <v>4575</v>
      </c>
      <c r="C870" t="s">
        <v>28</v>
      </c>
      <c r="D870" t="s">
        <v>31</v>
      </c>
      <c r="E870" t="s">
        <v>34</v>
      </c>
      <c r="F870" t="s">
        <v>43</v>
      </c>
      <c r="G870" s="1">
        <v>45056</v>
      </c>
      <c r="H870" s="1">
        <v>45058</v>
      </c>
      <c r="I870" s="1">
        <v>45086</v>
      </c>
      <c r="J870">
        <v>30</v>
      </c>
      <c r="K870">
        <v>2</v>
      </c>
      <c r="L870">
        <v>10</v>
      </c>
      <c r="M870">
        <v>150.68</v>
      </c>
      <c r="N870">
        <v>1506.8</v>
      </c>
      <c r="O870">
        <v>0.11</v>
      </c>
      <c r="P870">
        <v>165.75</v>
      </c>
      <c r="Q870">
        <v>1341.05</v>
      </c>
      <c r="R870">
        <v>1009.56</v>
      </c>
      <c r="S870">
        <v>331.49</v>
      </c>
    </row>
    <row r="871" spans="1:19" x14ac:dyDescent="0.35">
      <c r="A871">
        <v>100869</v>
      </c>
      <c r="B871">
        <v>4361</v>
      </c>
      <c r="C871" t="s">
        <v>33</v>
      </c>
      <c r="D871" t="s">
        <v>20</v>
      </c>
      <c r="E871" t="s">
        <v>26</v>
      </c>
      <c r="F871" t="s">
        <v>36</v>
      </c>
      <c r="G871" s="1">
        <v>44943</v>
      </c>
      <c r="H871" s="1">
        <v>44946</v>
      </c>
      <c r="I871" s="1">
        <v>44959</v>
      </c>
      <c r="J871">
        <v>16</v>
      </c>
      <c r="K871">
        <v>3</v>
      </c>
      <c r="L871">
        <v>11</v>
      </c>
      <c r="M871">
        <v>257.11</v>
      </c>
      <c r="N871">
        <v>2828.21</v>
      </c>
      <c r="O871">
        <v>0</v>
      </c>
      <c r="P871">
        <v>0</v>
      </c>
      <c r="Q871">
        <v>2828.21</v>
      </c>
      <c r="R871">
        <v>1781.77</v>
      </c>
      <c r="S871">
        <v>1046.44</v>
      </c>
    </row>
    <row r="872" spans="1:19" x14ac:dyDescent="0.35">
      <c r="A872">
        <v>100870</v>
      </c>
      <c r="B872">
        <v>3653</v>
      </c>
      <c r="C872" t="s">
        <v>19</v>
      </c>
      <c r="D872" t="s">
        <v>29</v>
      </c>
      <c r="E872" t="s">
        <v>24</v>
      </c>
      <c r="F872" t="s">
        <v>32</v>
      </c>
      <c r="G872" s="1">
        <v>45070</v>
      </c>
      <c r="H872" s="1">
        <v>45074</v>
      </c>
      <c r="I872" s="1">
        <v>45073</v>
      </c>
      <c r="J872">
        <v>3</v>
      </c>
      <c r="K872">
        <v>4</v>
      </c>
      <c r="L872">
        <v>14</v>
      </c>
      <c r="M872">
        <v>630.51</v>
      </c>
      <c r="N872">
        <v>8827.14</v>
      </c>
      <c r="O872">
        <v>0.04</v>
      </c>
      <c r="P872">
        <v>353.09</v>
      </c>
      <c r="Q872">
        <v>8474.0499999999993</v>
      </c>
      <c r="R872">
        <v>6002.46</v>
      </c>
      <c r="S872">
        <v>2471.59</v>
      </c>
    </row>
    <row r="873" spans="1:19" x14ac:dyDescent="0.35">
      <c r="A873">
        <v>100871</v>
      </c>
      <c r="B873">
        <v>4044</v>
      </c>
      <c r="C873" t="s">
        <v>23</v>
      </c>
      <c r="D873" t="s">
        <v>31</v>
      </c>
      <c r="E873" t="s">
        <v>26</v>
      </c>
      <c r="F873" t="s">
        <v>36</v>
      </c>
      <c r="G873" s="1">
        <v>45033</v>
      </c>
      <c r="H873" s="1">
        <v>45034</v>
      </c>
      <c r="I873" s="1">
        <v>45049</v>
      </c>
      <c r="J873">
        <v>16</v>
      </c>
      <c r="K873">
        <v>1</v>
      </c>
      <c r="L873">
        <v>2</v>
      </c>
      <c r="M873">
        <v>413.48</v>
      </c>
      <c r="N873">
        <v>826.96</v>
      </c>
      <c r="O873">
        <v>0</v>
      </c>
      <c r="P873">
        <v>0</v>
      </c>
      <c r="Q873">
        <v>826.96</v>
      </c>
      <c r="R873">
        <v>471.37</v>
      </c>
      <c r="S873">
        <v>355.59</v>
      </c>
    </row>
    <row r="874" spans="1:19" x14ac:dyDescent="0.35">
      <c r="A874">
        <v>100872</v>
      </c>
      <c r="B874">
        <v>2127</v>
      </c>
      <c r="C874" t="s">
        <v>19</v>
      </c>
      <c r="D874" t="s">
        <v>20</v>
      </c>
      <c r="E874" t="s">
        <v>21</v>
      </c>
      <c r="F874" t="s">
        <v>38</v>
      </c>
      <c r="G874" s="1">
        <v>45145</v>
      </c>
      <c r="H874" s="1">
        <v>45147</v>
      </c>
      <c r="I874" s="1">
        <v>45158</v>
      </c>
      <c r="J874">
        <v>13</v>
      </c>
      <c r="K874">
        <v>2</v>
      </c>
      <c r="L874">
        <v>7</v>
      </c>
      <c r="M874">
        <v>677.6</v>
      </c>
      <c r="N874">
        <v>4743.2</v>
      </c>
      <c r="O874">
        <v>0.04</v>
      </c>
      <c r="P874">
        <v>189.73</v>
      </c>
      <c r="Q874">
        <v>4553.47</v>
      </c>
      <c r="R874">
        <v>2561.33</v>
      </c>
      <c r="S874">
        <v>1992.14</v>
      </c>
    </row>
    <row r="875" spans="1:19" x14ac:dyDescent="0.35">
      <c r="A875">
        <v>100873</v>
      </c>
      <c r="B875">
        <v>2809</v>
      </c>
      <c r="C875" t="s">
        <v>28</v>
      </c>
      <c r="D875" t="s">
        <v>20</v>
      </c>
      <c r="E875" t="s">
        <v>24</v>
      </c>
      <c r="F875" t="s">
        <v>42</v>
      </c>
      <c r="G875" s="1">
        <v>45048</v>
      </c>
      <c r="H875" s="1">
        <v>45053</v>
      </c>
      <c r="I875" s="1">
        <v>45066</v>
      </c>
      <c r="J875">
        <v>18</v>
      </c>
      <c r="K875">
        <v>5</v>
      </c>
      <c r="L875">
        <v>7</v>
      </c>
      <c r="M875">
        <v>321.23</v>
      </c>
      <c r="N875">
        <v>2248.61</v>
      </c>
      <c r="O875">
        <v>0.12</v>
      </c>
      <c r="P875">
        <v>269.83</v>
      </c>
      <c r="Q875">
        <v>1978.78</v>
      </c>
      <c r="R875">
        <v>1416.62</v>
      </c>
      <c r="S875">
        <v>562.16</v>
      </c>
    </row>
    <row r="876" spans="1:19" x14ac:dyDescent="0.35">
      <c r="A876">
        <v>100874</v>
      </c>
      <c r="B876">
        <v>1035</v>
      </c>
      <c r="C876" t="s">
        <v>28</v>
      </c>
      <c r="D876" t="s">
        <v>29</v>
      </c>
      <c r="E876" t="s">
        <v>24</v>
      </c>
      <c r="F876" t="s">
        <v>32</v>
      </c>
      <c r="G876" s="1">
        <v>44962</v>
      </c>
      <c r="H876" s="1">
        <v>44964</v>
      </c>
      <c r="I876" s="1">
        <v>44986</v>
      </c>
      <c r="J876">
        <v>24</v>
      </c>
      <c r="K876">
        <v>2</v>
      </c>
      <c r="L876">
        <v>2</v>
      </c>
      <c r="M876">
        <v>333.67</v>
      </c>
      <c r="N876">
        <v>667.34</v>
      </c>
      <c r="O876">
        <v>0.06</v>
      </c>
      <c r="P876">
        <v>40.04</v>
      </c>
      <c r="Q876">
        <v>627.29999999999995</v>
      </c>
      <c r="R876">
        <v>447.12</v>
      </c>
      <c r="S876">
        <v>180.18</v>
      </c>
    </row>
    <row r="877" spans="1:19" x14ac:dyDescent="0.35">
      <c r="A877">
        <v>100875</v>
      </c>
      <c r="B877">
        <v>3255</v>
      </c>
      <c r="C877" t="s">
        <v>23</v>
      </c>
      <c r="D877" t="s">
        <v>20</v>
      </c>
      <c r="E877" t="s">
        <v>24</v>
      </c>
      <c r="F877" t="s">
        <v>32</v>
      </c>
      <c r="G877" s="1">
        <v>44946</v>
      </c>
      <c r="H877" s="1">
        <v>44950</v>
      </c>
      <c r="I877" s="1">
        <v>44974</v>
      </c>
      <c r="J877">
        <v>28</v>
      </c>
      <c r="K877">
        <v>4</v>
      </c>
      <c r="L877">
        <v>14</v>
      </c>
      <c r="M877">
        <v>526.75</v>
      </c>
      <c r="N877">
        <v>7374.5</v>
      </c>
      <c r="O877">
        <v>7.0000000000000007E-2</v>
      </c>
      <c r="P877">
        <v>516.22</v>
      </c>
      <c r="Q877">
        <v>6858.28</v>
      </c>
      <c r="R877">
        <v>4719.68</v>
      </c>
      <c r="S877">
        <v>2138.6</v>
      </c>
    </row>
    <row r="878" spans="1:19" x14ac:dyDescent="0.35">
      <c r="A878">
        <v>100876</v>
      </c>
      <c r="B878">
        <v>2828</v>
      </c>
      <c r="C878" t="s">
        <v>19</v>
      </c>
      <c r="D878" t="s">
        <v>20</v>
      </c>
      <c r="E878" t="s">
        <v>26</v>
      </c>
      <c r="F878" t="s">
        <v>27</v>
      </c>
      <c r="G878" s="1">
        <v>44996</v>
      </c>
      <c r="H878" s="1">
        <v>44997</v>
      </c>
      <c r="I878" s="1">
        <v>45013</v>
      </c>
      <c r="J878">
        <v>17</v>
      </c>
      <c r="K878">
        <v>1</v>
      </c>
      <c r="L878">
        <v>7</v>
      </c>
      <c r="M878">
        <v>552.58000000000004</v>
      </c>
      <c r="N878">
        <v>3868.06</v>
      </c>
      <c r="O878">
        <v>0.12</v>
      </c>
      <c r="P878">
        <v>464.17</v>
      </c>
      <c r="Q878">
        <v>3403.89</v>
      </c>
      <c r="R878">
        <v>2359.52</v>
      </c>
      <c r="S878">
        <v>1044.3699999999999</v>
      </c>
    </row>
    <row r="879" spans="1:19" x14ac:dyDescent="0.35">
      <c r="A879">
        <v>100877</v>
      </c>
      <c r="B879">
        <v>4344</v>
      </c>
      <c r="C879" t="s">
        <v>19</v>
      </c>
      <c r="D879" t="s">
        <v>20</v>
      </c>
      <c r="E879" t="s">
        <v>34</v>
      </c>
      <c r="F879" t="s">
        <v>35</v>
      </c>
      <c r="G879" s="1">
        <v>45260</v>
      </c>
      <c r="H879" s="1">
        <v>45264</v>
      </c>
      <c r="I879" s="1">
        <v>45272</v>
      </c>
      <c r="J879">
        <v>12</v>
      </c>
      <c r="K879">
        <v>4</v>
      </c>
      <c r="L879">
        <v>11</v>
      </c>
      <c r="M879">
        <v>494.31</v>
      </c>
      <c r="N879">
        <v>5437.41</v>
      </c>
      <c r="O879">
        <v>0.09</v>
      </c>
      <c r="P879">
        <v>489.37</v>
      </c>
      <c r="Q879">
        <v>4948.04</v>
      </c>
      <c r="R879">
        <v>3262.45</v>
      </c>
      <c r="S879">
        <v>1685.59</v>
      </c>
    </row>
    <row r="880" spans="1:19" x14ac:dyDescent="0.35">
      <c r="A880">
        <v>100878</v>
      </c>
      <c r="B880">
        <v>3087</v>
      </c>
      <c r="C880" t="s">
        <v>33</v>
      </c>
      <c r="D880" t="s">
        <v>20</v>
      </c>
      <c r="E880" t="s">
        <v>34</v>
      </c>
      <c r="F880" t="s">
        <v>43</v>
      </c>
      <c r="G880" s="1">
        <v>44993</v>
      </c>
      <c r="H880" s="1">
        <v>44995</v>
      </c>
      <c r="I880" s="1">
        <v>45019</v>
      </c>
      <c r="J880">
        <v>26</v>
      </c>
      <c r="K880">
        <v>2</v>
      </c>
      <c r="L880">
        <v>6</v>
      </c>
      <c r="M880">
        <v>226.87</v>
      </c>
      <c r="N880">
        <v>1361.22</v>
      </c>
      <c r="O880">
        <v>0.15</v>
      </c>
      <c r="P880">
        <v>204.18</v>
      </c>
      <c r="Q880">
        <v>1157.04</v>
      </c>
      <c r="R880">
        <v>830.34</v>
      </c>
      <c r="S880">
        <v>326.7</v>
      </c>
    </row>
    <row r="881" spans="1:19" x14ac:dyDescent="0.35">
      <c r="A881">
        <v>100879</v>
      </c>
      <c r="B881">
        <v>4927</v>
      </c>
      <c r="C881" t="s">
        <v>28</v>
      </c>
      <c r="D881" t="s">
        <v>20</v>
      </c>
      <c r="E881" t="s">
        <v>24</v>
      </c>
      <c r="F881" t="s">
        <v>32</v>
      </c>
      <c r="G881" s="1">
        <v>45159</v>
      </c>
      <c r="H881" s="1">
        <v>45162</v>
      </c>
      <c r="I881" s="1">
        <v>45172</v>
      </c>
      <c r="J881">
        <v>13</v>
      </c>
      <c r="K881">
        <v>3</v>
      </c>
      <c r="L881">
        <v>2</v>
      </c>
      <c r="M881">
        <v>612.29999999999995</v>
      </c>
      <c r="N881">
        <v>1224.5999999999999</v>
      </c>
      <c r="O881">
        <v>7.0000000000000007E-2</v>
      </c>
      <c r="P881">
        <v>85.72</v>
      </c>
      <c r="Q881">
        <v>1138.8800000000001</v>
      </c>
      <c r="R881">
        <v>759.25</v>
      </c>
      <c r="S881">
        <v>379.63</v>
      </c>
    </row>
    <row r="882" spans="1:19" x14ac:dyDescent="0.35">
      <c r="A882">
        <v>100880</v>
      </c>
      <c r="B882">
        <v>2290</v>
      </c>
      <c r="C882" t="s">
        <v>19</v>
      </c>
      <c r="D882" t="s">
        <v>29</v>
      </c>
      <c r="E882" t="s">
        <v>24</v>
      </c>
      <c r="F882" t="s">
        <v>42</v>
      </c>
      <c r="G882" s="1">
        <v>45221</v>
      </c>
      <c r="H882" s="1">
        <v>45222</v>
      </c>
      <c r="I882" s="1">
        <v>45239</v>
      </c>
      <c r="J882">
        <v>18</v>
      </c>
      <c r="K882">
        <v>1</v>
      </c>
      <c r="L882">
        <v>14</v>
      </c>
      <c r="M882">
        <v>683.82</v>
      </c>
      <c r="N882">
        <v>9573.48</v>
      </c>
      <c r="O882">
        <v>0.11</v>
      </c>
      <c r="P882">
        <v>1053.08</v>
      </c>
      <c r="Q882">
        <v>8520.4</v>
      </c>
      <c r="R882">
        <v>5744.09</v>
      </c>
      <c r="S882">
        <v>2776.31</v>
      </c>
    </row>
    <row r="883" spans="1:19" x14ac:dyDescent="0.35">
      <c r="A883">
        <v>100881</v>
      </c>
      <c r="B883">
        <v>2758</v>
      </c>
      <c r="C883" t="s">
        <v>23</v>
      </c>
      <c r="D883" t="s">
        <v>31</v>
      </c>
      <c r="E883" t="s">
        <v>21</v>
      </c>
      <c r="F883" t="s">
        <v>41</v>
      </c>
      <c r="G883" s="1">
        <v>44958</v>
      </c>
      <c r="H883" s="1">
        <v>44959</v>
      </c>
      <c r="I883" s="1">
        <v>44976</v>
      </c>
      <c r="J883">
        <v>18</v>
      </c>
      <c r="K883">
        <v>1</v>
      </c>
      <c r="L883">
        <v>9</v>
      </c>
      <c r="M883">
        <v>656.04</v>
      </c>
      <c r="N883">
        <v>5904.36</v>
      </c>
      <c r="O883">
        <v>7.0000000000000007E-2</v>
      </c>
      <c r="P883">
        <v>413.31</v>
      </c>
      <c r="Q883">
        <v>5491.05</v>
      </c>
      <c r="R883">
        <v>3247.4</v>
      </c>
      <c r="S883">
        <v>2243.65</v>
      </c>
    </row>
    <row r="884" spans="1:19" x14ac:dyDescent="0.35">
      <c r="A884">
        <v>100882</v>
      </c>
      <c r="B884">
        <v>1213</v>
      </c>
      <c r="C884" t="s">
        <v>33</v>
      </c>
      <c r="D884" t="s">
        <v>31</v>
      </c>
      <c r="E884" t="s">
        <v>24</v>
      </c>
      <c r="F884" t="s">
        <v>30</v>
      </c>
      <c r="G884" s="1">
        <v>44938</v>
      </c>
      <c r="H884" s="1">
        <v>44942</v>
      </c>
      <c r="I884" s="1">
        <v>44958</v>
      </c>
      <c r="J884">
        <v>20</v>
      </c>
      <c r="K884">
        <v>4</v>
      </c>
      <c r="L884">
        <v>14</v>
      </c>
      <c r="M884">
        <v>502.06</v>
      </c>
      <c r="N884">
        <v>7028.84</v>
      </c>
      <c r="O884">
        <v>0.12</v>
      </c>
      <c r="P884">
        <v>843.46</v>
      </c>
      <c r="Q884">
        <v>6185.38</v>
      </c>
      <c r="R884">
        <v>4779.6099999999997</v>
      </c>
      <c r="S884">
        <v>1405.77</v>
      </c>
    </row>
    <row r="885" spans="1:19" x14ac:dyDescent="0.35">
      <c r="A885">
        <v>100883</v>
      </c>
      <c r="B885">
        <v>4866</v>
      </c>
      <c r="C885" t="s">
        <v>28</v>
      </c>
      <c r="D885" t="s">
        <v>20</v>
      </c>
      <c r="E885" t="s">
        <v>21</v>
      </c>
      <c r="F885" t="s">
        <v>39</v>
      </c>
      <c r="G885" s="1">
        <v>45141</v>
      </c>
      <c r="H885" s="1">
        <v>45142</v>
      </c>
      <c r="I885" s="1">
        <v>45164</v>
      </c>
      <c r="J885">
        <v>23</v>
      </c>
      <c r="K885">
        <v>1</v>
      </c>
      <c r="L885">
        <v>8</v>
      </c>
      <c r="M885">
        <v>569.76</v>
      </c>
      <c r="N885">
        <v>4558.08</v>
      </c>
      <c r="O885">
        <v>0.18</v>
      </c>
      <c r="P885">
        <v>820.45</v>
      </c>
      <c r="Q885">
        <v>3737.63</v>
      </c>
      <c r="R885">
        <v>2415.7800000000002</v>
      </c>
      <c r="S885">
        <v>1321.85</v>
      </c>
    </row>
    <row r="886" spans="1:19" x14ac:dyDescent="0.35">
      <c r="A886">
        <v>100884</v>
      </c>
      <c r="B886">
        <v>4528</v>
      </c>
      <c r="C886" t="s">
        <v>28</v>
      </c>
      <c r="D886" t="s">
        <v>29</v>
      </c>
      <c r="E886" t="s">
        <v>21</v>
      </c>
      <c r="F886" t="s">
        <v>22</v>
      </c>
      <c r="G886" s="1">
        <v>45246</v>
      </c>
      <c r="H886" s="1">
        <v>45251</v>
      </c>
      <c r="I886" s="1">
        <v>45265</v>
      </c>
      <c r="J886">
        <v>19</v>
      </c>
      <c r="K886">
        <v>5</v>
      </c>
      <c r="L886">
        <v>4</v>
      </c>
      <c r="M886">
        <v>469.73</v>
      </c>
      <c r="N886">
        <v>1878.92</v>
      </c>
      <c r="O886">
        <v>0.21</v>
      </c>
      <c r="P886">
        <v>394.57</v>
      </c>
      <c r="Q886">
        <v>1484.35</v>
      </c>
      <c r="R886">
        <v>1164.93</v>
      </c>
      <c r="S886">
        <v>319.42</v>
      </c>
    </row>
    <row r="887" spans="1:19" x14ac:dyDescent="0.35">
      <c r="A887">
        <v>100885</v>
      </c>
      <c r="B887">
        <v>2407</v>
      </c>
      <c r="C887" t="s">
        <v>33</v>
      </c>
      <c r="D887" t="s">
        <v>31</v>
      </c>
      <c r="E887" t="s">
        <v>24</v>
      </c>
      <c r="F887" t="s">
        <v>42</v>
      </c>
      <c r="G887" s="1">
        <v>44948</v>
      </c>
      <c r="H887" s="1">
        <v>44950</v>
      </c>
      <c r="I887" s="1">
        <v>44953</v>
      </c>
      <c r="J887">
        <v>5</v>
      </c>
      <c r="K887">
        <v>2</v>
      </c>
      <c r="L887">
        <v>12</v>
      </c>
      <c r="M887">
        <v>546.71</v>
      </c>
      <c r="N887">
        <v>6560.52</v>
      </c>
      <c r="O887">
        <v>0.09</v>
      </c>
      <c r="P887">
        <v>590.45000000000005</v>
      </c>
      <c r="Q887">
        <v>5970.07</v>
      </c>
      <c r="R887">
        <v>3870.71</v>
      </c>
      <c r="S887">
        <v>2099.36</v>
      </c>
    </row>
    <row r="888" spans="1:19" x14ac:dyDescent="0.35">
      <c r="A888">
        <v>100886</v>
      </c>
      <c r="B888">
        <v>2732</v>
      </c>
      <c r="C888" t="s">
        <v>28</v>
      </c>
      <c r="D888" t="s">
        <v>29</v>
      </c>
      <c r="E888" t="s">
        <v>21</v>
      </c>
      <c r="F888" t="s">
        <v>38</v>
      </c>
      <c r="G888" s="1">
        <v>45182</v>
      </c>
      <c r="H888" s="1">
        <v>45186</v>
      </c>
      <c r="I888" s="1">
        <v>45184</v>
      </c>
      <c r="J888">
        <v>2</v>
      </c>
      <c r="K888">
        <v>4</v>
      </c>
      <c r="L888">
        <v>2</v>
      </c>
      <c r="M888">
        <v>145.33000000000001</v>
      </c>
      <c r="N888">
        <v>290.66000000000003</v>
      </c>
      <c r="O888">
        <v>0.02</v>
      </c>
      <c r="P888">
        <v>5.81</v>
      </c>
      <c r="Q888">
        <v>284.85000000000002</v>
      </c>
      <c r="R888">
        <v>177.3</v>
      </c>
      <c r="S888">
        <v>107.55</v>
      </c>
    </row>
    <row r="889" spans="1:19" x14ac:dyDescent="0.35">
      <c r="A889">
        <v>100887</v>
      </c>
      <c r="B889">
        <v>3604</v>
      </c>
      <c r="C889" t="s">
        <v>33</v>
      </c>
      <c r="D889" t="s">
        <v>31</v>
      </c>
      <c r="E889" t="s">
        <v>26</v>
      </c>
      <c r="F889" t="s">
        <v>27</v>
      </c>
      <c r="G889" s="1">
        <v>44970</v>
      </c>
      <c r="H889" s="1">
        <v>44972</v>
      </c>
      <c r="I889" s="1">
        <v>44974</v>
      </c>
      <c r="J889">
        <v>4</v>
      </c>
      <c r="K889">
        <v>2</v>
      </c>
      <c r="L889">
        <v>10</v>
      </c>
      <c r="M889">
        <v>301.27</v>
      </c>
      <c r="N889">
        <v>3012.7</v>
      </c>
      <c r="O889">
        <v>0.06</v>
      </c>
      <c r="P889">
        <v>180.76</v>
      </c>
      <c r="Q889">
        <v>2831.94</v>
      </c>
      <c r="R889">
        <v>1687.11</v>
      </c>
      <c r="S889">
        <v>1144.83</v>
      </c>
    </row>
    <row r="890" spans="1:19" x14ac:dyDescent="0.35">
      <c r="A890">
        <v>100888</v>
      </c>
      <c r="B890">
        <v>1077</v>
      </c>
      <c r="C890" t="s">
        <v>28</v>
      </c>
      <c r="D890" t="s">
        <v>31</v>
      </c>
      <c r="E890" t="s">
        <v>34</v>
      </c>
      <c r="F890" t="s">
        <v>45</v>
      </c>
      <c r="G890" s="1">
        <v>44928</v>
      </c>
      <c r="H890" s="1">
        <v>44929</v>
      </c>
      <c r="I890" s="1">
        <v>44951</v>
      </c>
      <c r="J890">
        <v>23</v>
      </c>
      <c r="K890">
        <v>1</v>
      </c>
      <c r="L890">
        <v>3</v>
      </c>
      <c r="M890">
        <v>52.85</v>
      </c>
      <c r="N890">
        <v>158.55000000000001</v>
      </c>
      <c r="O890">
        <v>0.06</v>
      </c>
      <c r="P890">
        <v>9.51</v>
      </c>
      <c r="Q890">
        <v>149.04</v>
      </c>
      <c r="R890">
        <v>95.13</v>
      </c>
      <c r="S890">
        <v>53.91</v>
      </c>
    </row>
    <row r="891" spans="1:19" x14ac:dyDescent="0.35">
      <c r="A891">
        <v>100889</v>
      </c>
      <c r="B891">
        <v>4907</v>
      </c>
      <c r="C891" t="s">
        <v>19</v>
      </c>
      <c r="D891" t="s">
        <v>20</v>
      </c>
      <c r="E891" t="s">
        <v>34</v>
      </c>
      <c r="F891" t="s">
        <v>45</v>
      </c>
      <c r="G891" s="1">
        <v>45069</v>
      </c>
      <c r="H891" s="1">
        <v>45071</v>
      </c>
      <c r="I891" s="1">
        <v>45073</v>
      </c>
      <c r="J891">
        <v>4</v>
      </c>
      <c r="K891">
        <v>2</v>
      </c>
      <c r="L891">
        <v>9</v>
      </c>
      <c r="M891">
        <v>515.25</v>
      </c>
      <c r="N891">
        <v>4637.25</v>
      </c>
      <c r="O891">
        <v>0.06</v>
      </c>
      <c r="P891">
        <v>278.24</v>
      </c>
      <c r="Q891">
        <v>4359.0200000000004</v>
      </c>
      <c r="R891">
        <v>2735.98</v>
      </c>
      <c r="S891">
        <v>1623.04</v>
      </c>
    </row>
    <row r="892" spans="1:19" x14ac:dyDescent="0.35">
      <c r="A892">
        <v>100890</v>
      </c>
      <c r="B892">
        <v>2135</v>
      </c>
      <c r="C892" t="s">
        <v>33</v>
      </c>
      <c r="D892" t="s">
        <v>31</v>
      </c>
      <c r="E892" t="s">
        <v>24</v>
      </c>
      <c r="F892" t="s">
        <v>30</v>
      </c>
      <c r="G892" s="1">
        <v>45009</v>
      </c>
      <c r="H892" s="1">
        <v>45013</v>
      </c>
      <c r="I892" s="1">
        <v>45029</v>
      </c>
      <c r="J892">
        <v>20</v>
      </c>
      <c r="K892">
        <v>4</v>
      </c>
      <c r="L892">
        <v>10</v>
      </c>
      <c r="M892">
        <v>430.38</v>
      </c>
      <c r="N892">
        <v>4303.8</v>
      </c>
      <c r="O892">
        <v>0.06</v>
      </c>
      <c r="P892">
        <v>258.23</v>
      </c>
      <c r="Q892">
        <v>4045.57</v>
      </c>
      <c r="R892">
        <v>2367.09</v>
      </c>
      <c r="S892">
        <v>1678.48</v>
      </c>
    </row>
    <row r="893" spans="1:19" x14ac:dyDescent="0.35">
      <c r="A893">
        <v>100891</v>
      </c>
      <c r="B893">
        <v>4223</v>
      </c>
      <c r="C893" t="s">
        <v>23</v>
      </c>
      <c r="D893" t="s">
        <v>20</v>
      </c>
      <c r="E893" t="s">
        <v>26</v>
      </c>
      <c r="F893" t="s">
        <v>44</v>
      </c>
      <c r="G893" s="1">
        <v>45090</v>
      </c>
      <c r="H893" s="1">
        <v>45094</v>
      </c>
      <c r="I893" s="1">
        <v>45105</v>
      </c>
      <c r="J893">
        <v>15</v>
      </c>
      <c r="K893">
        <v>4</v>
      </c>
      <c r="L893">
        <v>5</v>
      </c>
      <c r="M893">
        <v>601.63</v>
      </c>
      <c r="N893">
        <v>3008.15</v>
      </c>
      <c r="O893">
        <v>0.09</v>
      </c>
      <c r="P893">
        <v>270.73</v>
      </c>
      <c r="Q893">
        <v>2737.42</v>
      </c>
      <c r="R893">
        <v>1624.4</v>
      </c>
      <c r="S893">
        <v>1113.02</v>
      </c>
    </row>
    <row r="894" spans="1:19" x14ac:dyDescent="0.35">
      <c r="A894">
        <v>100892</v>
      </c>
      <c r="B894">
        <v>2397</v>
      </c>
      <c r="C894" t="s">
        <v>33</v>
      </c>
      <c r="D894" t="s">
        <v>31</v>
      </c>
      <c r="E894" t="s">
        <v>21</v>
      </c>
      <c r="F894" t="s">
        <v>38</v>
      </c>
      <c r="G894" s="1">
        <v>45065</v>
      </c>
      <c r="H894" s="1">
        <v>45067</v>
      </c>
      <c r="I894" s="1">
        <v>45073</v>
      </c>
      <c r="J894">
        <v>8</v>
      </c>
      <c r="K894">
        <v>2</v>
      </c>
      <c r="L894">
        <v>6</v>
      </c>
      <c r="M894">
        <v>616.61</v>
      </c>
      <c r="N894">
        <v>3699.66</v>
      </c>
      <c r="O894">
        <v>0.02</v>
      </c>
      <c r="P894">
        <v>73.989999999999995</v>
      </c>
      <c r="Q894">
        <v>3625.67</v>
      </c>
      <c r="R894">
        <v>2330.79</v>
      </c>
      <c r="S894">
        <v>1294.8800000000001</v>
      </c>
    </row>
    <row r="895" spans="1:19" x14ac:dyDescent="0.35">
      <c r="A895">
        <v>100893</v>
      </c>
      <c r="B895">
        <v>3768</v>
      </c>
      <c r="C895" t="s">
        <v>23</v>
      </c>
      <c r="D895" t="s">
        <v>31</v>
      </c>
      <c r="E895" t="s">
        <v>34</v>
      </c>
      <c r="F895" t="s">
        <v>35</v>
      </c>
      <c r="G895" s="1">
        <v>45153</v>
      </c>
      <c r="H895" s="1">
        <v>45158</v>
      </c>
      <c r="I895" s="1">
        <v>45169</v>
      </c>
      <c r="J895">
        <v>16</v>
      </c>
      <c r="K895">
        <v>5</v>
      </c>
      <c r="L895">
        <v>14</v>
      </c>
      <c r="M895">
        <v>207.57</v>
      </c>
      <c r="N895">
        <v>2905.98</v>
      </c>
      <c r="O895">
        <v>0.08</v>
      </c>
      <c r="P895">
        <v>232.48</v>
      </c>
      <c r="Q895">
        <v>2673.5</v>
      </c>
      <c r="R895">
        <v>1888.89</v>
      </c>
      <c r="S895">
        <v>784.61</v>
      </c>
    </row>
    <row r="896" spans="1:19" x14ac:dyDescent="0.35">
      <c r="A896">
        <v>100894</v>
      </c>
      <c r="B896">
        <v>2826</v>
      </c>
      <c r="C896" t="s">
        <v>19</v>
      </c>
      <c r="D896" t="s">
        <v>29</v>
      </c>
      <c r="E896" t="s">
        <v>34</v>
      </c>
      <c r="F896" t="s">
        <v>43</v>
      </c>
      <c r="G896" s="1">
        <v>45049</v>
      </c>
      <c r="H896" s="1">
        <v>45053</v>
      </c>
      <c r="I896" s="1">
        <v>45070</v>
      </c>
      <c r="J896">
        <v>21</v>
      </c>
      <c r="K896">
        <v>4</v>
      </c>
      <c r="L896">
        <v>2</v>
      </c>
      <c r="M896">
        <v>75.040000000000006</v>
      </c>
      <c r="N896">
        <v>150.08000000000001</v>
      </c>
      <c r="O896">
        <v>0.12</v>
      </c>
      <c r="P896">
        <v>18.010000000000002</v>
      </c>
      <c r="Q896">
        <v>132.07</v>
      </c>
      <c r="R896">
        <v>90.05</v>
      </c>
      <c r="S896">
        <v>42.02</v>
      </c>
    </row>
    <row r="897" spans="1:19" x14ac:dyDescent="0.35">
      <c r="A897">
        <v>100895</v>
      </c>
      <c r="B897">
        <v>2877</v>
      </c>
      <c r="C897" t="s">
        <v>23</v>
      </c>
      <c r="D897" t="s">
        <v>29</v>
      </c>
      <c r="E897" t="s">
        <v>34</v>
      </c>
      <c r="F897" t="s">
        <v>43</v>
      </c>
      <c r="G897" s="1">
        <v>45104</v>
      </c>
      <c r="H897" s="1">
        <v>45107</v>
      </c>
      <c r="I897" s="1">
        <v>45106</v>
      </c>
      <c r="J897">
        <v>2</v>
      </c>
      <c r="K897">
        <v>3</v>
      </c>
      <c r="L897">
        <v>14</v>
      </c>
      <c r="M897">
        <v>188</v>
      </c>
      <c r="N897">
        <v>2632</v>
      </c>
      <c r="O897">
        <v>0.05</v>
      </c>
      <c r="P897">
        <v>131.6</v>
      </c>
      <c r="Q897">
        <v>2500.4</v>
      </c>
      <c r="R897">
        <v>1868.72</v>
      </c>
      <c r="S897">
        <v>631.67999999999995</v>
      </c>
    </row>
    <row r="898" spans="1:19" x14ac:dyDescent="0.35">
      <c r="A898">
        <v>100896</v>
      </c>
      <c r="B898">
        <v>4404</v>
      </c>
      <c r="C898" t="s">
        <v>28</v>
      </c>
      <c r="D898" t="s">
        <v>29</v>
      </c>
      <c r="E898" t="s">
        <v>21</v>
      </c>
      <c r="F898" t="s">
        <v>41</v>
      </c>
      <c r="G898" s="1">
        <v>44933</v>
      </c>
      <c r="H898" s="1">
        <v>44937</v>
      </c>
      <c r="I898" s="1">
        <v>44951</v>
      </c>
      <c r="J898">
        <v>18</v>
      </c>
      <c r="K898">
        <v>4</v>
      </c>
      <c r="L898">
        <v>10</v>
      </c>
      <c r="M898">
        <v>790.94</v>
      </c>
      <c r="N898">
        <v>7909.4</v>
      </c>
      <c r="O898">
        <v>0.09</v>
      </c>
      <c r="P898">
        <v>711.85</v>
      </c>
      <c r="Q898">
        <v>7197.55</v>
      </c>
      <c r="R898">
        <v>5220.2</v>
      </c>
      <c r="S898">
        <v>1977.35</v>
      </c>
    </row>
    <row r="899" spans="1:19" x14ac:dyDescent="0.35">
      <c r="A899">
        <v>100897</v>
      </c>
      <c r="B899">
        <v>3136</v>
      </c>
      <c r="C899" t="s">
        <v>28</v>
      </c>
      <c r="D899" t="s">
        <v>20</v>
      </c>
      <c r="E899" t="s">
        <v>26</v>
      </c>
      <c r="F899" t="s">
        <v>37</v>
      </c>
      <c r="G899" s="1">
        <v>45193</v>
      </c>
      <c r="H899" s="1">
        <v>45194</v>
      </c>
      <c r="I899" s="1">
        <v>45216</v>
      </c>
      <c r="J899">
        <v>23</v>
      </c>
      <c r="K899">
        <v>1</v>
      </c>
      <c r="L899">
        <v>3</v>
      </c>
      <c r="M899">
        <v>346.62</v>
      </c>
      <c r="N899">
        <v>1039.8599999999999</v>
      </c>
      <c r="O899">
        <v>0.09</v>
      </c>
      <c r="P899">
        <v>93.59</v>
      </c>
      <c r="Q899">
        <v>946.27</v>
      </c>
      <c r="R899">
        <v>603.12</v>
      </c>
      <c r="S899">
        <v>343.15</v>
      </c>
    </row>
    <row r="900" spans="1:19" x14ac:dyDescent="0.35">
      <c r="A900">
        <v>100898</v>
      </c>
      <c r="B900">
        <v>1449</v>
      </c>
      <c r="C900" t="s">
        <v>23</v>
      </c>
      <c r="D900" t="s">
        <v>29</v>
      </c>
      <c r="E900" t="s">
        <v>24</v>
      </c>
      <c r="F900" t="s">
        <v>32</v>
      </c>
      <c r="G900" s="1">
        <v>45101</v>
      </c>
      <c r="H900" s="1">
        <v>45102</v>
      </c>
      <c r="I900" s="1">
        <v>45119</v>
      </c>
      <c r="J900">
        <v>18</v>
      </c>
      <c r="K900">
        <v>1</v>
      </c>
      <c r="L900">
        <v>1</v>
      </c>
      <c r="M900">
        <v>250.97</v>
      </c>
      <c r="N900">
        <v>250.97</v>
      </c>
      <c r="O900">
        <v>0.13</v>
      </c>
      <c r="P900">
        <v>32.630000000000003</v>
      </c>
      <c r="Q900">
        <v>218.34</v>
      </c>
      <c r="R900">
        <v>175.68</v>
      </c>
      <c r="S900">
        <v>42.66</v>
      </c>
    </row>
    <row r="901" spans="1:19" x14ac:dyDescent="0.35">
      <c r="A901">
        <v>100899</v>
      </c>
      <c r="B901">
        <v>1004</v>
      </c>
      <c r="C901" t="s">
        <v>23</v>
      </c>
      <c r="D901" t="s">
        <v>20</v>
      </c>
      <c r="E901" t="s">
        <v>24</v>
      </c>
      <c r="F901" t="s">
        <v>32</v>
      </c>
      <c r="G901" s="1">
        <v>45240</v>
      </c>
      <c r="H901" s="1">
        <v>45241</v>
      </c>
      <c r="I901" s="1">
        <v>45267</v>
      </c>
      <c r="J901">
        <v>27</v>
      </c>
      <c r="K901">
        <v>1</v>
      </c>
      <c r="L901">
        <v>8</v>
      </c>
      <c r="M901">
        <v>424.03</v>
      </c>
      <c r="N901">
        <v>3392.24</v>
      </c>
      <c r="O901">
        <v>0.11</v>
      </c>
      <c r="P901">
        <v>373.15</v>
      </c>
      <c r="Q901">
        <v>3019.09</v>
      </c>
      <c r="R901">
        <v>2340.65</v>
      </c>
      <c r="S901">
        <v>678.44</v>
      </c>
    </row>
    <row r="902" spans="1:19" x14ac:dyDescent="0.35">
      <c r="A902">
        <v>100900</v>
      </c>
      <c r="B902">
        <v>1676</v>
      </c>
      <c r="C902" t="s">
        <v>23</v>
      </c>
      <c r="D902" t="s">
        <v>29</v>
      </c>
      <c r="E902" t="s">
        <v>24</v>
      </c>
      <c r="F902" t="s">
        <v>25</v>
      </c>
      <c r="G902" s="1">
        <v>45044</v>
      </c>
      <c r="H902" s="1">
        <v>45046</v>
      </c>
      <c r="I902" s="1">
        <v>45070</v>
      </c>
      <c r="J902">
        <v>26</v>
      </c>
      <c r="K902">
        <v>2</v>
      </c>
      <c r="L902">
        <v>10</v>
      </c>
      <c r="M902">
        <v>257.04000000000002</v>
      </c>
      <c r="N902">
        <v>2570.4</v>
      </c>
      <c r="O902">
        <v>0.02</v>
      </c>
      <c r="P902">
        <v>51.41</v>
      </c>
      <c r="Q902">
        <v>2518.9899999999998</v>
      </c>
      <c r="R902">
        <v>1567.94</v>
      </c>
      <c r="S902">
        <v>951.05</v>
      </c>
    </row>
    <row r="903" spans="1:19" x14ac:dyDescent="0.35">
      <c r="A903">
        <v>100901</v>
      </c>
      <c r="B903">
        <v>2501</v>
      </c>
      <c r="C903" t="s">
        <v>19</v>
      </c>
      <c r="D903" t="s">
        <v>20</v>
      </c>
      <c r="E903" t="s">
        <v>21</v>
      </c>
      <c r="F903" t="s">
        <v>41</v>
      </c>
      <c r="G903" s="1">
        <v>44934</v>
      </c>
      <c r="H903" s="1">
        <v>44936</v>
      </c>
      <c r="I903" s="1">
        <v>44949</v>
      </c>
      <c r="J903">
        <v>15</v>
      </c>
      <c r="K903">
        <v>2</v>
      </c>
      <c r="L903">
        <v>7</v>
      </c>
      <c r="M903">
        <v>674.11</v>
      </c>
      <c r="N903">
        <v>4718.7700000000004</v>
      </c>
      <c r="O903">
        <v>7.0000000000000007E-2</v>
      </c>
      <c r="P903">
        <v>330.31</v>
      </c>
      <c r="Q903">
        <v>4388.46</v>
      </c>
      <c r="R903">
        <v>3208.76</v>
      </c>
      <c r="S903">
        <v>1179.7</v>
      </c>
    </row>
    <row r="904" spans="1:19" x14ac:dyDescent="0.35">
      <c r="A904">
        <v>100902</v>
      </c>
      <c r="B904">
        <v>2899</v>
      </c>
      <c r="C904" t="s">
        <v>28</v>
      </c>
      <c r="D904" t="s">
        <v>29</v>
      </c>
      <c r="E904" t="s">
        <v>26</v>
      </c>
      <c r="F904" t="s">
        <v>36</v>
      </c>
      <c r="G904" s="1">
        <v>45246</v>
      </c>
      <c r="H904" s="1">
        <v>45247</v>
      </c>
      <c r="I904" s="1">
        <v>45251</v>
      </c>
      <c r="J904">
        <v>5</v>
      </c>
      <c r="K904">
        <v>1</v>
      </c>
      <c r="L904">
        <v>6</v>
      </c>
      <c r="M904">
        <v>38.67</v>
      </c>
      <c r="N904">
        <v>232.02</v>
      </c>
      <c r="O904">
        <v>0.11</v>
      </c>
      <c r="P904">
        <v>25.52</v>
      </c>
      <c r="Q904">
        <v>206.5</v>
      </c>
      <c r="R904">
        <v>143.85</v>
      </c>
      <c r="S904">
        <v>62.65</v>
      </c>
    </row>
    <row r="905" spans="1:19" x14ac:dyDescent="0.35">
      <c r="A905">
        <v>100903</v>
      </c>
      <c r="B905">
        <v>2465</v>
      </c>
      <c r="C905" t="s">
        <v>19</v>
      </c>
      <c r="D905" t="s">
        <v>20</v>
      </c>
      <c r="E905" t="s">
        <v>26</v>
      </c>
      <c r="F905" t="s">
        <v>44</v>
      </c>
      <c r="G905" s="1">
        <v>45148</v>
      </c>
      <c r="H905" s="1">
        <v>45152</v>
      </c>
      <c r="I905" s="1">
        <v>45156</v>
      </c>
      <c r="J905">
        <v>8</v>
      </c>
      <c r="K905">
        <v>4</v>
      </c>
      <c r="L905">
        <v>2</v>
      </c>
      <c r="M905">
        <v>564.71</v>
      </c>
      <c r="N905">
        <v>1129.42</v>
      </c>
      <c r="O905">
        <v>0.12</v>
      </c>
      <c r="P905">
        <v>135.53</v>
      </c>
      <c r="Q905">
        <v>993.89</v>
      </c>
      <c r="R905">
        <v>677.65</v>
      </c>
      <c r="S905">
        <v>316.24</v>
      </c>
    </row>
    <row r="906" spans="1:19" x14ac:dyDescent="0.35">
      <c r="A906">
        <v>100904</v>
      </c>
      <c r="B906">
        <v>3767</v>
      </c>
      <c r="C906" t="s">
        <v>19</v>
      </c>
      <c r="D906" t="s">
        <v>31</v>
      </c>
      <c r="E906" t="s">
        <v>21</v>
      </c>
      <c r="F906" t="s">
        <v>38</v>
      </c>
      <c r="G906" s="1">
        <v>45033</v>
      </c>
      <c r="H906" s="1">
        <v>45036</v>
      </c>
      <c r="I906" s="1">
        <v>45056</v>
      </c>
      <c r="J906">
        <v>23</v>
      </c>
      <c r="K906">
        <v>3</v>
      </c>
      <c r="L906">
        <v>6</v>
      </c>
      <c r="M906">
        <v>6.7</v>
      </c>
      <c r="N906">
        <v>40.200000000000003</v>
      </c>
      <c r="O906">
        <v>0.06</v>
      </c>
      <c r="P906">
        <v>2.41</v>
      </c>
      <c r="Q906">
        <v>37.79</v>
      </c>
      <c r="R906">
        <v>23.72</v>
      </c>
      <c r="S906">
        <v>14.07</v>
      </c>
    </row>
    <row r="907" spans="1:19" x14ac:dyDescent="0.35">
      <c r="A907">
        <v>100905</v>
      </c>
      <c r="B907">
        <v>1751</v>
      </c>
      <c r="C907" t="s">
        <v>19</v>
      </c>
      <c r="D907" t="s">
        <v>20</v>
      </c>
      <c r="E907" t="s">
        <v>21</v>
      </c>
      <c r="F907" t="s">
        <v>39</v>
      </c>
      <c r="G907" s="1">
        <v>45100</v>
      </c>
      <c r="H907" s="1">
        <v>45104</v>
      </c>
      <c r="I907" s="1">
        <v>45122</v>
      </c>
      <c r="J907">
        <v>22</v>
      </c>
      <c r="K907">
        <v>4</v>
      </c>
      <c r="L907">
        <v>8</v>
      </c>
      <c r="M907">
        <v>716.72</v>
      </c>
      <c r="N907">
        <v>5733.76</v>
      </c>
      <c r="O907">
        <v>0.1</v>
      </c>
      <c r="P907">
        <v>573.38</v>
      </c>
      <c r="Q907">
        <v>5160.38</v>
      </c>
      <c r="R907">
        <v>3612.27</v>
      </c>
      <c r="S907">
        <v>1548.11</v>
      </c>
    </row>
    <row r="908" spans="1:19" x14ac:dyDescent="0.35">
      <c r="A908">
        <v>100906</v>
      </c>
      <c r="B908">
        <v>4162</v>
      </c>
      <c r="C908" t="s">
        <v>33</v>
      </c>
      <c r="D908" t="s">
        <v>29</v>
      </c>
      <c r="E908" t="s">
        <v>26</v>
      </c>
      <c r="F908" t="s">
        <v>27</v>
      </c>
      <c r="G908" s="1">
        <v>45271</v>
      </c>
      <c r="H908" s="1">
        <v>45273</v>
      </c>
      <c r="I908" s="1">
        <v>45296</v>
      </c>
      <c r="J908">
        <v>25</v>
      </c>
      <c r="K908">
        <v>2</v>
      </c>
      <c r="L908">
        <v>4</v>
      </c>
      <c r="M908">
        <v>520.16999999999996</v>
      </c>
      <c r="N908">
        <v>2080.6799999999998</v>
      </c>
      <c r="O908">
        <v>0.1</v>
      </c>
      <c r="P908">
        <v>208.07</v>
      </c>
      <c r="Q908">
        <v>1872.61</v>
      </c>
      <c r="R908">
        <v>1331.64</v>
      </c>
      <c r="S908">
        <v>540.97</v>
      </c>
    </row>
    <row r="909" spans="1:19" x14ac:dyDescent="0.35">
      <c r="A909">
        <v>100907</v>
      </c>
      <c r="B909">
        <v>3379</v>
      </c>
      <c r="C909" t="s">
        <v>23</v>
      </c>
      <c r="D909" t="s">
        <v>20</v>
      </c>
      <c r="E909" t="s">
        <v>26</v>
      </c>
      <c r="F909" t="s">
        <v>44</v>
      </c>
      <c r="G909" s="1">
        <v>44971</v>
      </c>
      <c r="H909" s="1">
        <v>44974</v>
      </c>
      <c r="I909" s="1">
        <v>44997</v>
      </c>
      <c r="J909">
        <v>26</v>
      </c>
      <c r="K909">
        <v>3</v>
      </c>
      <c r="L909">
        <v>11</v>
      </c>
      <c r="M909">
        <v>644.21</v>
      </c>
      <c r="N909">
        <v>7086.31</v>
      </c>
      <c r="O909">
        <v>0.03</v>
      </c>
      <c r="P909">
        <v>212.59</v>
      </c>
      <c r="Q909">
        <v>6873.72</v>
      </c>
      <c r="R909">
        <v>4606.1000000000004</v>
      </c>
      <c r="S909">
        <v>2267.62</v>
      </c>
    </row>
    <row r="910" spans="1:19" x14ac:dyDescent="0.35">
      <c r="A910">
        <v>100908</v>
      </c>
      <c r="B910">
        <v>3392</v>
      </c>
      <c r="C910" t="s">
        <v>28</v>
      </c>
      <c r="D910" t="s">
        <v>20</v>
      </c>
      <c r="E910" t="s">
        <v>24</v>
      </c>
      <c r="F910" t="s">
        <v>25</v>
      </c>
      <c r="G910" s="1">
        <v>45127</v>
      </c>
      <c r="H910" s="1">
        <v>45129</v>
      </c>
      <c r="I910" s="1">
        <v>45156</v>
      </c>
      <c r="J910">
        <v>29</v>
      </c>
      <c r="K910">
        <v>2</v>
      </c>
      <c r="L910">
        <v>4</v>
      </c>
      <c r="M910">
        <v>562.34</v>
      </c>
      <c r="N910">
        <v>2249.36</v>
      </c>
      <c r="O910">
        <v>0.12</v>
      </c>
      <c r="P910">
        <v>269.92</v>
      </c>
      <c r="Q910">
        <v>1979.44</v>
      </c>
      <c r="R910">
        <v>1282.1400000000001</v>
      </c>
      <c r="S910">
        <v>697.3</v>
      </c>
    </row>
    <row r="911" spans="1:19" x14ac:dyDescent="0.35">
      <c r="A911">
        <v>100909</v>
      </c>
      <c r="B911">
        <v>1007</v>
      </c>
      <c r="C911" t="s">
        <v>19</v>
      </c>
      <c r="D911" t="s">
        <v>31</v>
      </c>
      <c r="E911" t="s">
        <v>26</v>
      </c>
      <c r="F911" t="s">
        <v>27</v>
      </c>
      <c r="G911" s="1">
        <v>45144</v>
      </c>
      <c r="H911" s="1">
        <v>45147</v>
      </c>
      <c r="I911" s="1">
        <v>45154</v>
      </c>
      <c r="J911">
        <v>10</v>
      </c>
      <c r="K911">
        <v>3</v>
      </c>
      <c r="L911">
        <v>2</v>
      </c>
      <c r="M911">
        <v>769.59</v>
      </c>
      <c r="N911">
        <v>1539.18</v>
      </c>
      <c r="O911">
        <v>0.05</v>
      </c>
      <c r="P911">
        <v>76.959999999999994</v>
      </c>
      <c r="Q911">
        <v>1462.22</v>
      </c>
      <c r="R911">
        <v>954.29</v>
      </c>
      <c r="S911">
        <v>507.93</v>
      </c>
    </row>
    <row r="912" spans="1:19" x14ac:dyDescent="0.35">
      <c r="A912">
        <v>100910</v>
      </c>
      <c r="B912">
        <v>1328</v>
      </c>
      <c r="C912" t="s">
        <v>23</v>
      </c>
      <c r="D912" t="s">
        <v>29</v>
      </c>
      <c r="E912" t="s">
        <v>24</v>
      </c>
      <c r="F912" t="s">
        <v>42</v>
      </c>
      <c r="G912" s="1">
        <v>44958</v>
      </c>
      <c r="H912" s="1">
        <v>44961</v>
      </c>
      <c r="I912" s="1">
        <v>44979</v>
      </c>
      <c r="J912">
        <v>21</v>
      </c>
      <c r="K912">
        <v>3</v>
      </c>
      <c r="L912">
        <v>1</v>
      </c>
      <c r="M912">
        <v>420.46</v>
      </c>
      <c r="N912">
        <v>420.46</v>
      </c>
      <c r="O912">
        <v>0.13</v>
      </c>
      <c r="P912">
        <v>54.66</v>
      </c>
      <c r="Q912">
        <v>365.8</v>
      </c>
      <c r="R912">
        <v>197.62</v>
      </c>
      <c r="S912">
        <v>168.18</v>
      </c>
    </row>
    <row r="913" spans="1:19" x14ac:dyDescent="0.35">
      <c r="A913">
        <v>100911</v>
      </c>
      <c r="B913">
        <v>2931</v>
      </c>
      <c r="C913" t="s">
        <v>28</v>
      </c>
      <c r="D913" t="s">
        <v>20</v>
      </c>
      <c r="E913" t="s">
        <v>24</v>
      </c>
      <c r="F913" t="s">
        <v>30</v>
      </c>
      <c r="G913" s="1">
        <v>45224</v>
      </c>
      <c r="H913" s="1">
        <v>45229</v>
      </c>
      <c r="I913" s="1">
        <v>45232</v>
      </c>
      <c r="J913">
        <v>8</v>
      </c>
      <c r="K913">
        <v>5</v>
      </c>
      <c r="L913">
        <v>8</v>
      </c>
      <c r="M913">
        <v>648.74</v>
      </c>
      <c r="N913">
        <v>5189.92</v>
      </c>
      <c r="O913">
        <v>0</v>
      </c>
      <c r="P913">
        <v>0</v>
      </c>
      <c r="Q913">
        <v>5189.92</v>
      </c>
      <c r="R913">
        <v>3529.15</v>
      </c>
      <c r="S913">
        <v>1660.77</v>
      </c>
    </row>
    <row r="914" spans="1:19" x14ac:dyDescent="0.35">
      <c r="A914">
        <v>100912</v>
      </c>
      <c r="B914">
        <v>2662</v>
      </c>
      <c r="C914" t="s">
        <v>28</v>
      </c>
      <c r="D914" t="s">
        <v>20</v>
      </c>
      <c r="E914" t="s">
        <v>24</v>
      </c>
      <c r="F914" t="s">
        <v>25</v>
      </c>
      <c r="G914" s="1">
        <v>45289</v>
      </c>
      <c r="H914" s="1">
        <v>45294</v>
      </c>
      <c r="I914" s="1">
        <v>45306</v>
      </c>
      <c r="J914">
        <v>17</v>
      </c>
      <c r="K914">
        <v>5</v>
      </c>
      <c r="L914">
        <v>4</v>
      </c>
      <c r="M914">
        <v>479.72</v>
      </c>
      <c r="N914">
        <v>1918.88</v>
      </c>
      <c r="O914">
        <v>0.09</v>
      </c>
      <c r="P914">
        <v>172.7</v>
      </c>
      <c r="Q914">
        <v>1746.18</v>
      </c>
      <c r="R914">
        <v>1189.71</v>
      </c>
      <c r="S914">
        <v>556.47</v>
      </c>
    </row>
    <row r="915" spans="1:19" x14ac:dyDescent="0.35">
      <c r="A915">
        <v>100913</v>
      </c>
      <c r="B915">
        <v>4145</v>
      </c>
      <c r="C915" t="s">
        <v>19</v>
      </c>
      <c r="D915" t="s">
        <v>31</v>
      </c>
      <c r="E915" t="s">
        <v>24</v>
      </c>
      <c r="F915" t="s">
        <v>42</v>
      </c>
      <c r="G915" s="1">
        <v>45015</v>
      </c>
      <c r="H915" s="1">
        <v>45016</v>
      </c>
      <c r="I915" s="1">
        <v>45027</v>
      </c>
      <c r="J915">
        <v>12</v>
      </c>
      <c r="K915">
        <v>1</v>
      </c>
      <c r="L915">
        <v>7</v>
      </c>
      <c r="M915">
        <v>741.69</v>
      </c>
      <c r="N915">
        <v>5191.83</v>
      </c>
      <c r="O915">
        <v>0.12</v>
      </c>
      <c r="P915">
        <v>623.02</v>
      </c>
      <c r="Q915">
        <v>4568.8100000000004</v>
      </c>
      <c r="R915">
        <v>3322.77</v>
      </c>
      <c r="S915">
        <v>1246.04</v>
      </c>
    </row>
    <row r="916" spans="1:19" x14ac:dyDescent="0.35">
      <c r="A916">
        <v>100914</v>
      </c>
      <c r="B916">
        <v>4656</v>
      </c>
      <c r="C916" t="s">
        <v>19</v>
      </c>
      <c r="D916" t="s">
        <v>20</v>
      </c>
      <c r="E916" t="s">
        <v>24</v>
      </c>
      <c r="F916" t="s">
        <v>42</v>
      </c>
      <c r="G916" s="1">
        <v>45005</v>
      </c>
      <c r="H916" s="1">
        <v>45007</v>
      </c>
      <c r="I916" s="1">
        <v>45033</v>
      </c>
      <c r="J916">
        <v>28</v>
      </c>
      <c r="K916">
        <v>2</v>
      </c>
      <c r="L916">
        <v>8</v>
      </c>
      <c r="M916">
        <v>282.92</v>
      </c>
      <c r="N916">
        <v>2263.36</v>
      </c>
      <c r="O916">
        <v>0.05</v>
      </c>
      <c r="P916">
        <v>113.17</v>
      </c>
      <c r="Q916">
        <v>2150.19</v>
      </c>
      <c r="R916">
        <v>1380.65</v>
      </c>
      <c r="S916">
        <v>769.54</v>
      </c>
    </row>
    <row r="917" spans="1:19" x14ac:dyDescent="0.35">
      <c r="A917">
        <v>100915</v>
      </c>
      <c r="B917">
        <v>2535</v>
      </c>
      <c r="C917" t="s">
        <v>33</v>
      </c>
      <c r="D917" t="s">
        <v>20</v>
      </c>
      <c r="E917" t="s">
        <v>34</v>
      </c>
      <c r="F917" t="s">
        <v>45</v>
      </c>
      <c r="G917" s="1">
        <v>44984</v>
      </c>
      <c r="H917" s="1">
        <v>44988</v>
      </c>
      <c r="I917" s="1">
        <v>44995</v>
      </c>
      <c r="J917">
        <v>11</v>
      </c>
      <c r="K917">
        <v>4</v>
      </c>
      <c r="L917">
        <v>5</v>
      </c>
      <c r="M917">
        <v>104.77</v>
      </c>
      <c r="N917">
        <v>523.85</v>
      </c>
      <c r="O917">
        <v>0.1</v>
      </c>
      <c r="P917">
        <v>52.39</v>
      </c>
      <c r="Q917">
        <v>471.46</v>
      </c>
      <c r="R917">
        <v>303.83</v>
      </c>
      <c r="S917">
        <v>167.63</v>
      </c>
    </row>
    <row r="918" spans="1:19" x14ac:dyDescent="0.35">
      <c r="A918">
        <v>100916</v>
      </c>
      <c r="B918">
        <v>3511</v>
      </c>
      <c r="C918" t="s">
        <v>33</v>
      </c>
      <c r="D918" t="s">
        <v>31</v>
      </c>
      <c r="E918" t="s">
        <v>34</v>
      </c>
      <c r="F918" t="s">
        <v>35</v>
      </c>
      <c r="G918" s="1">
        <v>45262</v>
      </c>
      <c r="H918" s="1">
        <v>45266</v>
      </c>
      <c r="I918" s="1">
        <v>45279</v>
      </c>
      <c r="J918">
        <v>17</v>
      </c>
      <c r="K918">
        <v>4</v>
      </c>
      <c r="L918">
        <v>8</v>
      </c>
      <c r="M918">
        <v>83.25</v>
      </c>
      <c r="N918">
        <v>666</v>
      </c>
      <c r="O918">
        <v>0.12</v>
      </c>
      <c r="P918">
        <v>79.92</v>
      </c>
      <c r="Q918">
        <v>586.08000000000004</v>
      </c>
      <c r="R918">
        <v>392.94</v>
      </c>
      <c r="S918">
        <v>193.14</v>
      </c>
    </row>
    <row r="919" spans="1:19" x14ac:dyDescent="0.35">
      <c r="A919">
        <v>100917</v>
      </c>
      <c r="B919">
        <v>4154</v>
      </c>
      <c r="C919" t="s">
        <v>28</v>
      </c>
      <c r="D919" t="s">
        <v>31</v>
      </c>
      <c r="E919" t="s">
        <v>21</v>
      </c>
      <c r="F919" t="s">
        <v>39</v>
      </c>
      <c r="G919" s="1">
        <v>44937</v>
      </c>
      <c r="H919" s="1">
        <v>44939</v>
      </c>
      <c r="I919" s="1">
        <v>44952</v>
      </c>
      <c r="J919">
        <v>15</v>
      </c>
      <c r="K919">
        <v>2</v>
      </c>
      <c r="L919">
        <v>13</v>
      </c>
      <c r="M919">
        <v>80.66</v>
      </c>
      <c r="N919">
        <v>1048.58</v>
      </c>
      <c r="O919">
        <v>0.01</v>
      </c>
      <c r="P919">
        <v>10.49</v>
      </c>
      <c r="Q919">
        <v>1038.0899999999999</v>
      </c>
      <c r="R919">
        <v>713.03</v>
      </c>
      <c r="S919">
        <v>325.06</v>
      </c>
    </row>
    <row r="920" spans="1:19" x14ac:dyDescent="0.35">
      <c r="A920">
        <v>100918</v>
      </c>
      <c r="B920">
        <v>3689</v>
      </c>
      <c r="C920" t="s">
        <v>19</v>
      </c>
      <c r="D920" t="s">
        <v>31</v>
      </c>
      <c r="E920" t="s">
        <v>26</v>
      </c>
      <c r="F920" t="s">
        <v>44</v>
      </c>
      <c r="G920" s="1">
        <v>45001</v>
      </c>
      <c r="H920" s="1">
        <v>45005</v>
      </c>
      <c r="I920" s="1">
        <v>45004</v>
      </c>
      <c r="J920">
        <v>3</v>
      </c>
      <c r="K920">
        <v>4</v>
      </c>
      <c r="L920">
        <v>1</v>
      </c>
      <c r="M920">
        <v>71.84</v>
      </c>
      <c r="N920">
        <v>71.84</v>
      </c>
      <c r="O920">
        <v>0.18</v>
      </c>
      <c r="P920">
        <v>12.93</v>
      </c>
      <c r="Q920">
        <v>58.91</v>
      </c>
      <c r="R920">
        <v>51.01</v>
      </c>
      <c r="S920">
        <v>7.9</v>
      </c>
    </row>
    <row r="921" spans="1:19" x14ac:dyDescent="0.35">
      <c r="A921">
        <v>100919</v>
      </c>
      <c r="B921">
        <v>2865</v>
      </c>
      <c r="C921" t="s">
        <v>28</v>
      </c>
      <c r="D921" t="s">
        <v>29</v>
      </c>
      <c r="E921" t="s">
        <v>21</v>
      </c>
      <c r="F921" t="s">
        <v>22</v>
      </c>
      <c r="G921" s="1">
        <v>45054</v>
      </c>
      <c r="H921" s="1">
        <v>45056</v>
      </c>
      <c r="I921" s="1">
        <v>45078</v>
      </c>
      <c r="J921">
        <v>24</v>
      </c>
      <c r="K921">
        <v>2</v>
      </c>
      <c r="L921">
        <v>3</v>
      </c>
      <c r="M921">
        <v>322.32</v>
      </c>
      <c r="N921">
        <v>966.96</v>
      </c>
      <c r="O921">
        <v>0.12</v>
      </c>
      <c r="P921">
        <v>116.04</v>
      </c>
      <c r="Q921">
        <v>850.92</v>
      </c>
      <c r="R921">
        <v>589.85</v>
      </c>
      <c r="S921">
        <v>261.07</v>
      </c>
    </row>
    <row r="922" spans="1:19" x14ac:dyDescent="0.35">
      <c r="A922">
        <v>100920</v>
      </c>
      <c r="B922">
        <v>3711</v>
      </c>
      <c r="C922" t="s">
        <v>19</v>
      </c>
      <c r="D922" t="s">
        <v>31</v>
      </c>
      <c r="E922" t="s">
        <v>24</v>
      </c>
      <c r="F922" t="s">
        <v>42</v>
      </c>
      <c r="G922" s="1">
        <v>45161</v>
      </c>
      <c r="H922" s="1">
        <v>45162</v>
      </c>
      <c r="I922" s="1">
        <v>45172</v>
      </c>
      <c r="J922">
        <v>11</v>
      </c>
      <c r="K922">
        <v>1</v>
      </c>
      <c r="L922">
        <v>10</v>
      </c>
      <c r="M922">
        <v>386.07</v>
      </c>
      <c r="N922">
        <v>3860.7</v>
      </c>
      <c r="O922">
        <v>0.08</v>
      </c>
      <c r="P922">
        <v>308.86</v>
      </c>
      <c r="Q922">
        <v>3551.84</v>
      </c>
      <c r="R922">
        <v>2161.9899999999998</v>
      </c>
      <c r="S922">
        <v>1389.85</v>
      </c>
    </row>
    <row r="923" spans="1:19" x14ac:dyDescent="0.35">
      <c r="A923">
        <v>100921</v>
      </c>
      <c r="B923">
        <v>1683</v>
      </c>
      <c r="C923" t="s">
        <v>33</v>
      </c>
      <c r="D923" t="s">
        <v>29</v>
      </c>
      <c r="E923" t="s">
        <v>34</v>
      </c>
      <c r="F923" t="s">
        <v>40</v>
      </c>
      <c r="G923" s="1">
        <v>45231</v>
      </c>
      <c r="H923" s="1">
        <v>45235</v>
      </c>
      <c r="I923" s="1">
        <v>45251</v>
      </c>
      <c r="J923">
        <v>20</v>
      </c>
      <c r="K923">
        <v>4</v>
      </c>
      <c r="L923">
        <v>14</v>
      </c>
      <c r="M923">
        <v>426.99</v>
      </c>
      <c r="N923">
        <v>5977.86</v>
      </c>
      <c r="O923">
        <v>0.21</v>
      </c>
      <c r="P923">
        <v>1255.3499999999999</v>
      </c>
      <c r="Q923">
        <v>4722.51</v>
      </c>
      <c r="R923">
        <v>3885.61</v>
      </c>
      <c r="S923">
        <v>836.9</v>
      </c>
    </row>
    <row r="924" spans="1:19" x14ac:dyDescent="0.35">
      <c r="A924">
        <v>100922</v>
      </c>
      <c r="B924">
        <v>4990</v>
      </c>
      <c r="C924" t="s">
        <v>19</v>
      </c>
      <c r="D924" t="s">
        <v>20</v>
      </c>
      <c r="E924" t="s">
        <v>34</v>
      </c>
      <c r="F924" t="s">
        <v>35</v>
      </c>
      <c r="G924" s="1">
        <v>45227</v>
      </c>
      <c r="H924" s="1">
        <v>45229</v>
      </c>
      <c r="I924" s="1">
        <v>45249</v>
      </c>
      <c r="J924">
        <v>22</v>
      </c>
      <c r="K924">
        <v>2</v>
      </c>
      <c r="L924">
        <v>4</v>
      </c>
      <c r="M924">
        <v>493.27</v>
      </c>
      <c r="N924">
        <v>1973.08</v>
      </c>
      <c r="O924">
        <v>0.08</v>
      </c>
      <c r="P924">
        <v>157.85</v>
      </c>
      <c r="Q924">
        <v>1815.23</v>
      </c>
      <c r="R924">
        <v>1045.73</v>
      </c>
      <c r="S924">
        <v>769.5</v>
      </c>
    </row>
    <row r="925" spans="1:19" x14ac:dyDescent="0.35">
      <c r="A925">
        <v>100923</v>
      </c>
      <c r="B925">
        <v>1941</v>
      </c>
      <c r="C925" t="s">
        <v>28</v>
      </c>
      <c r="D925" t="s">
        <v>20</v>
      </c>
      <c r="E925" t="s">
        <v>26</v>
      </c>
      <c r="F925" t="s">
        <v>27</v>
      </c>
      <c r="G925" s="1">
        <v>44976</v>
      </c>
      <c r="H925" s="1">
        <v>44981</v>
      </c>
      <c r="I925" s="1">
        <v>44998</v>
      </c>
      <c r="J925">
        <v>22</v>
      </c>
      <c r="K925">
        <v>5</v>
      </c>
      <c r="L925">
        <v>11</v>
      </c>
      <c r="M925">
        <v>112.69</v>
      </c>
      <c r="N925">
        <v>1239.5899999999999</v>
      </c>
      <c r="O925">
        <v>0.08</v>
      </c>
      <c r="P925">
        <v>99.17</v>
      </c>
      <c r="Q925">
        <v>1140.42</v>
      </c>
      <c r="R925">
        <v>731.36</v>
      </c>
      <c r="S925">
        <v>409.06</v>
      </c>
    </row>
    <row r="926" spans="1:19" x14ac:dyDescent="0.35">
      <c r="A926">
        <v>100924</v>
      </c>
      <c r="B926">
        <v>2926</v>
      </c>
      <c r="C926" t="s">
        <v>23</v>
      </c>
      <c r="D926" t="s">
        <v>31</v>
      </c>
      <c r="E926" t="s">
        <v>26</v>
      </c>
      <c r="F926" t="s">
        <v>37</v>
      </c>
      <c r="G926" s="1">
        <v>44956</v>
      </c>
      <c r="H926" s="1">
        <v>44959</v>
      </c>
      <c r="I926" s="1">
        <v>44961</v>
      </c>
      <c r="J926">
        <v>5</v>
      </c>
      <c r="K926">
        <v>3</v>
      </c>
      <c r="L926">
        <v>7</v>
      </c>
      <c r="M926">
        <v>66.36</v>
      </c>
      <c r="N926">
        <v>464.52</v>
      </c>
      <c r="O926">
        <v>0.12</v>
      </c>
      <c r="P926">
        <v>55.74</v>
      </c>
      <c r="Q926">
        <v>408.78</v>
      </c>
      <c r="R926">
        <v>246.2</v>
      </c>
      <c r="S926">
        <v>162.58000000000001</v>
      </c>
    </row>
    <row r="927" spans="1:19" x14ac:dyDescent="0.35">
      <c r="A927">
        <v>100925</v>
      </c>
      <c r="B927">
        <v>4265</v>
      </c>
      <c r="C927" t="s">
        <v>23</v>
      </c>
      <c r="D927" t="s">
        <v>29</v>
      </c>
      <c r="E927" t="s">
        <v>21</v>
      </c>
      <c r="F927" t="s">
        <v>22</v>
      </c>
      <c r="G927" s="1">
        <v>45214</v>
      </c>
      <c r="H927" s="1">
        <v>45215</v>
      </c>
      <c r="I927" s="1">
        <v>45237</v>
      </c>
      <c r="J927">
        <v>23</v>
      </c>
      <c r="K927">
        <v>1</v>
      </c>
      <c r="L927">
        <v>11</v>
      </c>
      <c r="M927">
        <v>96.67</v>
      </c>
      <c r="N927">
        <v>1063.3699999999999</v>
      </c>
      <c r="O927">
        <v>0.09</v>
      </c>
      <c r="P927">
        <v>95.7</v>
      </c>
      <c r="Q927">
        <v>967.67</v>
      </c>
      <c r="R927">
        <v>669.92</v>
      </c>
      <c r="S927">
        <v>297.75</v>
      </c>
    </row>
    <row r="928" spans="1:19" x14ac:dyDescent="0.35">
      <c r="A928">
        <v>100926</v>
      </c>
      <c r="B928">
        <v>1703</v>
      </c>
      <c r="C928" t="s">
        <v>28</v>
      </c>
      <c r="D928" t="s">
        <v>31</v>
      </c>
      <c r="E928" t="s">
        <v>24</v>
      </c>
      <c r="F928" t="s">
        <v>32</v>
      </c>
      <c r="G928" s="1">
        <v>44935</v>
      </c>
      <c r="H928" s="1">
        <v>44940</v>
      </c>
      <c r="I928" s="1">
        <v>44947</v>
      </c>
      <c r="J928">
        <v>12</v>
      </c>
      <c r="K928">
        <v>5</v>
      </c>
      <c r="L928">
        <v>6</v>
      </c>
      <c r="M928">
        <v>521.20000000000005</v>
      </c>
      <c r="N928">
        <v>3127.2</v>
      </c>
      <c r="O928">
        <v>0</v>
      </c>
      <c r="P928">
        <v>0</v>
      </c>
      <c r="Q928">
        <v>3127.2</v>
      </c>
      <c r="R928">
        <v>2095.2199999999998</v>
      </c>
      <c r="S928">
        <v>1031.98</v>
      </c>
    </row>
    <row r="929" spans="1:19" x14ac:dyDescent="0.35">
      <c r="A929">
        <v>100927</v>
      </c>
      <c r="B929">
        <v>2253</v>
      </c>
      <c r="C929" t="s">
        <v>23</v>
      </c>
      <c r="D929" t="s">
        <v>29</v>
      </c>
      <c r="E929" t="s">
        <v>26</v>
      </c>
      <c r="F929" t="s">
        <v>37</v>
      </c>
      <c r="G929" s="1">
        <v>45181</v>
      </c>
      <c r="H929" s="1">
        <v>45184</v>
      </c>
      <c r="I929" s="1">
        <v>45200</v>
      </c>
      <c r="J929">
        <v>19</v>
      </c>
      <c r="K929">
        <v>3</v>
      </c>
      <c r="L929">
        <v>13</v>
      </c>
      <c r="M929">
        <v>615.29999999999995</v>
      </c>
      <c r="N929">
        <v>7998.9</v>
      </c>
      <c r="O929">
        <v>0.18</v>
      </c>
      <c r="P929">
        <v>1439.8</v>
      </c>
      <c r="Q929">
        <v>6559.1</v>
      </c>
      <c r="R929">
        <v>4719.3500000000004</v>
      </c>
      <c r="S929">
        <v>1839.75</v>
      </c>
    </row>
    <row r="930" spans="1:19" x14ac:dyDescent="0.35">
      <c r="A930">
        <v>100928</v>
      </c>
      <c r="B930">
        <v>2041</v>
      </c>
      <c r="C930" t="s">
        <v>19</v>
      </c>
      <c r="D930" t="s">
        <v>20</v>
      </c>
      <c r="E930" t="s">
        <v>26</v>
      </c>
      <c r="F930" t="s">
        <v>27</v>
      </c>
      <c r="G930" s="1">
        <v>45039</v>
      </c>
      <c r="H930" s="1">
        <v>45044</v>
      </c>
      <c r="I930" s="1">
        <v>45057</v>
      </c>
      <c r="J930">
        <v>18</v>
      </c>
      <c r="K930">
        <v>5</v>
      </c>
      <c r="L930">
        <v>9</v>
      </c>
      <c r="M930">
        <v>84.42</v>
      </c>
      <c r="N930">
        <v>759.78</v>
      </c>
      <c r="O930">
        <v>0.04</v>
      </c>
      <c r="P930">
        <v>30.39</v>
      </c>
      <c r="Q930">
        <v>729.39</v>
      </c>
      <c r="R930">
        <v>516.65</v>
      </c>
      <c r="S930">
        <v>212.74</v>
      </c>
    </row>
    <row r="931" spans="1:19" x14ac:dyDescent="0.35">
      <c r="A931">
        <v>100929</v>
      </c>
      <c r="B931">
        <v>3807</v>
      </c>
      <c r="C931" t="s">
        <v>19</v>
      </c>
      <c r="D931" t="s">
        <v>29</v>
      </c>
      <c r="E931" t="s">
        <v>34</v>
      </c>
      <c r="F931" t="s">
        <v>43</v>
      </c>
      <c r="G931" s="1">
        <v>45176</v>
      </c>
      <c r="H931" s="1">
        <v>45178</v>
      </c>
      <c r="I931" s="1">
        <v>45202</v>
      </c>
      <c r="J931">
        <v>26</v>
      </c>
      <c r="K931">
        <v>2</v>
      </c>
      <c r="L931">
        <v>4</v>
      </c>
      <c r="M931">
        <v>627.34</v>
      </c>
      <c r="N931">
        <v>2509.36</v>
      </c>
      <c r="O931">
        <v>0.09</v>
      </c>
      <c r="P931">
        <v>225.84</v>
      </c>
      <c r="Q931">
        <v>2283.52</v>
      </c>
      <c r="R931">
        <v>1405.24</v>
      </c>
      <c r="S931">
        <v>878.28</v>
      </c>
    </row>
    <row r="932" spans="1:19" x14ac:dyDescent="0.35">
      <c r="A932">
        <v>100930</v>
      </c>
      <c r="B932">
        <v>1231</v>
      </c>
      <c r="C932" t="s">
        <v>28</v>
      </c>
      <c r="D932" t="s">
        <v>31</v>
      </c>
      <c r="E932" t="s">
        <v>21</v>
      </c>
      <c r="F932" t="s">
        <v>38</v>
      </c>
      <c r="G932" s="1">
        <v>45014</v>
      </c>
      <c r="H932" s="1">
        <v>45019</v>
      </c>
      <c r="I932" s="1">
        <v>45027</v>
      </c>
      <c r="J932">
        <v>13</v>
      </c>
      <c r="K932">
        <v>5</v>
      </c>
      <c r="L932">
        <v>11</v>
      </c>
      <c r="M932">
        <v>340.42</v>
      </c>
      <c r="N932">
        <v>3744.62</v>
      </c>
      <c r="O932">
        <v>0.05</v>
      </c>
      <c r="P932">
        <v>187.23</v>
      </c>
      <c r="Q932">
        <v>3557.39</v>
      </c>
      <c r="R932">
        <v>2621.23</v>
      </c>
      <c r="S932">
        <v>936.16</v>
      </c>
    </row>
    <row r="933" spans="1:19" x14ac:dyDescent="0.35">
      <c r="A933">
        <v>100931</v>
      </c>
      <c r="B933">
        <v>4193</v>
      </c>
      <c r="C933" t="s">
        <v>23</v>
      </c>
      <c r="D933" t="s">
        <v>20</v>
      </c>
      <c r="E933" t="s">
        <v>21</v>
      </c>
      <c r="F933" t="s">
        <v>39</v>
      </c>
      <c r="G933" s="1">
        <v>45182</v>
      </c>
      <c r="H933" s="1">
        <v>45187</v>
      </c>
      <c r="I933" s="1">
        <v>45189</v>
      </c>
      <c r="J933">
        <v>7</v>
      </c>
      <c r="K933">
        <v>5</v>
      </c>
      <c r="L933">
        <v>8</v>
      </c>
      <c r="M933">
        <v>440.38</v>
      </c>
      <c r="N933">
        <v>3523.04</v>
      </c>
      <c r="O933">
        <v>7.0000000000000007E-2</v>
      </c>
      <c r="P933">
        <v>246.61</v>
      </c>
      <c r="Q933">
        <v>3276.43</v>
      </c>
      <c r="R933">
        <v>2289.98</v>
      </c>
      <c r="S933">
        <v>986.45</v>
      </c>
    </row>
    <row r="934" spans="1:19" x14ac:dyDescent="0.35">
      <c r="A934">
        <v>100932</v>
      </c>
      <c r="B934">
        <v>1296</v>
      </c>
      <c r="C934" t="s">
        <v>23</v>
      </c>
      <c r="D934" t="s">
        <v>20</v>
      </c>
      <c r="E934" t="s">
        <v>21</v>
      </c>
      <c r="F934" t="s">
        <v>41</v>
      </c>
      <c r="G934" s="1">
        <v>45219</v>
      </c>
      <c r="H934" s="1">
        <v>45222</v>
      </c>
      <c r="I934" s="1">
        <v>45231</v>
      </c>
      <c r="J934">
        <v>12</v>
      </c>
      <c r="K934">
        <v>3</v>
      </c>
      <c r="L934">
        <v>5</v>
      </c>
      <c r="M934">
        <v>321.13</v>
      </c>
      <c r="N934">
        <v>1605.65</v>
      </c>
      <c r="O934">
        <v>0.01</v>
      </c>
      <c r="P934">
        <v>16.059999999999999</v>
      </c>
      <c r="Q934">
        <v>1589.59</v>
      </c>
      <c r="R934">
        <v>995.5</v>
      </c>
      <c r="S934">
        <v>594.09</v>
      </c>
    </row>
    <row r="935" spans="1:19" x14ac:dyDescent="0.35">
      <c r="A935">
        <v>100933</v>
      </c>
      <c r="B935">
        <v>3004</v>
      </c>
      <c r="C935" t="s">
        <v>19</v>
      </c>
      <c r="D935" t="s">
        <v>29</v>
      </c>
      <c r="E935" t="s">
        <v>24</v>
      </c>
      <c r="F935" t="s">
        <v>32</v>
      </c>
      <c r="G935" s="1">
        <v>44989</v>
      </c>
      <c r="H935" s="1">
        <v>44990</v>
      </c>
      <c r="I935" s="1">
        <v>44991</v>
      </c>
      <c r="J935">
        <v>2</v>
      </c>
      <c r="K935">
        <v>1</v>
      </c>
      <c r="L935">
        <v>3</v>
      </c>
      <c r="M935">
        <v>511.67</v>
      </c>
      <c r="N935">
        <v>1535.01</v>
      </c>
      <c r="O935">
        <v>0.08</v>
      </c>
      <c r="P935">
        <v>122.8</v>
      </c>
      <c r="Q935">
        <v>1412.21</v>
      </c>
      <c r="R935">
        <v>951.71</v>
      </c>
      <c r="S935">
        <v>460.5</v>
      </c>
    </row>
    <row r="936" spans="1:19" x14ac:dyDescent="0.35">
      <c r="A936">
        <v>100934</v>
      </c>
      <c r="B936">
        <v>4724</v>
      </c>
      <c r="C936" t="s">
        <v>19</v>
      </c>
      <c r="D936" t="s">
        <v>29</v>
      </c>
      <c r="E936" t="s">
        <v>21</v>
      </c>
      <c r="F936" t="s">
        <v>39</v>
      </c>
      <c r="G936" s="1">
        <v>45150</v>
      </c>
      <c r="H936" s="1">
        <v>45154</v>
      </c>
      <c r="I936" s="1">
        <v>45167</v>
      </c>
      <c r="J936">
        <v>17</v>
      </c>
      <c r="K936">
        <v>4</v>
      </c>
      <c r="L936">
        <v>9</v>
      </c>
      <c r="M936">
        <v>643.32000000000005</v>
      </c>
      <c r="N936">
        <v>5789.88</v>
      </c>
      <c r="O936">
        <v>0.05</v>
      </c>
      <c r="P936">
        <v>289.49</v>
      </c>
      <c r="Q936">
        <v>5500.39</v>
      </c>
      <c r="R936">
        <v>3763.42</v>
      </c>
      <c r="S936">
        <v>1736.97</v>
      </c>
    </row>
    <row r="937" spans="1:19" x14ac:dyDescent="0.35">
      <c r="A937">
        <v>100935</v>
      </c>
      <c r="B937">
        <v>4404</v>
      </c>
      <c r="C937" t="s">
        <v>19</v>
      </c>
      <c r="D937" t="s">
        <v>31</v>
      </c>
      <c r="E937" t="s">
        <v>34</v>
      </c>
      <c r="F937" t="s">
        <v>35</v>
      </c>
      <c r="G937" s="1">
        <v>45225</v>
      </c>
      <c r="H937" s="1">
        <v>45229</v>
      </c>
      <c r="I937" s="1">
        <v>45246</v>
      </c>
      <c r="J937">
        <v>21</v>
      </c>
      <c r="K937">
        <v>4</v>
      </c>
      <c r="L937">
        <v>4</v>
      </c>
      <c r="M937">
        <v>64.42</v>
      </c>
      <c r="N937">
        <v>257.68</v>
      </c>
      <c r="O937">
        <v>0</v>
      </c>
      <c r="P937">
        <v>0</v>
      </c>
      <c r="Q937">
        <v>257.68</v>
      </c>
      <c r="R937">
        <v>152.03</v>
      </c>
      <c r="S937">
        <v>105.65</v>
      </c>
    </row>
    <row r="938" spans="1:19" x14ac:dyDescent="0.35">
      <c r="A938">
        <v>100936</v>
      </c>
      <c r="B938">
        <v>3775</v>
      </c>
      <c r="C938" t="s">
        <v>19</v>
      </c>
      <c r="D938" t="s">
        <v>20</v>
      </c>
      <c r="E938" t="s">
        <v>21</v>
      </c>
      <c r="F938" t="s">
        <v>22</v>
      </c>
      <c r="G938" s="1">
        <v>45266</v>
      </c>
      <c r="H938" s="1">
        <v>45268</v>
      </c>
      <c r="I938" s="1">
        <v>45268</v>
      </c>
      <c r="J938">
        <v>2</v>
      </c>
      <c r="K938">
        <v>2</v>
      </c>
      <c r="L938">
        <v>3</v>
      </c>
      <c r="M938">
        <v>421.59</v>
      </c>
      <c r="N938">
        <v>1264.77</v>
      </c>
      <c r="O938">
        <v>0.01</v>
      </c>
      <c r="P938">
        <v>12.65</v>
      </c>
      <c r="Q938">
        <v>1252.1199999999999</v>
      </c>
      <c r="R938">
        <v>708.27</v>
      </c>
      <c r="S938">
        <v>543.85</v>
      </c>
    </row>
    <row r="939" spans="1:19" x14ac:dyDescent="0.35">
      <c r="A939">
        <v>100937</v>
      </c>
      <c r="B939">
        <v>3655</v>
      </c>
      <c r="C939" t="s">
        <v>28</v>
      </c>
      <c r="D939" t="s">
        <v>20</v>
      </c>
      <c r="E939" t="s">
        <v>24</v>
      </c>
      <c r="F939" t="s">
        <v>42</v>
      </c>
      <c r="G939" s="1">
        <v>45259</v>
      </c>
      <c r="H939" s="1">
        <v>45264</v>
      </c>
      <c r="I939" s="1">
        <v>45268</v>
      </c>
      <c r="J939">
        <v>9</v>
      </c>
      <c r="K939">
        <v>5</v>
      </c>
      <c r="L939">
        <v>2</v>
      </c>
      <c r="M939">
        <v>259.24</v>
      </c>
      <c r="N939">
        <v>518.48</v>
      </c>
      <c r="O939">
        <v>0.06</v>
      </c>
      <c r="P939">
        <v>31.11</v>
      </c>
      <c r="Q939">
        <v>487.37</v>
      </c>
      <c r="R939">
        <v>342.2</v>
      </c>
      <c r="S939">
        <v>145.16999999999999</v>
      </c>
    </row>
    <row r="940" spans="1:19" x14ac:dyDescent="0.35">
      <c r="A940">
        <v>100938</v>
      </c>
      <c r="B940">
        <v>1119</v>
      </c>
      <c r="C940" t="s">
        <v>19</v>
      </c>
      <c r="D940" t="s">
        <v>31</v>
      </c>
      <c r="E940" t="s">
        <v>34</v>
      </c>
      <c r="F940" t="s">
        <v>40</v>
      </c>
      <c r="G940" s="1">
        <v>45157</v>
      </c>
      <c r="H940" s="1">
        <v>45158</v>
      </c>
      <c r="I940" s="1">
        <v>45169</v>
      </c>
      <c r="J940">
        <v>12</v>
      </c>
      <c r="K940">
        <v>1</v>
      </c>
      <c r="L940">
        <v>11</v>
      </c>
      <c r="M940">
        <v>233.07</v>
      </c>
      <c r="N940">
        <v>2563.77</v>
      </c>
      <c r="O940">
        <v>0.13</v>
      </c>
      <c r="P940">
        <v>333.29</v>
      </c>
      <c r="Q940">
        <v>2230.48</v>
      </c>
      <c r="R940">
        <v>1410.07</v>
      </c>
      <c r="S940">
        <v>820.41</v>
      </c>
    </row>
    <row r="941" spans="1:19" x14ac:dyDescent="0.35">
      <c r="A941">
        <v>100939</v>
      </c>
      <c r="B941">
        <v>1207</v>
      </c>
      <c r="C941" t="s">
        <v>23</v>
      </c>
      <c r="D941" t="s">
        <v>31</v>
      </c>
      <c r="E941" t="s">
        <v>24</v>
      </c>
      <c r="F941" t="s">
        <v>30</v>
      </c>
      <c r="G941" s="1">
        <v>44976</v>
      </c>
      <c r="H941" s="1">
        <v>44978</v>
      </c>
      <c r="I941" s="1">
        <v>45004</v>
      </c>
      <c r="J941">
        <v>28</v>
      </c>
      <c r="K941">
        <v>2</v>
      </c>
      <c r="L941">
        <v>4</v>
      </c>
      <c r="M941">
        <v>107.56</v>
      </c>
      <c r="N941">
        <v>430.24</v>
      </c>
      <c r="O941">
        <v>0.04</v>
      </c>
      <c r="P941">
        <v>17.21</v>
      </c>
      <c r="Q941">
        <v>413.03</v>
      </c>
      <c r="R941">
        <v>283.95999999999998</v>
      </c>
      <c r="S941">
        <v>129.07</v>
      </c>
    </row>
    <row r="942" spans="1:19" x14ac:dyDescent="0.35">
      <c r="A942">
        <v>100940</v>
      </c>
      <c r="B942">
        <v>1783</v>
      </c>
      <c r="C942" t="s">
        <v>28</v>
      </c>
      <c r="D942" t="s">
        <v>20</v>
      </c>
      <c r="E942" t="s">
        <v>34</v>
      </c>
      <c r="F942" t="s">
        <v>43</v>
      </c>
      <c r="G942" s="1">
        <v>44988</v>
      </c>
      <c r="H942" s="1">
        <v>44989</v>
      </c>
      <c r="I942" s="1">
        <v>45011</v>
      </c>
      <c r="J942">
        <v>23</v>
      </c>
      <c r="K942">
        <v>1</v>
      </c>
      <c r="L942">
        <v>8</v>
      </c>
      <c r="M942">
        <v>407.41</v>
      </c>
      <c r="N942">
        <v>3259.28</v>
      </c>
      <c r="O942">
        <v>0.12</v>
      </c>
      <c r="P942">
        <v>391.11</v>
      </c>
      <c r="Q942">
        <v>2868.17</v>
      </c>
      <c r="R942">
        <v>1955.57</v>
      </c>
      <c r="S942">
        <v>912.6</v>
      </c>
    </row>
    <row r="943" spans="1:19" x14ac:dyDescent="0.35">
      <c r="A943">
        <v>100941</v>
      </c>
      <c r="B943">
        <v>3233</v>
      </c>
      <c r="C943" t="s">
        <v>23</v>
      </c>
      <c r="D943" t="s">
        <v>29</v>
      </c>
      <c r="E943" t="s">
        <v>34</v>
      </c>
      <c r="F943" t="s">
        <v>43</v>
      </c>
      <c r="G943" s="1">
        <v>45039</v>
      </c>
      <c r="H943" s="1">
        <v>45040</v>
      </c>
      <c r="I943" s="1">
        <v>45066</v>
      </c>
      <c r="J943">
        <v>27</v>
      </c>
      <c r="K943">
        <v>1</v>
      </c>
      <c r="L943">
        <v>3</v>
      </c>
      <c r="M943">
        <v>539.55999999999995</v>
      </c>
      <c r="N943">
        <v>1618.68</v>
      </c>
      <c r="O943">
        <v>0</v>
      </c>
      <c r="P943">
        <v>0</v>
      </c>
      <c r="Q943">
        <v>1618.68</v>
      </c>
      <c r="R943">
        <v>1084.52</v>
      </c>
      <c r="S943">
        <v>534.16</v>
      </c>
    </row>
    <row r="944" spans="1:19" x14ac:dyDescent="0.35">
      <c r="A944">
        <v>100942</v>
      </c>
      <c r="B944">
        <v>4170</v>
      </c>
      <c r="C944" t="s">
        <v>33</v>
      </c>
      <c r="D944" t="s">
        <v>29</v>
      </c>
      <c r="E944" t="s">
        <v>21</v>
      </c>
      <c r="F944" t="s">
        <v>22</v>
      </c>
      <c r="G944" s="1">
        <v>45124</v>
      </c>
      <c r="H944" s="1">
        <v>45129</v>
      </c>
      <c r="I944" s="1">
        <v>45135</v>
      </c>
      <c r="J944">
        <v>11</v>
      </c>
      <c r="K944">
        <v>5</v>
      </c>
      <c r="L944">
        <v>11</v>
      </c>
      <c r="M944">
        <v>193.7</v>
      </c>
      <c r="N944">
        <v>2130.6999999999998</v>
      </c>
      <c r="O944">
        <v>0.19</v>
      </c>
      <c r="P944">
        <v>404.83</v>
      </c>
      <c r="Q944">
        <v>1725.87</v>
      </c>
      <c r="R944">
        <v>1470.18</v>
      </c>
      <c r="S944">
        <v>255.69</v>
      </c>
    </row>
    <row r="945" spans="1:19" x14ac:dyDescent="0.35">
      <c r="A945">
        <v>100943</v>
      </c>
      <c r="B945">
        <v>3761</v>
      </c>
      <c r="C945" t="s">
        <v>19</v>
      </c>
      <c r="D945" t="s">
        <v>20</v>
      </c>
      <c r="E945" t="s">
        <v>21</v>
      </c>
      <c r="F945" t="s">
        <v>39</v>
      </c>
      <c r="G945" s="1">
        <v>45007</v>
      </c>
      <c r="H945" s="1">
        <v>45009</v>
      </c>
      <c r="I945" s="1">
        <v>45011</v>
      </c>
      <c r="J945">
        <v>4</v>
      </c>
      <c r="K945">
        <v>2</v>
      </c>
      <c r="L945">
        <v>8</v>
      </c>
      <c r="M945">
        <v>345.69</v>
      </c>
      <c r="N945">
        <v>2765.52</v>
      </c>
      <c r="O945">
        <v>0.08</v>
      </c>
      <c r="P945">
        <v>221.24</v>
      </c>
      <c r="Q945">
        <v>2544.2800000000002</v>
      </c>
      <c r="R945">
        <v>1852.9</v>
      </c>
      <c r="S945">
        <v>691.38</v>
      </c>
    </row>
    <row r="946" spans="1:19" x14ac:dyDescent="0.35">
      <c r="A946">
        <v>100944</v>
      </c>
      <c r="B946">
        <v>2011</v>
      </c>
      <c r="C946" t="s">
        <v>28</v>
      </c>
      <c r="D946" t="s">
        <v>29</v>
      </c>
      <c r="E946" t="s">
        <v>21</v>
      </c>
      <c r="F946" t="s">
        <v>22</v>
      </c>
      <c r="G946" s="1">
        <v>45090</v>
      </c>
      <c r="H946" s="1">
        <v>45094</v>
      </c>
      <c r="I946" s="1">
        <v>45097</v>
      </c>
      <c r="J946">
        <v>7</v>
      </c>
      <c r="K946">
        <v>4</v>
      </c>
      <c r="L946">
        <v>3</v>
      </c>
      <c r="M946">
        <v>22.42</v>
      </c>
      <c r="N946">
        <v>67.260000000000005</v>
      </c>
      <c r="O946">
        <v>0.02</v>
      </c>
      <c r="P946">
        <v>1.35</v>
      </c>
      <c r="Q946">
        <v>65.91</v>
      </c>
      <c r="R946">
        <v>53.81</v>
      </c>
      <c r="S946">
        <v>12.1</v>
      </c>
    </row>
    <row r="947" spans="1:19" x14ac:dyDescent="0.35">
      <c r="A947">
        <v>100945</v>
      </c>
      <c r="B947">
        <v>3029</v>
      </c>
      <c r="C947" t="s">
        <v>19</v>
      </c>
      <c r="D947" t="s">
        <v>20</v>
      </c>
      <c r="E947" t="s">
        <v>34</v>
      </c>
      <c r="F947" t="s">
        <v>35</v>
      </c>
      <c r="G947" s="1">
        <v>45251</v>
      </c>
      <c r="H947" s="1">
        <v>45255</v>
      </c>
      <c r="I947" s="1">
        <v>45269</v>
      </c>
      <c r="J947">
        <v>18</v>
      </c>
      <c r="K947">
        <v>4</v>
      </c>
      <c r="L947">
        <v>4</v>
      </c>
      <c r="M947">
        <v>474.11</v>
      </c>
      <c r="N947">
        <v>1896.44</v>
      </c>
      <c r="O947">
        <v>0.1</v>
      </c>
      <c r="P947">
        <v>189.64</v>
      </c>
      <c r="Q947">
        <v>1706.8</v>
      </c>
      <c r="R947">
        <v>1289.58</v>
      </c>
      <c r="S947">
        <v>417.22</v>
      </c>
    </row>
    <row r="948" spans="1:19" x14ac:dyDescent="0.35">
      <c r="A948">
        <v>100946</v>
      </c>
      <c r="B948">
        <v>1691</v>
      </c>
      <c r="C948" t="s">
        <v>28</v>
      </c>
      <c r="D948" t="s">
        <v>29</v>
      </c>
      <c r="E948" t="s">
        <v>21</v>
      </c>
      <c r="F948" t="s">
        <v>38</v>
      </c>
      <c r="G948" s="1">
        <v>44953</v>
      </c>
      <c r="H948" s="1">
        <v>44955</v>
      </c>
      <c r="I948" s="1">
        <v>44966</v>
      </c>
      <c r="J948">
        <v>13</v>
      </c>
      <c r="K948">
        <v>2</v>
      </c>
      <c r="L948">
        <v>6</v>
      </c>
      <c r="M948">
        <v>352.27</v>
      </c>
      <c r="N948">
        <v>2113.62</v>
      </c>
      <c r="O948">
        <v>0.09</v>
      </c>
      <c r="P948">
        <v>190.23</v>
      </c>
      <c r="Q948">
        <v>1923.39</v>
      </c>
      <c r="R948">
        <v>1394.99</v>
      </c>
      <c r="S948">
        <v>528.4</v>
      </c>
    </row>
    <row r="949" spans="1:19" x14ac:dyDescent="0.35">
      <c r="A949">
        <v>100947</v>
      </c>
      <c r="B949">
        <v>4151</v>
      </c>
      <c r="C949" t="s">
        <v>33</v>
      </c>
      <c r="D949" t="s">
        <v>29</v>
      </c>
      <c r="E949" t="s">
        <v>24</v>
      </c>
      <c r="F949" t="s">
        <v>25</v>
      </c>
      <c r="G949" s="1">
        <v>45200</v>
      </c>
      <c r="H949" s="1">
        <v>45202</v>
      </c>
      <c r="I949" s="1">
        <v>45218</v>
      </c>
      <c r="J949">
        <v>18</v>
      </c>
      <c r="K949">
        <v>2</v>
      </c>
      <c r="L949">
        <v>5</v>
      </c>
      <c r="M949">
        <v>157.66</v>
      </c>
      <c r="N949">
        <v>788.3</v>
      </c>
      <c r="O949">
        <v>0.03</v>
      </c>
      <c r="P949">
        <v>23.65</v>
      </c>
      <c r="Q949">
        <v>764.65</v>
      </c>
      <c r="R949">
        <v>520.28</v>
      </c>
      <c r="S949">
        <v>244.37</v>
      </c>
    </row>
    <row r="950" spans="1:19" x14ac:dyDescent="0.35">
      <c r="A950">
        <v>100948</v>
      </c>
      <c r="B950">
        <v>4554</v>
      </c>
      <c r="C950" t="s">
        <v>23</v>
      </c>
      <c r="D950" t="s">
        <v>31</v>
      </c>
      <c r="E950" t="s">
        <v>34</v>
      </c>
      <c r="F950" t="s">
        <v>40</v>
      </c>
      <c r="G950" s="1">
        <v>45234</v>
      </c>
      <c r="H950" s="1">
        <v>45238</v>
      </c>
      <c r="I950" s="1">
        <v>45250</v>
      </c>
      <c r="J950">
        <v>16</v>
      </c>
      <c r="K950">
        <v>4</v>
      </c>
      <c r="L950">
        <v>13</v>
      </c>
      <c r="M950">
        <v>167.3</v>
      </c>
      <c r="N950">
        <v>2174.9</v>
      </c>
      <c r="O950">
        <v>0.22</v>
      </c>
      <c r="P950">
        <v>478.48</v>
      </c>
      <c r="Q950">
        <v>1696.42</v>
      </c>
      <c r="R950">
        <v>1283.19</v>
      </c>
      <c r="S950">
        <v>413.23</v>
      </c>
    </row>
    <row r="951" spans="1:19" x14ac:dyDescent="0.35">
      <c r="A951">
        <v>100949</v>
      </c>
      <c r="B951">
        <v>1921</v>
      </c>
      <c r="C951" t="s">
        <v>28</v>
      </c>
      <c r="D951" t="s">
        <v>31</v>
      </c>
      <c r="E951" t="s">
        <v>24</v>
      </c>
      <c r="F951" t="s">
        <v>32</v>
      </c>
      <c r="G951" s="1">
        <v>45012</v>
      </c>
      <c r="H951" s="1">
        <v>45016</v>
      </c>
      <c r="I951" s="1">
        <v>45029</v>
      </c>
      <c r="J951">
        <v>17</v>
      </c>
      <c r="K951">
        <v>4</v>
      </c>
      <c r="L951">
        <v>10</v>
      </c>
      <c r="M951">
        <v>590.52</v>
      </c>
      <c r="N951">
        <v>5905.2</v>
      </c>
      <c r="O951">
        <v>0.16</v>
      </c>
      <c r="P951">
        <v>944.83</v>
      </c>
      <c r="Q951">
        <v>4960.37</v>
      </c>
      <c r="R951">
        <v>3838.38</v>
      </c>
      <c r="S951">
        <v>1121.99</v>
      </c>
    </row>
    <row r="952" spans="1:19" x14ac:dyDescent="0.35">
      <c r="A952">
        <v>100950</v>
      </c>
      <c r="B952">
        <v>1789</v>
      </c>
      <c r="C952" t="s">
        <v>23</v>
      </c>
      <c r="D952" t="s">
        <v>29</v>
      </c>
      <c r="E952" t="s">
        <v>26</v>
      </c>
      <c r="F952" t="s">
        <v>37</v>
      </c>
      <c r="G952" s="1">
        <v>45123</v>
      </c>
      <c r="H952" s="1">
        <v>45124</v>
      </c>
      <c r="I952" s="1">
        <v>45135</v>
      </c>
      <c r="J952">
        <v>12</v>
      </c>
      <c r="K952">
        <v>1</v>
      </c>
      <c r="L952">
        <v>10</v>
      </c>
      <c r="M952">
        <v>718.95</v>
      </c>
      <c r="N952">
        <v>7189.5</v>
      </c>
      <c r="O952">
        <v>0.03</v>
      </c>
      <c r="P952">
        <v>215.68</v>
      </c>
      <c r="Q952">
        <v>6973.82</v>
      </c>
      <c r="R952">
        <v>4601.28</v>
      </c>
      <c r="S952">
        <v>2372.54</v>
      </c>
    </row>
    <row r="953" spans="1:19" x14ac:dyDescent="0.35">
      <c r="A953">
        <v>100951</v>
      </c>
      <c r="B953">
        <v>2325</v>
      </c>
      <c r="C953" t="s">
        <v>28</v>
      </c>
      <c r="D953" t="s">
        <v>31</v>
      </c>
      <c r="E953" t="s">
        <v>34</v>
      </c>
      <c r="F953" t="s">
        <v>35</v>
      </c>
      <c r="G953" s="1">
        <v>45137</v>
      </c>
      <c r="H953" s="1">
        <v>45138</v>
      </c>
      <c r="I953" s="1">
        <v>45149</v>
      </c>
      <c r="J953">
        <v>12</v>
      </c>
      <c r="K953">
        <v>1</v>
      </c>
      <c r="L953">
        <v>5</v>
      </c>
      <c r="M953">
        <v>383</v>
      </c>
      <c r="N953">
        <v>1915</v>
      </c>
      <c r="O953">
        <v>0.09</v>
      </c>
      <c r="P953">
        <v>172.35</v>
      </c>
      <c r="Q953">
        <v>1742.65</v>
      </c>
      <c r="R953">
        <v>1302.2</v>
      </c>
      <c r="S953">
        <v>440.45</v>
      </c>
    </row>
    <row r="954" spans="1:19" x14ac:dyDescent="0.35">
      <c r="A954">
        <v>100952</v>
      </c>
      <c r="B954">
        <v>1595</v>
      </c>
      <c r="C954" t="s">
        <v>28</v>
      </c>
      <c r="D954" t="s">
        <v>31</v>
      </c>
      <c r="E954" t="s">
        <v>24</v>
      </c>
      <c r="F954" t="s">
        <v>30</v>
      </c>
      <c r="G954" s="1">
        <v>45152</v>
      </c>
      <c r="H954" s="1">
        <v>45157</v>
      </c>
      <c r="I954" s="1">
        <v>45177</v>
      </c>
      <c r="J954">
        <v>25</v>
      </c>
      <c r="K954">
        <v>5</v>
      </c>
      <c r="L954">
        <v>2</v>
      </c>
      <c r="M954">
        <v>98.13</v>
      </c>
      <c r="N954">
        <v>196.26</v>
      </c>
      <c r="O954">
        <v>0.14000000000000001</v>
      </c>
      <c r="P954">
        <v>27.48</v>
      </c>
      <c r="Q954">
        <v>168.78</v>
      </c>
      <c r="R954">
        <v>111.87</v>
      </c>
      <c r="S954">
        <v>56.91</v>
      </c>
    </row>
    <row r="955" spans="1:19" x14ac:dyDescent="0.35">
      <c r="A955">
        <v>100953</v>
      </c>
      <c r="B955">
        <v>4323</v>
      </c>
      <c r="C955" t="s">
        <v>23</v>
      </c>
      <c r="D955" t="s">
        <v>31</v>
      </c>
      <c r="E955" t="s">
        <v>24</v>
      </c>
      <c r="F955" t="s">
        <v>30</v>
      </c>
      <c r="G955" s="1">
        <v>44930</v>
      </c>
      <c r="H955" s="1">
        <v>44935</v>
      </c>
      <c r="I955" s="1">
        <v>44943</v>
      </c>
      <c r="J955">
        <v>13</v>
      </c>
      <c r="K955">
        <v>5</v>
      </c>
      <c r="L955">
        <v>7</v>
      </c>
      <c r="M955">
        <v>634.85</v>
      </c>
      <c r="N955">
        <v>4443.95</v>
      </c>
      <c r="O955">
        <v>0.11</v>
      </c>
      <c r="P955">
        <v>488.83</v>
      </c>
      <c r="Q955">
        <v>3955.12</v>
      </c>
      <c r="R955">
        <v>2399.73</v>
      </c>
      <c r="S955">
        <v>1555.39</v>
      </c>
    </row>
    <row r="956" spans="1:19" x14ac:dyDescent="0.35">
      <c r="A956">
        <v>100954</v>
      </c>
      <c r="B956">
        <v>3160</v>
      </c>
      <c r="C956" t="s">
        <v>19</v>
      </c>
      <c r="D956" t="s">
        <v>29</v>
      </c>
      <c r="E956" t="s">
        <v>26</v>
      </c>
      <c r="F956" t="s">
        <v>44</v>
      </c>
      <c r="G956" s="1">
        <v>45118</v>
      </c>
      <c r="H956" s="1">
        <v>45120</v>
      </c>
      <c r="I956" s="1">
        <v>45133</v>
      </c>
      <c r="J956">
        <v>15</v>
      </c>
      <c r="K956">
        <v>2</v>
      </c>
      <c r="L956">
        <v>9</v>
      </c>
      <c r="M956">
        <v>201.48</v>
      </c>
      <c r="N956">
        <v>1813.32</v>
      </c>
      <c r="O956">
        <v>0.18</v>
      </c>
      <c r="P956">
        <v>326.39999999999998</v>
      </c>
      <c r="Q956">
        <v>1486.92</v>
      </c>
      <c r="R956">
        <v>979.19</v>
      </c>
      <c r="S956">
        <v>507.73</v>
      </c>
    </row>
    <row r="957" spans="1:19" x14ac:dyDescent="0.35">
      <c r="A957">
        <v>100955</v>
      </c>
      <c r="B957">
        <v>1563</v>
      </c>
      <c r="C957" t="s">
        <v>28</v>
      </c>
      <c r="D957" t="s">
        <v>29</v>
      </c>
      <c r="E957" t="s">
        <v>21</v>
      </c>
      <c r="F957" t="s">
        <v>22</v>
      </c>
      <c r="G957" s="1">
        <v>45261</v>
      </c>
      <c r="H957" s="1">
        <v>45265</v>
      </c>
      <c r="I957" s="1">
        <v>45278</v>
      </c>
      <c r="J957">
        <v>17</v>
      </c>
      <c r="K957">
        <v>4</v>
      </c>
      <c r="L957">
        <v>1</v>
      </c>
      <c r="M957">
        <v>472.3</v>
      </c>
      <c r="N957">
        <v>472.3</v>
      </c>
      <c r="O957">
        <v>0.21</v>
      </c>
      <c r="P957">
        <v>99.18</v>
      </c>
      <c r="Q957">
        <v>373.12</v>
      </c>
      <c r="R957">
        <v>302.27</v>
      </c>
      <c r="S957">
        <v>70.849999999999994</v>
      </c>
    </row>
    <row r="958" spans="1:19" x14ac:dyDescent="0.35">
      <c r="A958">
        <v>100956</v>
      </c>
      <c r="B958">
        <v>3891</v>
      </c>
      <c r="C958" t="s">
        <v>19</v>
      </c>
      <c r="D958" t="s">
        <v>31</v>
      </c>
      <c r="E958" t="s">
        <v>21</v>
      </c>
      <c r="F958" t="s">
        <v>41</v>
      </c>
      <c r="G958" s="1">
        <v>45186</v>
      </c>
      <c r="H958" s="1">
        <v>45190</v>
      </c>
      <c r="I958" s="1">
        <v>45209</v>
      </c>
      <c r="J958">
        <v>23</v>
      </c>
      <c r="K958">
        <v>4</v>
      </c>
      <c r="L958">
        <v>6</v>
      </c>
      <c r="M958">
        <v>457.27</v>
      </c>
      <c r="N958">
        <v>2743.62</v>
      </c>
      <c r="O958">
        <v>0.13</v>
      </c>
      <c r="P958">
        <v>356.67</v>
      </c>
      <c r="Q958">
        <v>2386.9499999999998</v>
      </c>
      <c r="R958">
        <v>1591.3</v>
      </c>
      <c r="S958">
        <v>795.65</v>
      </c>
    </row>
    <row r="959" spans="1:19" x14ac:dyDescent="0.35">
      <c r="A959">
        <v>100957</v>
      </c>
      <c r="B959">
        <v>4425</v>
      </c>
      <c r="C959" t="s">
        <v>33</v>
      </c>
      <c r="D959" t="s">
        <v>29</v>
      </c>
      <c r="E959" t="s">
        <v>34</v>
      </c>
      <c r="F959" t="s">
        <v>40</v>
      </c>
      <c r="G959" s="1">
        <v>44976</v>
      </c>
      <c r="H959" s="1">
        <v>44979</v>
      </c>
      <c r="I959" s="1">
        <v>44998</v>
      </c>
      <c r="J959">
        <v>22</v>
      </c>
      <c r="K959">
        <v>3</v>
      </c>
      <c r="L959">
        <v>13</v>
      </c>
      <c r="M959">
        <v>777.28</v>
      </c>
      <c r="N959">
        <v>10104.64</v>
      </c>
      <c r="O959">
        <v>0.05</v>
      </c>
      <c r="P959">
        <v>505.23</v>
      </c>
      <c r="Q959">
        <v>9599.41</v>
      </c>
      <c r="R959">
        <v>5557.55</v>
      </c>
      <c r="S959">
        <v>4041.86</v>
      </c>
    </row>
    <row r="960" spans="1:19" x14ac:dyDescent="0.35">
      <c r="A960">
        <v>100958</v>
      </c>
      <c r="B960">
        <v>4074</v>
      </c>
      <c r="C960" t="s">
        <v>33</v>
      </c>
      <c r="D960" t="s">
        <v>29</v>
      </c>
      <c r="E960" t="s">
        <v>21</v>
      </c>
      <c r="F960" t="s">
        <v>39</v>
      </c>
      <c r="G960" s="1">
        <v>45061</v>
      </c>
      <c r="H960" s="1">
        <v>45062</v>
      </c>
      <c r="I960" s="1">
        <v>45086</v>
      </c>
      <c r="J960">
        <v>25</v>
      </c>
      <c r="K960">
        <v>1</v>
      </c>
      <c r="L960">
        <v>7</v>
      </c>
      <c r="M960">
        <v>670.7</v>
      </c>
      <c r="N960">
        <v>4694.8999999999996</v>
      </c>
      <c r="O960">
        <v>0.08</v>
      </c>
      <c r="P960">
        <v>375.59</v>
      </c>
      <c r="Q960">
        <v>4319.3100000000004</v>
      </c>
      <c r="R960">
        <v>2723.04</v>
      </c>
      <c r="S960">
        <v>1596.27</v>
      </c>
    </row>
    <row r="961" spans="1:19" x14ac:dyDescent="0.35">
      <c r="A961">
        <v>100959</v>
      </c>
      <c r="B961">
        <v>2802</v>
      </c>
      <c r="C961" t="s">
        <v>28</v>
      </c>
      <c r="D961" t="s">
        <v>31</v>
      </c>
      <c r="E961" t="s">
        <v>34</v>
      </c>
      <c r="F961" t="s">
        <v>40</v>
      </c>
      <c r="G961" s="1">
        <v>45013</v>
      </c>
      <c r="H961" s="1">
        <v>45015</v>
      </c>
      <c r="I961" s="1">
        <v>45035</v>
      </c>
      <c r="J961">
        <v>22</v>
      </c>
      <c r="K961">
        <v>2</v>
      </c>
      <c r="L961">
        <v>3</v>
      </c>
      <c r="M961">
        <v>662.18</v>
      </c>
      <c r="N961">
        <v>1986.54</v>
      </c>
      <c r="O961">
        <v>7.0000000000000007E-2</v>
      </c>
      <c r="P961">
        <v>139.06</v>
      </c>
      <c r="Q961">
        <v>1847.48</v>
      </c>
      <c r="R961">
        <v>1311.12</v>
      </c>
      <c r="S961">
        <v>536.36</v>
      </c>
    </row>
    <row r="962" spans="1:19" x14ac:dyDescent="0.35">
      <c r="A962">
        <v>100960</v>
      </c>
      <c r="B962">
        <v>3409</v>
      </c>
      <c r="C962" t="s">
        <v>23</v>
      </c>
      <c r="D962" t="s">
        <v>20</v>
      </c>
      <c r="E962" t="s">
        <v>24</v>
      </c>
      <c r="F962" t="s">
        <v>32</v>
      </c>
      <c r="G962" s="1">
        <v>45126</v>
      </c>
      <c r="H962" s="1">
        <v>45127</v>
      </c>
      <c r="I962" s="1">
        <v>45133</v>
      </c>
      <c r="J962">
        <v>7</v>
      </c>
      <c r="K962">
        <v>1</v>
      </c>
      <c r="L962">
        <v>2</v>
      </c>
      <c r="M962">
        <v>471.69</v>
      </c>
      <c r="N962">
        <v>943.38</v>
      </c>
      <c r="O962">
        <v>0.12</v>
      </c>
      <c r="P962">
        <v>113.21</v>
      </c>
      <c r="Q962">
        <v>830.17</v>
      </c>
      <c r="R962">
        <v>632.05999999999995</v>
      </c>
      <c r="S962">
        <v>198.11</v>
      </c>
    </row>
    <row r="963" spans="1:19" x14ac:dyDescent="0.35">
      <c r="A963">
        <v>100961</v>
      </c>
      <c r="B963">
        <v>1638</v>
      </c>
      <c r="C963" t="s">
        <v>28</v>
      </c>
      <c r="D963" t="s">
        <v>29</v>
      </c>
      <c r="E963" t="s">
        <v>21</v>
      </c>
      <c r="F963" t="s">
        <v>22</v>
      </c>
      <c r="G963" s="1">
        <v>45248</v>
      </c>
      <c r="H963" s="1">
        <v>45251</v>
      </c>
      <c r="I963" s="1">
        <v>45267</v>
      </c>
      <c r="J963">
        <v>19</v>
      </c>
      <c r="K963">
        <v>3</v>
      </c>
      <c r="L963">
        <v>11</v>
      </c>
      <c r="M963">
        <v>706.36</v>
      </c>
      <c r="N963">
        <v>7769.96</v>
      </c>
      <c r="O963">
        <v>0.17</v>
      </c>
      <c r="P963">
        <v>1320.89</v>
      </c>
      <c r="Q963">
        <v>6449.07</v>
      </c>
      <c r="R963">
        <v>4351.18</v>
      </c>
      <c r="S963">
        <v>2097.89</v>
      </c>
    </row>
    <row r="964" spans="1:19" x14ac:dyDescent="0.35">
      <c r="A964">
        <v>100962</v>
      </c>
      <c r="B964">
        <v>4208</v>
      </c>
      <c r="C964" t="s">
        <v>28</v>
      </c>
      <c r="D964" t="s">
        <v>29</v>
      </c>
      <c r="E964" t="s">
        <v>34</v>
      </c>
      <c r="F964" t="s">
        <v>35</v>
      </c>
      <c r="G964" s="1">
        <v>45004</v>
      </c>
      <c r="H964" s="1">
        <v>45005</v>
      </c>
      <c r="I964" s="1">
        <v>45012</v>
      </c>
      <c r="J964">
        <v>8</v>
      </c>
      <c r="K964">
        <v>1</v>
      </c>
      <c r="L964">
        <v>6</v>
      </c>
      <c r="M964">
        <v>25.29</v>
      </c>
      <c r="N964">
        <v>151.74</v>
      </c>
      <c r="O964">
        <v>0.06</v>
      </c>
      <c r="P964">
        <v>9.1</v>
      </c>
      <c r="Q964">
        <v>142.63999999999999</v>
      </c>
      <c r="R964">
        <v>103.18</v>
      </c>
      <c r="S964">
        <v>39.46</v>
      </c>
    </row>
    <row r="965" spans="1:19" x14ac:dyDescent="0.35">
      <c r="A965">
        <v>100963</v>
      </c>
      <c r="B965">
        <v>4007</v>
      </c>
      <c r="C965" t="s">
        <v>19</v>
      </c>
      <c r="D965" t="s">
        <v>29</v>
      </c>
      <c r="E965" t="s">
        <v>21</v>
      </c>
      <c r="F965" t="s">
        <v>39</v>
      </c>
      <c r="G965" s="1">
        <v>45266</v>
      </c>
      <c r="H965" s="1">
        <v>45270</v>
      </c>
      <c r="I965" s="1">
        <v>45292</v>
      </c>
      <c r="J965">
        <v>26</v>
      </c>
      <c r="K965">
        <v>4</v>
      </c>
      <c r="L965">
        <v>1</v>
      </c>
      <c r="M965">
        <v>398.28</v>
      </c>
      <c r="N965">
        <v>398.28</v>
      </c>
      <c r="O965">
        <v>0</v>
      </c>
      <c r="P965">
        <v>0</v>
      </c>
      <c r="Q965">
        <v>398.28</v>
      </c>
      <c r="R965">
        <v>238.97</v>
      </c>
      <c r="S965">
        <v>159.31</v>
      </c>
    </row>
    <row r="966" spans="1:19" x14ac:dyDescent="0.35">
      <c r="A966">
        <v>100964</v>
      </c>
      <c r="B966">
        <v>1745</v>
      </c>
      <c r="C966" t="s">
        <v>28</v>
      </c>
      <c r="D966" t="s">
        <v>29</v>
      </c>
      <c r="E966" t="s">
        <v>21</v>
      </c>
      <c r="F966" t="s">
        <v>39</v>
      </c>
      <c r="G966" s="1">
        <v>45029</v>
      </c>
      <c r="H966" s="1">
        <v>45032</v>
      </c>
      <c r="I966" s="1">
        <v>45048</v>
      </c>
      <c r="J966">
        <v>19</v>
      </c>
      <c r="K966">
        <v>3</v>
      </c>
      <c r="L966">
        <v>9</v>
      </c>
      <c r="M966">
        <v>363.9</v>
      </c>
      <c r="N966">
        <v>3275.1</v>
      </c>
      <c r="O966">
        <v>0.14000000000000001</v>
      </c>
      <c r="P966">
        <v>458.51</v>
      </c>
      <c r="Q966">
        <v>2816.59</v>
      </c>
      <c r="R966">
        <v>2128.8200000000002</v>
      </c>
      <c r="S966">
        <v>687.77</v>
      </c>
    </row>
    <row r="967" spans="1:19" x14ac:dyDescent="0.35">
      <c r="A967">
        <v>100965</v>
      </c>
      <c r="B967">
        <v>1788</v>
      </c>
      <c r="C967" t="s">
        <v>28</v>
      </c>
      <c r="D967" t="s">
        <v>31</v>
      </c>
      <c r="E967" t="s">
        <v>26</v>
      </c>
      <c r="F967" t="s">
        <v>36</v>
      </c>
      <c r="G967" s="1">
        <v>45123</v>
      </c>
      <c r="H967" s="1">
        <v>45126</v>
      </c>
      <c r="I967" s="1">
        <v>45137</v>
      </c>
      <c r="J967">
        <v>14</v>
      </c>
      <c r="K967">
        <v>3</v>
      </c>
      <c r="L967">
        <v>12</v>
      </c>
      <c r="M967">
        <v>509.83</v>
      </c>
      <c r="N967">
        <v>6117.96</v>
      </c>
      <c r="O967">
        <v>7.0000000000000007E-2</v>
      </c>
      <c r="P967">
        <v>428.26</v>
      </c>
      <c r="Q967">
        <v>5689.7</v>
      </c>
      <c r="R967">
        <v>3731.96</v>
      </c>
      <c r="S967">
        <v>1957.74</v>
      </c>
    </row>
    <row r="968" spans="1:19" x14ac:dyDescent="0.35">
      <c r="A968">
        <v>100966</v>
      </c>
      <c r="B968">
        <v>1581</v>
      </c>
      <c r="C968" t="s">
        <v>28</v>
      </c>
      <c r="D968" t="s">
        <v>31</v>
      </c>
      <c r="E968" t="s">
        <v>21</v>
      </c>
      <c r="F968" t="s">
        <v>41</v>
      </c>
      <c r="G968" s="1">
        <v>44984</v>
      </c>
      <c r="H968" s="1">
        <v>44988</v>
      </c>
      <c r="I968" s="1">
        <v>45002</v>
      </c>
      <c r="J968">
        <v>18</v>
      </c>
      <c r="K968">
        <v>4</v>
      </c>
      <c r="L968">
        <v>9</v>
      </c>
      <c r="M968">
        <v>728.57</v>
      </c>
      <c r="N968">
        <v>6557.13</v>
      </c>
      <c r="O968">
        <v>0.03</v>
      </c>
      <c r="P968">
        <v>196.71</v>
      </c>
      <c r="Q968">
        <v>6360.42</v>
      </c>
      <c r="R968">
        <v>3999.85</v>
      </c>
      <c r="S968">
        <v>2360.5700000000002</v>
      </c>
    </row>
    <row r="969" spans="1:19" x14ac:dyDescent="0.35">
      <c r="A969">
        <v>100967</v>
      </c>
      <c r="B969">
        <v>1791</v>
      </c>
      <c r="C969" t="s">
        <v>23</v>
      </c>
      <c r="D969" t="s">
        <v>20</v>
      </c>
      <c r="E969" t="s">
        <v>34</v>
      </c>
      <c r="F969" t="s">
        <v>35</v>
      </c>
      <c r="G969" s="1">
        <v>45135</v>
      </c>
      <c r="H969" s="1">
        <v>45136</v>
      </c>
      <c r="I969" s="1">
        <v>45142</v>
      </c>
      <c r="J969">
        <v>7</v>
      </c>
      <c r="K969">
        <v>1</v>
      </c>
      <c r="L969">
        <v>13</v>
      </c>
      <c r="M969">
        <v>455.32</v>
      </c>
      <c r="N969">
        <v>5919.16</v>
      </c>
      <c r="O969">
        <v>0.1</v>
      </c>
      <c r="P969">
        <v>591.91999999999996</v>
      </c>
      <c r="Q969">
        <v>5327.24</v>
      </c>
      <c r="R969">
        <v>3729.07</v>
      </c>
      <c r="S969">
        <v>1598.17</v>
      </c>
    </row>
    <row r="970" spans="1:19" x14ac:dyDescent="0.35">
      <c r="A970">
        <v>100968</v>
      </c>
      <c r="B970">
        <v>3555</v>
      </c>
      <c r="C970" t="s">
        <v>23</v>
      </c>
      <c r="D970" t="s">
        <v>20</v>
      </c>
      <c r="E970" t="s">
        <v>24</v>
      </c>
      <c r="F970" t="s">
        <v>25</v>
      </c>
      <c r="G970" s="1">
        <v>44963</v>
      </c>
      <c r="H970" s="1">
        <v>44966</v>
      </c>
      <c r="I970" s="1">
        <v>44972</v>
      </c>
      <c r="J970">
        <v>9</v>
      </c>
      <c r="K970">
        <v>3</v>
      </c>
      <c r="L970">
        <v>1</v>
      </c>
      <c r="M970">
        <v>667.68</v>
      </c>
      <c r="N970">
        <v>667.68</v>
      </c>
      <c r="O970">
        <v>0.14000000000000001</v>
      </c>
      <c r="P970">
        <v>93.48</v>
      </c>
      <c r="Q970">
        <v>574.20000000000005</v>
      </c>
      <c r="R970">
        <v>427.32</v>
      </c>
      <c r="S970">
        <v>146.88</v>
      </c>
    </row>
    <row r="971" spans="1:19" x14ac:dyDescent="0.35">
      <c r="A971">
        <v>100969</v>
      </c>
      <c r="B971">
        <v>2254</v>
      </c>
      <c r="C971" t="s">
        <v>33</v>
      </c>
      <c r="D971" t="s">
        <v>31</v>
      </c>
      <c r="E971" t="s">
        <v>26</v>
      </c>
      <c r="F971" t="s">
        <v>27</v>
      </c>
      <c r="G971" s="1">
        <v>45002</v>
      </c>
      <c r="H971" s="1">
        <v>45003</v>
      </c>
      <c r="I971" s="1">
        <v>45022</v>
      </c>
      <c r="J971">
        <v>20</v>
      </c>
      <c r="K971">
        <v>1</v>
      </c>
      <c r="L971">
        <v>12</v>
      </c>
      <c r="M971">
        <v>292</v>
      </c>
      <c r="N971">
        <v>3504</v>
      </c>
      <c r="O971">
        <v>0.1</v>
      </c>
      <c r="P971">
        <v>350.4</v>
      </c>
      <c r="Q971">
        <v>3153.6</v>
      </c>
      <c r="R971">
        <v>1787.04</v>
      </c>
      <c r="S971">
        <v>1366.56</v>
      </c>
    </row>
    <row r="972" spans="1:19" x14ac:dyDescent="0.35">
      <c r="A972">
        <v>100970</v>
      </c>
      <c r="B972">
        <v>3003</v>
      </c>
      <c r="C972" t="s">
        <v>19</v>
      </c>
      <c r="D972" t="s">
        <v>29</v>
      </c>
      <c r="E972" t="s">
        <v>21</v>
      </c>
      <c r="F972" t="s">
        <v>22</v>
      </c>
      <c r="G972" s="1">
        <v>45138</v>
      </c>
      <c r="H972" s="1">
        <v>45142</v>
      </c>
      <c r="I972" s="1">
        <v>45147</v>
      </c>
      <c r="J972">
        <v>9</v>
      </c>
      <c r="K972">
        <v>4</v>
      </c>
      <c r="L972">
        <v>6</v>
      </c>
      <c r="M972">
        <v>244.69</v>
      </c>
      <c r="N972">
        <v>1468.14</v>
      </c>
      <c r="O972">
        <v>0.06</v>
      </c>
      <c r="P972">
        <v>88.09</v>
      </c>
      <c r="Q972">
        <v>1380.05</v>
      </c>
      <c r="R972">
        <v>792.8</v>
      </c>
      <c r="S972">
        <v>587.25</v>
      </c>
    </row>
    <row r="973" spans="1:19" x14ac:dyDescent="0.35">
      <c r="A973">
        <v>100971</v>
      </c>
      <c r="B973">
        <v>1271</v>
      </c>
      <c r="C973" t="s">
        <v>33</v>
      </c>
      <c r="D973" t="s">
        <v>29</v>
      </c>
      <c r="E973" t="s">
        <v>21</v>
      </c>
      <c r="F973" t="s">
        <v>41</v>
      </c>
      <c r="G973" s="1">
        <v>45127</v>
      </c>
      <c r="H973" s="1">
        <v>45128</v>
      </c>
      <c r="I973" s="1">
        <v>45130</v>
      </c>
      <c r="J973">
        <v>3</v>
      </c>
      <c r="K973">
        <v>1</v>
      </c>
      <c r="L973">
        <v>6</v>
      </c>
      <c r="M973">
        <v>229.86</v>
      </c>
      <c r="N973">
        <v>1379.16</v>
      </c>
      <c r="O973">
        <v>0.23</v>
      </c>
      <c r="P973">
        <v>317.20999999999998</v>
      </c>
      <c r="Q973">
        <v>1061.95</v>
      </c>
      <c r="R973">
        <v>786.12</v>
      </c>
      <c r="S973">
        <v>275.83</v>
      </c>
    </row>
    <row r="974" spans="1:19" x14ac:dyDescent="0.35">
      <c r="A974">
        <v>100972</v>
      </c>
      <c r="B974">
        <v>3196</v>
      </c>
      <c r="C974" t="s">
        <v>23</v>
      </c>
      <c r="D974" t="s">
        <v>29</v>
      </c>
      <c r="E974" t="s">
        <v>34</v>
      </c>
      <c r="F974" t="s">
        <v>43</v>
      </c>
      <c r="G974" s="1">
        <v>45246</v>
      </c>
      <c r="H974" s="1">
        <v>45250</v>
      </c>
      <c r="I974" s="1">
        <v>45268</v>
      </c>
      <c r="J974">
        <v>22</v>
      </c>
      <c r="K974">
        <v>4</v>
      </c>
      <c r="L974">
        <v>13</v>
      </c>
      <c r="M974">
        <v>471.99</v>
      </c>
      <c r="N974">
        <v>6135.87</v>
      </c>
      <c r="O974">
        <v>7.0000000000000007E-2</v>
      </c>
      <c r="P974">
        <v>429.51</v>
      </c>
      <c r="Q974">
        <v>5706.36</v>
      </c>
      <c r="R974">
        <v>3804.24</v>
      </c>
      <c r="S974">
        <v>1902.12</v>
      </c>
    </row>
    <row r="975" spans="1:19" x14ac:dyDescent="0.35">
      <c r="A975">
        <v>100973</v>
      </c>
      <c r="B975">
        <v>2935</v>
      </c>
      <c r="C975" t="s">
        <v>33</v>
      </c>
      <c r="D975" t="s">
        <v>29</v>
      </c>
      <c r="E975" t="s">
        <v>26</v>
      </c>
      <c r="F975" t="s">
        <v>27</v>
      </c>
      <c r="G975" s="1">
        <v>45281</v>
      </c>
      <c r="H975" s="1">
        <v>45285</v>
      </c>
      <c r="I975" s="1">
        <v>45299</v>
      </c>
      <c r="J975">
        <v>18</v>
      </c>
      <c r="K975">
        <v>4</v>
      </c>
      <c r="L975">
        <v>14</v>
      </c>
      <c r="M975">
        <v>672.16</v>
      </c>
      <c r="N975">
        <v>9410.24</v>
      </c>
      <c r="O975">
        <v>0.05</v>
      </c>
      <c r="P975">
        <v>470.51</v>
      </c>
      <c r="Q975">
        <v>8939.73</v>
      </c>
      <c r="R975">
        <v>6210.76</v>
      </c>
      <c r="S975">
        <v>2728.97</v>
      </c>
    </row>
    <row r="976" spans="1:19" x14ac:dyDescent="0.35">
      <c r="A976">
        <v>100974</v>
      </c>
      <c r="B976">
        <v>4731</v>
      </c>
      <c r="C976" t="s">
        <v>23</v>
      </c>
      <c r="D976" t="s">
        <v>31</v>
      </c>
      <c r="E976" t="s">
        <v>21</v>
      </c>
      <c r="F976" t="s">
        <v>22</v>
      </c>
      <c r="G976" s="1">
        <v>45262</v>
      </c>
      <c r="H976" s="1">
        <v>45265</v>
      </c>
      <c r="I976" s="1">
        <v>45279</v>
      </c>
      <c r="J976">
        <v>17</v>
      </c>
      <c r="K976">
        <v>3</v>
      </c>
      <c r="L976">
        <v>9</v>
      </c>
      <c r="M976">
        <v>571.47</v>
      </c>
      <c r="N976">
        <v>5143.2299999999996</v>
      </c>
      <c r="O976">
        <v>0.08</v>
      </c>
      <c r="P976">
        <v>411.46</v>
      </c>
      <c r="Q976">
        <v>4731.7700000000004</v>
      </c>
      <c r="R976">
        <v>3240.23</v>
      </c>
      <c r="S976">
        <v>1491.54</v>
      </c>
    </row>
    <row r="977" spans="1:19" x14ac:dyDescent="0.35">
      <c r="A977">
        <v>100975</v>
      </c>
      <c r="B977">
        <v>4958</v>
      </c>
      <c r="C977" t="s">
        <v>19</v>
      </c>
      <c r="D977" t="s">
        <v>29</v>
      </c>
      <c r="E977" t="s">
        <v>21</v>
      </c>
      <c r="F977" t="s">
        <v>39</v>
      </c>
      <c r="G977" s="1">
        <v>45031</v>
      </c>
      <c r="H977" s="1">
        <v>45032</v>
      </c>
      <c r="I977" s="1">
        <v>45051</v>
      </c>
      <c r="J977">
        <v>20</v>
      </c>
      <c r="K977">
        <v>1</v>
      </c>
      <c r="L977">
        <v>12</v>
      </c>
      <c r="M977">
        <v>273.73</v>
      </c>
      <c r="N977">
        <v>3284.76</v>
      </c>
      <c r="O977">
        <v>7.0000000000000007E-2</v>
      </c>
      <c r="P977">
        <v>229.93</v>
      </c>
      <c r="Q977">
        <v>3054.83</v>
      </c>
      <c r="R977">
        <v>1938.01</v>
      </c>
      <c r="S977">
        <v>1116.82</v>
      </c>
    </row>
    <row r="978" spans="1:19" x14ac:dyDescent="0.35">
      <c r="A978">
        <v>100976</v>
      </c>
      <c r="B978">
        <v>4625</v>
      </c>
      <c r="C978" t="s">
        <v>28</v>
      </c>
      <c r="D978" t="s">
        <v>20</v>
      </c>
      <c r="E978" t="s">
        <v>34</v>
      </c>
      <c r="F978" t="s">
        <v>45</v>
      </c>
      <c r="G978" s="1">
        <v>45058</v>
      </c>
      <c r="H978" s="1">
        <v>45062</v>
      </c>
      <c r="I978" s="1">
        <v>45084</v>
      </c>
      <c r="J978">
        <v>26</v>
      </c>
      <c r="K978">
        <v>4</v>
      </c>
      <c r="L978">
        <v>10</v>
      </c>
      <c r="M978">
        <v>14.75</v>
      </c>
      <c r="N978">
        <v>147.5</v>
      </c>
      <c r="O978">
        <v>0.05</v>
      </c>
      <c r="P978">
        <v>7.38</v>
      </c>
      <c r="Q978">
        <v>140.12</v>
      </c>
      <c r="R978">
        <v>87.02</v>
      </c>
      <c r="S978">
        <v>53.1</v>
      </c>
    </row>
    <row r="979" spans="1:19" x14ac:dyDescent="0.35">
      <c r="A979">
        <v>100977</v>
      </c>
      <c r="B979">
        <v>3109</v>
      </c>
      <c r="C979" t="s">
        <v>23</v>
      </c>
      <c r="D979" t="s">
        <v>29</v>
      </c>
      <c r="E979" t="s">
        <v>21</v>
      </c>
      <c r="F979" t="s">
        <v>22</v>
      </c>
      <c r="G979" s="1">
        <v>45080</v>
      </c>
      <c r="H979" s="1">
        <v>45082</v>
      </c>
      <c r="I979" s="1">
        <v>45082</v>
      </c>
      <c r="J979">
        <v>2</v>
      </c>
      <c r="K979">
        <v>2</v>
      </c>
      <c r="L979">
        <v>9</v>
      </c>
      <c r="M979">
        <v>171.2</v>
      </c>
      <c r="N979">
        <v>1540.8</v>
      </c>
      <c r="O979">
        <v>0.1</v>
      </c>
      <c r="P979">
        <v>154.08000000000001</v>
      </c>
      <c r="Q979">
        <v>1386.72</v>
      </c>
      <c r="R979">
        <v>878.26</v>
      </c>
      <c r="S979">
        <v>508.46</v>
      </c>
    </row>
    <row r="980" spans="1:19" x14ac:dyDescent="0.35">
      <c r="A980">
        <v>100978</v>
      </c>
      <c r="B980">
        <v>2276</v>
      </c>
      <c r="C980" t="s">
        <v>23</v>
      </c>
      <c r="D980" t="s">
        <v>29</v>
      </c>
      <c r="E980" t="s">
        <v>34</v>
      </c>
      <c r="F980" t="s">
        <v>35</v>
      </c>
      <c r="G980" s="1">
        <v>45057</v>
      </c>
      <c r="H980" s="1">
        <v>45058</v>
      </c>
      <c r="I980" s="1">
        <v>45078</v>
      </c>
      <c r="J980">
        <v>21</v>
      </c>
      <c r="K980">
        <v>1</v>
      </c>
      <c r="L980">
        <v>3</v>
      </c>
      <c r="M980">
        <v>644.13</v>
      </c>
      <c r="N980">
        <v>1932.39</v>
      </c>
      <c r="O980">
        <v>7.0000000000000007E-2</v>
      </c>
      <c r="P980">
        <v>135.27000000000001</v>
      </c>
      <c r="Q980">
        <v>1797.12</v>
      </c>
      <c r="R980">
        <v>1140.1099999999999</v>
      </c>
      <c r="S980">
        <v>657.01</v>
      </c>
    </row>
    <row r="981" spans="1:19" x14ac:dyDescent="0.35">
      <c r="A981">
        <v>100979</v>
      </c>
      <c r="B981">
        <v>1713</v>
      </c>
      <c r="C981" t="s">
        <v>28</v>
      </c>
      <c r="D981" t="s">
        <v>31</v>
      </c>
      <c r="E981" t="s">
        <v>34</v>
      </c>
      <c r="F981" t="s">
        <v>45</v>
      </c>
      <c r="G981" s="1">
        <v>45088</v>
      </c>
      <c r="H981" s="1">
        <v>45092</v>
      </c>
      <c r="I981" s="1">
        <v>45099</v>
      </c>
      <c r="J981">
        <v>11</v>
      </c>
      <c r="K981">
        <v>4</v>
      </c>
      <c r="L981">
        <v>3</v>
      </c>
      <c r="M981">
        <v>364.72</v>
      </c>
      <c r="N981">
        <v>1094.1600000000001</v>
      </c>
      <c r="O981">
        <v>0.1</v>
      </c>
      <c r="P981">
        <v>109.42</v>
      </c>
      <c r="Q981">
        <v>984.74</v>
      </c>
      <c r="R981">
        <v>645.54999999999995</v>
      </c>
      <c r="S981">
        <v>339.19</v>
      </c>
    </row>
    <row r="982" spans="1:19" x14ac:dyDescent="0.35">
      <c r="A982">
        <v>100980</v>
      </c>
      <c r="B982">
        <v>4100</v>
      </c>
      <c r="C982" t="s">
        <v>33</v>
      </c>
      <c r="D982" t="s">
        <v>31</v>
      </c>
      <c r="E982" t="s">
        <v>26</v>
      </c>
      <c r="F982" t="s">
        <v>27</v>
      </c>
      <c r="G982" s="1">
        <v>45032</v>
      </c>
      <c r="H982" s="1">
        <v>45034</v>
      </c>
      <c r="I982" s="1">
        <v>45034</v>
      </c>
      <c r="J982">
        <v>2</v>
      </c>
      <c r="K982">
        <v>2</v>
      </c>
      <c r="L982">
        <v>5</v>
      </c>
      <c r="M982">
        <v>189.06</v>
      </c>
      <c r="N982">
        <v>945.3</v>
      </c>
      <c r="O982">
        <v>7.0000000000000007E-2</v>
      </c>
      <c r="P982">
        <v>66.17</v>
      </c>
      <c r="Q982">
        <v>879.13</v>
      </c>
      <c r="R982">
        <v>680.62</v>
      </c>
      <c r="S982">
        <v>198.51</v>
      </c>
    </row>
    <row r="983" spans="1:19" x14ac:dyDescent="0.35">
      <c r="A983">
        <v>100981</v>
      </c>
      <c r="B983">
        <v>2588</v>
      </c>
      <c r="C983" t="s">
        <v>19</v>
      </c>
      <c r="D983" t="s">
        <v>29</v>
      </c>
      <c r="E983" t="s">
        <v>26</v>
      </c>
      <c r="F983" t="s">
        <v>27</v>
      </c>
      <c r="G983" s="1">
        <v>45034</v>
      </c>
      <c r="H983" s="1">
        <v>45039</v>
      </c>
      <c r="I983" s="1">
        <v>45049</v>
      </c>
      <c r="J983">
        <v>15</v>
      </c>
      <c r="K983">
        <v>5</v>
      </c>
      <c r="L983">
        <v>1</v>
      </c>
      <c r="M983">
        <v>599.04999999999995</v>
      </c>
      <c r="N983">
        <v>599.04999999999995</v>
      </c>
      <c r="O983">
        <v>0.13</v>
      </c>
      <c r="P983">
        <v>77.88</v>
      </c>
      <c r="Q983">
        <v>521.16999999999996</v>
      </c>
      <c r="R983">
        <v>377.4</v>
      </c>
      <c r="S983">
        <v>143.77000000000001</v>
      </c>
    </row>
    <row r="984" spans="1:19" x14ac:dyDescent="0.35">
      <c r="A984">
        <v>100982</v>
      </c>
      <c r="B984">
        <v>2303</v>
      </c>
      <c r="C984" t="s">
        <v>23</v>
      </c>
      <c r="D984" t="s">
        <v>29</v>
      </c>
      <c r="E984" t="s">
        <v>34</v>
      </c>
      <c r="F984" t="s">
        <v>35</v>
      </c>
      <c r="G984" s="1">
        <v>45149</v>
      </c>
      <c r="H984" s="1">
        <v>45153</v>
      </c>
      <c r="I984" s="1">
        <v>45151</v>
      </c>
      <c r="J984">
        <v>2</v>
      </c>
      <c r="K984">
        <v>4</v>
      </c>
      <c r="L984">
        <v>5</v>
      </c>
      <c r="M984">
        <v>458.74</v>
      </c>
      <c r="N984">
        <v>2293.6999999999998</v>
      </c>
      <c r="O984">
        <v>0.01</v>
      </c>
      <c r="P984">
        <v>22.94</v>
      </c>
      <c r="Q984">
        <v>2270.7600000000002</v>
      </c>
      <c r="R984">
        <v>1376.22</v>
      </c>
      <c r="S984">
        <v>894.54</v>
      </c>
    </row>
    <row r="985" spans="1:19" x14ac:dyDescent="0.35">
      <c r="A985">
        <v>100983</v>
      </c>
      <c r="B985">
        <v>2636</v>
      </c>
      <c r="C985" t="s">
        <v>33</v>
      </c>
      <c r="D985" t="s">
        <v>29</v>
      </c>
      <c r="E985" t="s">
        <v>26</v>
      </c>
      <c r="F985" t="s">
        <v>36</v>
      </c>
      <c r="G985" s="1">
        <v>45246</v>
      </c>
      <c r="H985" s="1">
        <v>45248</v>
      </c>
      <c r="I985" s="1">
        <v>45251</v>
      </c>
      <c r="J985">
        <v>5</v>
      </c>
      <c r="K985">
        <v>2</v>
      </c>
      <c r="L985">
        <v>1</v>
      </c>
      <c r="M985">
        <v>307.2</v>
      </c>
      <c r="N985">
        <v>307.2</v>
      </c>
      <c r="O985">
        <v>0.09</v>
      </c>
      <c r="P985">
        <v>27.65</v>
      </c>
      <c r="Q985">
        <v>279.55</v>
      </c>
      <c r="R985">
        <v>184.32</v>
      </c>
      <c r="S985">
        <v>95.23</v>
      </c>
    </row>
    <row r="986" spans="1:19" x14ac:dyDescent="0.35">
      <c r="A986">
        <v>100984</v>
      </c>
      <c r="B986">
        <v>1537</v>
      </c>
      <c r="C986" t="s">
        <v>33</v>
      </c>
      <c r="D986" t="s">
        <v>31</v>
      </c>
      <c r="E986" t="s">
        <v>21</v>
      </c>
      <c r="F986" t="s">
        <v>41</v>
      </c>
      <c r="G986" s="1">
        <v>45269</v>
      </c>
      <c r="H986" s="1">
        <v>45272</v>
      </c>
      <c r="I986" s="1">
        <v>45299</v>
      </c>
      <c r="J986">
        <v>30</v>
      </c>
      <c r="K986">
        <v>3</v>
      </c>
      <c r="L986">
        <v>2</v>
      </c>
      <c r="M986">
        <v>112.58</v>
      </c>
      <c r="N986">
        <v>225.16</v>
      </c>
      <c r="O986">
        <v>0.08</v>
      </c>
      <c r="P986">
        <v>18.010000000000002</v>
      </c>
      <c r="Q986">
        <v>207.15</v>
      </c>
      <c r="R986">
        <v>153.11000000000001</v>
      </c>
      <c r="S986">
        <v>54.04</v>
      </c>
    </row>
    <row r="987" spans="1:19" x14ac:dyDescent="0.35">
      <c r="A987">
        <v>100985</v>
      </c>
      <c r="B987">
        <v>2517</v>
      </c>
      <c r="C987" t="s">
        <v>19</v>
      </c>
      <c r="D987" t="s">
        <v>31</v>
      </c>
      <c r="E987" t="s">
        <v>21</v>
      </c>
      <c r="F987" t="s">
        <v>41</v>
      </c>
      <c r="G987" s="1">
        <v>44952</v>
      </c>
      <c r="H987" s="1">
        <v>44953</v>
      </c>
      <c r="I987" s="1">
        <v>44957</v>
      </c>
      <c r="J987">
        <v>5</v>
      </c>
      <c r="K987">
        <v>1</v>
      </c>
      <c r="L987">
        <v>8</v>
      </c>
      <c r="M987">
        <v>724.23</v>
      </c>
      <c r="N987">
        <v>5793.84</v>
      </c>
      <c r="O987">
        <v>0.09</v>
      </c>
      <c r="P987">
        <v>521.45000000000005</v>
      </c>
      <c r="Q987">
        <v>5272.39</v>
      </c>
      <c r="R987">
        <v>3302.49</v>
      </c>
      <c r="S987">
        <v>1969.9</v>
      </c>
    </row>
    <row r="988" spans="1:19" x14ac:dyDescent="0.35">
      <c r="A988">
        <v>100986</v>
      </c>
      <c r="B988">
        <v>3505</v>
      </c>
      <c r="C988" t="s">
        <v>19</v>
      </c>
      <c r="D988" t="s">
        <v>29</v>
      </c>
      <c r="E988" t="s">
        <v>26</v>
      </c>
      <c r="F988" t="s">
        <v>36</v>
      </c>
      <c r="G988" s="1">
        <v>45171</v>
      </c>
      <c r="H988" s="1">
        <v>45174</v>
      </c>
      <c r="I988" s="1">
        <v>45201</v>
      </c>
      <c r="J988">
        <v>30</v>
      </c>
      <c r="K988">
        <v>3</v>
      </c>
      <c r="L988">
        <v>1</v>
      </c>
      <c r="M988">
        <v>558.30999999999995</v>
      </c>
      <c r="N988">
        <v>558.30999999999995</v>
      </c>
      <c r="O988">
        <v>0.08</v>
      </c>
      <c r="P988">
        <v>44.66</v>
      </c>
      <c r="Q988">
        <v>513.65</v>
      </c>
      <c r="R988">
        <v>329.4</v>
      </c>
      <c r="S988">
        <v>184.25</v>
      </c>
    </row>
    <row r="989" spans="1:19" x14ac:dyDescent="0.35">
      <c r="A989">
        <v>100987</v>
      </c>
      <c r="B989">
        <v>1641</v>
      </c>
      <c r="C989" t="s">
        <v>23</v>
      </c>
      <c r="D989" t="s">
        <v>29</v>
      </c>
      <c r="E989" t="s">
        <v>34</v>
      </c>
      <c r="F989" t="s">
        <v>40</v>
      </c>
      <c r="G989" s="1">
        <v>45224</v>
      </c>
      <c r="H989" s="1">
        <v>45229</v>
      </c>
      <c r="I989" s="1">
        <v>45236</v>
      </c>
      <c r="J989">
        <v>12</v>
      </c>
      <c r="K989">
        <v>5</v>
      </c>
      <c r="L989">
        <v>1</v>
      </c>
      <c r="M989">
        <v>779.03</v>
      </c>
      <c r="N989">
        <v>779.03</v>
      </c>
      <c r="O989">
        <v>0.08</v>
      </c>
      <c r="P989">
        <v>62.32</v>
      </c>
      <c r="Q989">
        <v>716.71</v>
      </c>
      <c r="R989">
        <v>451.84</v>
      </c>
      <c r="S989">
        <v>264.87</v>
      </c>
    </row>
    <row r="990" spans="1:19" x14ac:dyDescent="0.35">
      <c r="A990">
        <v>100988</v>
      </c>
      <c r="B990">
        <v>2992</v>
      </c>
      <c r="C990" t="s">
        <v>28</v>
      </c>
      <c r="D990" t="s">
        <v>29</v>
      </c>
      <c r="E990" t="s">
        <v>24</v>
      </c>
      <c r="F990" t="s">
        <v>32</v>
      </c>
      <c r="G990" s="1">
        <v>45269</v>
      </c>
      <c r="H990" s="1">
        <v>45271</v>
      </c>
      <c r="I990" s="1">
        <v>45297</v>
      </c>
      <c r="J990">
        <v>28</v>
      </c>
      <c r="K990">
        <v>2</v>
      </c>
      <c r="L990">
        <v>1</v>
      </c>
      <c r="M990">
        <v>396.58</v>
      </c>
      <c r="N990">
        <v>396.58</v>
      </c>
      <c r="O990">
        <v>0.09</v>
      </c>
      <c r="P990">
        <v>35.69</v>
      </c>
      <c r="Q990">
        <v>360.89</v>
      </c>
      <c r="R990">
        <v>265.70999999999998</v>
      </c>
      <c r="S990">
        <v>95.18</v>
      </c>
    </row>
    <row r="991" spans="1:19" x14ac:dyDescent="0.35">
      <c r="A991">
        <v>100989</v>
      </c>
      <c r="B991">
        <v>4536</v>
      </c>
      <c r="C991" t="s">
        <v>23</v>
      </c>
      <c r="D991" t="s">
        <v>29</v>
      </c>
      <c r="E991" t="s">
        <v>26</v>
      </c>
      <c r="F991" t="s">
        <v>27</v>
      </c>
      <c r="G991" s="1">
        <v>45162</v>
      </c>
      <c r="H991" s="1">
        <v>45167</v>
      </c>
      <c r="I991" s="1">
        <v>45181</v>
      </c>
      <c r="J991">
        <v>19</v>
      </c>
      <c r="K991">
        <v>5</v>
      </c>
      <c r="L991">
        <v>11</v>
      </c>
      <c r="M991">
        <v>664.06</v>
      </c>
      <c r="N991">
        <v>7304.66</v>
      </c>
      <c r="O991">
        <v>7.0000000000000007E-2</v>
      </c>
      <c r="P991">
        <v>511.33</v>
      </c>
      <c r="Q991">
        <v>6793.33</v>
      </c>
      <c r="R991">
        <v>4894.12</v>
      </c>
      <c r="S991">
        <v>1899.21</v>
      </c>
    </row>
    <row r="992" spans="1:19" x14ac:dyDescent="0.35">
      <c r="A992">
        <v>100990</v>
      </c>
      <c r="B992">
        <v>4344</v>
      </c>
      <c r="C992" t="s">
        <v>23</v>
      </c>
      <c r="D992" t="s">
        <v>20</v>
      </c>
      <c r="E992" t="s">
        <v>26</v>
      </c>
      <c r="F992" t="s">
        <v>36</v>
      </c>
      <c r="G992" s="1">
        <v>44951</v>
      </c>
      <c r="H992" s="1">
        <v>44954</v>
      </c>
      <c r="I992" s="1">
        <v>44975</v>
      </c>
      <c r="J992">
        <v>24</v>
      </c>
      <c r="K992">
        <v>3</v>
      </c>
      <c r="L992">
        <v>8</v>
      </c>
      <c r="M992">
        <v>92.44</v>
      </c>
      <c r="N992">
        <v>739.52</v>
      </c>
      <c r="O992">
        <v>0.04</v>
      </c>
      <c r="P992">
        <v>29.58</v>
      </c>
      <c r="Q992">
        <v>709.94</v>
      </c>
      <c r="R992">
        <v>451.11</v>
      </c>
      <c r="S992">
        <v>258.83</v>
      </c>
    </row>
    <row r="993" spans="1:19" x14ac:dyDescent="0.35">
      <c r="A993">
        <v>100991</v>
      </c>
      <c r="B993">
        <v>2674</v>
      </c>
      <c r="C993" t="s">
        <v>28</v>
      </c>
      <c r="D993" t="s">
        <v>31</v>
      </c>
      <c r="E993" t="s">
        <v>26</v>
      </c>
      <c r="F993" t="s">
        <v>36</v>
      </c>
      <c r="G993" s="1">
        <v>45150</v>
      </c>
      <c r="H993" s="1">
        <v>45153</v>
      </c>
      <c r="I993" s="1">
        <v>45179</v>
      </c>
      <c r="J993">
        <v>29</v>
      </c>
      <c r="K993">
        <v>3</v>
      </c>
      <c r="L993">
        <v>7</v>
      </c>
      <c r="M993">
        <v>420.29</v>
      </c>
      <c r="N993">
        <v>2942.03</v>
      </c>
      <c r="O993">
        <v>0.02</v>
      </c>
      <c r="P993">
        <v>58.84</v>
      </c>
      <c r="Q993">
        <v>2883.19</v>
      </c>
      <c r="R993">
        <v>1794.64</v>
      </c>
      <c r="S993">
        <v>1088.55</v>
      </c>
    </row>
    <row r="994" spans="1:19" x14ac:dyDescent="0.35">
      <c r="A994">
        <v>100992</v>
      </c>
      <c r="B994">
        <v>3798</v>
      </c>
      <c r="C994" t="s">
        <v>19</v>
      </c>
      <c r="D994" t="s">
        <v>31</v>
      </c>
      <c r="E994" t="s">
        <v>26</v>
      </c>
      <c r="F994" t="s">
        <v>44</v>
      </c>
      <c r="G994" s="1">
        <v>44988</v>
      </c>
      <c r="H994" s="1">
        <v>44991</v>
      </c>
      <c r="I994" s="1">
        <v>45002</v>
      </c>
      <c r="J994">
        <v>14</v>
      </c>
      <c r="K994">
        <v>3</v>
      </c>
      <c r="L994">
        <v>13</v>
      </c>
      <c r="M994">
        <v>588.98</v>
      </c>
      <c r="N994">
        <v>7656.74</v>
      </c>
      <c r="O994">
        <v>0.11</v>
      </c>
      <c r="P994">
        <v>842.24</v>
      </c>
      <c r="Q994">
        <v>6814.5</v>
      </c>
      <c r="R994">
        <v>4747.18</v>
      </c>
      <c r="S994">
        <v>2067.3200000000002</v>
      </c>
    </row>
    <row r="995" spans="1:19" x14ac:dyDescent="0.35">
      <c r="A995">
        <v>100993</v>
      </c>
      <c r="B995">
        <v>2268</v>
      </c>
      <c r="C995" t="s">
        <v>28</v>
      </c>
      <c r="D995" t="s">
        <v>20</v>
      </c>
      <c r="E995" t="s">
        <v>26</v>
      </c>
      <c r="F995" t="s">
        <v>44</v>
      </c>
      <c r="G995" s="1">
        <v>45001</v>
      </c>
      <c r="H995" s="1">
        <v>45005</v>
      </c>
      <c r="I995" s="1">
        <v>45011</v>
      </c>
      <c r="J995">
        <v>10</v>
      </c>
      <c r="K995">
        <v>4</v>
      </c>
      <c r="L995">
        <v>9</v>
      </c>
      <c r="M995">
        <v>611.28</v>
      </c>
      <c r="N995">
        <v>5501.52</v>
      </c>
      <c r="O995">
        <v>0.04</v>
      </c>
      <c r="P995">
        <v>220.06</v>
      </c>
      <c r="Q995">
        <v>5281.46</v>
      </c>
      <c r="R995">
        <v>3686.02</v>
      </c>
      <c r="S995">
        <v>1595.44</v>
      </c>
    </row>
    <row r="996" spans="1:19" x14ac:dyDescent="0.35">
      <c r="A996">
        <v>100994</v>
      </c>
      <c r="B996">
        <v>1775</v>
      </c>
      <c r="C996" t="s">
        <v>19</v>
      </c>
      <c r="D996" t="s">
        <v>29</v>
      </c>
      <c r="E996" t="s">
        <v>24</v>
      </c>
      <c r="F996" t="s">
        <v>32</v>
      </c>
      <c r="G996" s="1">
        <v>44985</v>
      </c>
      <c r="H996" s="1">
        <v>44988</v>
      </c>
      <c r="I996" s="1">
        <v>44988</v>
      </c>
      <c r="J996">
        <v>3</v>
      </c>
      <c r="K996">
        <v>3</v>
      </c>
      <c r="L996">
        <v>4</v>
      </c>
      <c r="M996">
        <v>685.42</v>
      </c>
      <c r="N996">
        <v>2741.68</v>
      </c>
      <c r="O996">
        <v>0.02</v>
      </c>
      <c r="P996">
        <v>54.83</v>
      </c>
      <c r="Q996">
        <v>2686.85</v>
      </c>
      <c r="R996">
        <v>1836.93</v>
      </c>
      <c r="S996">
        <v>849.92</v>
      </c>
    </row>
    <row r="997" spans="1:19" x14ac:dyDescent="0.35">
      <c r="A997">
        <v>100995</v>
      </c>
      <c r="B997">
        <v>4145</v>
      </c>
      <c r="C997" t="s">
        <v>33</v>
      </c>
      <c r="D997" t="s">
        <v>29</v>
      </c>
      <c r="E997" t="s">
        <v>34</v>
      </c>
      <c r="F997" t="s">
        <v>45</v>
      </c>
      <c r="G997" s="1">
        <v>45166</v>
      </c>
      <c r="H997" s="1">
        <v>45167</v>
      </c>
      <c r="I997" s="1">
        <v>45183</v>
      </c>
      <c r="J997">
        <v>17</v>
      </c>
      <c r="K997">
        <v>1</v>
      </c>
      <c r="L997">
        <v>3</v>
      </c>
      <c r="M997">
        <v>89.76</v>
      </c>
      <c r="N997">
        <v>269.27999999999997</v>
      </c>
      <c r="O997">
        <v>0.09</v>
      </c>
      <c r="P997">
        <v>24.24</v>
      </c>
      <c r="Q997">
        <v>245.04</v>
      </c>
      <c r="R997">
        <v>180.42</v>
      </c>
      <c r="S997">
        <v>64.62</v>
      </c>
    </row>
    <row r="998" spans="1:19" x14ac:dyDescent="0.35">
      <c r="A998">
        <v>100996</v>
      </c>
      <c r="B998">
        <v>3642</v>
      </c>
      <c r="C998" t="s">
        <v>28</v>
      </c>
      <c r="D998" t="s">
        <v>20</v>
      </c>
      <c r="E998" t="s">
        <v>24</v>
      </c>
      <c r="F998" t="s">
        <v>42</v>
      </c>
      <c r="G998" s="1">
        <v>44958</v>
      </c>
      <c r="H998" s="1">
        <v>44960</v>
      </c>
      <c r="I998" s="1">
        <v>44987</v>
      </c>
      <c r="J998">
        <v>29</v>
      </c>
      <c r="K998">
        <v>2</v>
      </c>
      <c r="L998">
        <v>1</v>
      </c>
      <c r="M998">
        <v>162.54</v>
      </c>
      <c r="N998">
        <v>162.54</v>
      </c>
      <c r="O998">
        <v>0.04</v>
      </c>
      <c r="P998">
        <v>6.5</v>
      </c>
      <c r="Q998">
        <v>156.04</v>
      </c>
      <c r="R998">
        <v>86.15</v>
      </c>
      <c r="S998">
        <v>69.89</v>
      </c>
    </row>
    <row r="999" spans="1:19" x14ac:dyDescent="0.35">
      <c r="A999">
        <v>100997</v>
      </c>
      <c r="B999">
        <v>2581</v>
      </c>
      <c r="C999" t="s">
        <v>33</v>
      </c>
      <c r="D999" t="s">
        <v>20</v>
      </c>
      <c r="E999" t="s">
        <v>34</v>
      </c>
      <c r="F999" t="s">
        <v>40</v>
      </c>
      <c r="G999" s="1">
        <v>45080</v>
      </c>
      <c r="H999" s="1">
        <v>45085</v>
      </c>
      <c r="I999" s="1">
        <v>45094</v>
      </c>
      <c r="J999">
        <v>14</v>
      </c>
      <c r="K999">
        <v>5</v>
      </c>
      <c r="L999">
        <v>5</v>
      </c>
      <c r="M999">
        <v>727</v>
      </c>
      <c r="N999">
        <v>3635</v>
      </c>
      <c r="O999">
        <v>0.11</v>
      </c>
      <c r="P999">
        <v>399.85</v>
      </c>
      <c r="Q999">
        <v>3235.15</v>
      </c>
      <c r="R999">
        <v>2253.6999999999998</v>
      </c>
      <c r="S999">
        <v>981.45</v>
      </c>
    </row>
    <row r="1000" spans="1:19" x14ac:dyDescent="0.35">
      <c r="A1000">
        <v>100998</v>
      </c>
      <c r="B1000">
        <v>4318</v>
      </c>
      <c r="C1000" t="s">
        <v>33</v>
      </c>
      <c r="D1000" t="s">
        <v>20</v>
      </c>
      <c r="E1000" t="s">
        <v>26</v>
      </c>
      <c r="F1000" t="s">
        <v>27</v>
      </c>
      <c r="G1000" s="1">
        <v>45013</v>
      </c>
      <c r="H1000" s="1">
        <v>45014</v>
      </c>
      <c r="I1000" s="1">
        <v>45039</v>
      </c>
      <c r="J1000">
        <v>26</v>
      </c>
      <c r="K1000">
        <v>1</v>
      </c>
      <c r="L1000">
        <v>3</v>
      </c>
      <c r="M1000">
        <v>287.02999999999997</v>
      </c>
      <c r="N1000">
        <v>861.09</v>
      </c>
      <c r="O1000">
        <v>0.09</v>
      </c>
      <c r="P1000">
        <v>77.5</v>
      </c>
      <c r="Q1000">
        <v>783.59</v>
      </c>
      <c r="R1000">
        <v>594.15</v>
      </c>
      <c r="S1000">
        <v>189.44</v>
      </c>
    </row>
    <row r="1001" spans="1:19" x14ac:dyDescent="0.35">
      <c r="A1001">
        <v>100999</v>
      </c>
      <c r="B1001">
        <v>4487</v>
      </c>
      <c r="C1001" t="s">
        <v>19</v>
      </c>
      <c r="D1001" t="s">
        <v>31</v>
      </c>
      <c r="E1001" t="s">
        <v>34</v>
      </c>
      <c r="F1001" t="s">
        <v>35</v>
      </c>
      <c r="G1001" s="1">
        <v>45219</v>
      </c>
      <c r="H1001" s="1">
        <v>45221</v>
      </c>
      <c r="I1001" s="1">
        <v>45226</v>
      </c>
      <c r="J1001">
        <v>7</v>
      </c>
      <c r="K1001">
        <v>2</v>
      </c>
      <c r="L1001">
        <v>12</v>
      </c>
      <c r="M1001">
        <v>303.05</v>
      </c>
      <c r="N1001">
        <v>3636.6</v>
      </c>
      <c r="O1001">
        <v>0.01</v>
      </c>
      <c r="P1001">
        <v>36.369999999999997</v>
      </c>
      <c r="Q1001">
        <v>3600.23</v>
      </c>
      <c r="R1001">
        <v>2291.06</v>
      </c>
      <c r="S1001">
        <v>1309.17</v>
      </c>
    </row>
    <row r="1002" spans="1:19" x14ac:dyDescent="0.35">
      <c r="A1002">
        <v>101000</v>
      </c>
      <c r="B1002">
        <v>2703</v>
      </c>
      <c r="C1002" t="s">
        <v>28</v>
      </c>
      <c r="D1002" t="s">
        <v>29</v>
      </c>
      <c r="E1002" t="s">
        <v>24</v>
      </c>
      <c r="F1002" t="s">
        <v>25</v>
      </c>
      <c r="G1002" s="1">
        <v>45269</v>
      </c>
      <c r="H1002" s="1">
        <v>45274</v>
      </c>
      <c r="I1002" s="1">
        <v>45274</v>
      </c>
      <c r="J1002">
        <v>5</v>
      </c>
      <c r="K1002">
        <v>5</v>
      </c>
      <c r="L1002">
        <v>9</v>
      </c>
      <c r="M1002">
        <v>447.87</v>
      </c>
      <c r="N1002">
        <v>4030.83</v>
      </c>
      <c r="O1002">
        <v>0.2</v>
      </c>
      <c r="P1002">
        <v>806.17</v>
      </c>
      <c r="Q1002">
        <v>3224.66</v>
      </c>
      <c r="R1002">
        <v>2781.27</v>
      </c>
      <c r="S1002">
        <v>443.39</v>
      </c>
    </row>
    <row r="1003" spans="1:19" x14ac:dyDescent="0.35">
      <c r="A1003">
        <v>101001</v>
      </c>
      <c r="B1003">
        <v>4527</v>
      </c>
      <c r="C1003" t="s">
        <v>19</v>
      </c>
      <c r="D1003" t="s">
        <v>29</v>
      </c>
      <c r="E1003" t="s">
        <v>34</v>
      </c>
      <c r="F1003" t="s">
        <v>35</v>
      </c>
      <c r="G1003" s="1">
        <v>45022</v>
      </c>
      <c r="H1003" s="1">
        <v>45026</v>
      </c>
      <c r="I1003" s="1">
        <v>45037</v>
      </c>
      <c r="J1003">
        <v>15</v>
      </c>
      <c r="K1003">
        <v>4</v>
      </c>
      <c r="L1003">
        <v>11</v>
      </c>
      <c r="M1003">
        <v>23.05</v>
      </c>
      <c r="N1003">
        <v>253.55</v>
      </c>
      <c r="O1003">
        <v>0.08</v>
      </c>
      <c r="P1003">
        <v>20.28</v>
      </c>
      <c r="Q1003">
        <v>233.27</v>
      </c>
      <c r="R1003">
        <v>174.95</v>
      </c>
      <c r="S1003">
        <v>58.32</v>
      </c>
    </row>
    <row r="1004" spans="1:19" x14ac:dyDescent="0.35">
      <c r="A1004">
        <v>101002</v>
      </c>
      <c r="B1004">
        <v>4800</v>
      </c>
      <c r="C1004" t="s">
        <v>23</v>
      </c>
      <c r="D1004" t="s">
        <v>31</v>
      </c>
      <c r="E1004" t="s">
        <v>21</v>
      </c>
      <c r="F1004" t="s">
        <v>39</v>
      </c>
      <c r="G1004" s="1">
        <v>45021</v>
      </c>
      <c r="H1004" s="1">
        <v>45022</v>
      </c>
      <c r="I1004" s="1">
        <v>45046</v>
      </c>
      <c r="J1004">
        <v>25</v>
      </c>
      <c r="K1004">
        <v>1</v>
      </c>
      <c r="L1004">
        <v>14</v>
      </c>
      <c r="M1004">
        <v>757.01</v>
      </c>
      <c r="N1004">
        <v>10598.14</v>
      </c>
      <c r="O1004">
        <v>0.1</v>
      </c>
      <c r="P1004">
        <v>1059.81</v>
      </c>
      <c r="Q1004">
        <v>9538.33</v>
      </c>
      <c r="R1004">
        <v>5405.05</v>
      </c>
      <c r="S1004">
        <v>4133.28</v>
      </c>
    </row>
    <row r="1005" spans="1:19" x14ac:dyDescent="0.35">
      <c r="A1005">
        <v>101003</v>
      </c>
      <c r="B1005">
        <v>3079</v>
      </c>
      <c r="C1005" t="s">
        <v>33</v>
      </c>
      <c r="D1005" t="s">
        <v>20</v>
      </c>
      <c r="E1005" t="s">
        <v>21</v>
      </c>
      <c r="F1005" t="s">
        <v>41</v>
      </c>
      <c r="G1005" s="1">
        <v>45110</v>
      </c>
      <c r="H1005" s="1">
        <v>45111</v>
      </c>
      <c r="I1005" s="1">
        <v>45125</v>
      </c>
      <c r="J1005">
        <v>15</v>
      </c>
      <c r="K1005">
        <v>1</v>
      </c>
      <c r="L1005">
        <v>11</v>
      </c>
      <c r="M1005">
        <v>709.82</v>
      </c>
      <c r="N1005">
        <v>7808.02</v>
      </c>
      <c r="O1005">
        <v>0.08</v>
      </c>
      <c r="P1005">
        <v>624.64</v>
      </c>
      <c r="Q1005">
        <v>7183.38</v>
      </c>
      <c r="R1005">
        <v>4294.41</v>
      </c>
      <c r="S1005">
        <v>2888.97</v>
      </c>
    </row>
    <row r="1006" spans="1:19" x14ac:dyDescent="0.35">
      <c r="A1006">
        <v>101004</v>
      </c>
      <c r="B1006">
        <v>4624</v>
      </c>
      <c r="C1006" t="s">
        <v>19</v>
      </c>
      <c r="D1006" t="s">
        <v>31</v>
      </c>
      <c r="E1006" t="s">
        <v>26</v>
      </c>
      <c r="F1006" t="s">
        <v>37</v>
      </c>
      <c r="G1006" s="1">
        <v>45083</v>
      </c>
      <c r="H1006" s="1">
        <v>45086</v>
      </c>
      <c r="I1006" s="1">
        <v>45094</v>
      </c>
      <c r="J1006">
        <v>11</v>
      </c>
      <c r="K1006">
        <v>3</v>
      </c>
      <c r="L1006">
        <v>2</v>
      </c>
      <c r="M1006">
        <v>36.340000000000003</v>
      </c>
      <c r="N1006">
        <v>72.680000000000007</v>
      </c>
      <c r="O1006">
        <v>0.05</v>
      </c>
      <c r="P1006">
        <v>3.63</v>
      </c>
      <c r="Q1006">
        <v>69.05</v>
      </c>
      <c r="R1006">
        <v>39.97</v>
      </c>
      <c r="S1006">
        <v>29.08</v>
      </c>
    </row>
    <row r="1007" spans="1:19" x14ac:dyDescent="0.35">
      <c r="A1007">
        <v>101005</v>
      </c>
      <c r="B1007">
        <v>2921</v>
      </c>
      <c r="C1007" t="s">
        <v>23</v>
      </c>
      <c r="D1007" t="s">
        <v>31</v>
      </c>
      <c r="E1007" t="s">
        <v>24</v>
      </c>
      <c r="F1007" t="s">
        <v>30</v>
      </c>
      <c r="G1007" s="1">
        <v>44963</v>
      </c>
      <c r="H1007" s="1">
        <v>44966</v>
      </c>
      <c r="I1007" s="1">
        <v>44974</v>
      </c>
      <c r="J1007">
        <v>11</v>
      </c>
      <c r="K1007">
        <v>3</v>
      </c>
      <c r="L1007">
        <v>10</v>
      </c>
      <c r="M1007">
        <v>59.56</v>
      </c>
      <c r="N1007">
        <v>595.6</v>
      </c>
      <c r="O1007">
        <v>0.24</v>
      </c>
      <c r="P1007">
        <v>142.94</v>
      </c>
      <c r="Q1007">
        <v>452.66</v>
      </c>
      <c r="R1007">
        <v>363.32</v>
      </c>
      <c r="S1007">
        <v>89.34</v>
      </c>
    </row>
    <row r="1008" spans="1:19" x14ac:dyDescent="0.35">
      <c r="A1008">
        <v>101006</v>
      </c>
      <c r="B1008">
        <v>4519</v>
      </c>
      <c r="C1008" t="s">
        <v>33</v>
      </c>
      <c r="D1008" t="s">
        <v>29</v>
      </c>
      <c r="E1008" t="s">
        <v>24</v>
      </c>
      <c r="F1008" t="s">
        <v>30</v>
      </c>
      <c r="G1008" s="1">
        <v>45198</v>
      </c>
      <c r="H1008" s="1">
        <v>45203</v>
      </c>
      <c r="I1008" s="1">
        <v>45203</v>
      </c>
      <c r="J1008">
        <v>5</v>
      </c>
      <c r="K1008">
        <v>5</v>
      </c>
      <c r="L1008">
        <v>10</v>
      </c>
      <c r="M1008">
        <v>688.76</v>
      </c>
      <c r="N1008">
        <v>6887.6</v>
      </c>
      <c r="O1008">
        <v>0.1</v>
      </c>
      <c r="P1008">
        <v>688.76</v>
      </c>
      <c r="Q1008">
        <v>6198.84</v>
      </c>
      <c r="R1008">
        <v>3857.06</v>
      </c>
      <c r="S1008">
        <v>2341.7800000000002</v>
      </c>
    </row>
    <row r="1009" spans="1:19" x14ac:dyDescent="0.35">
      <c r="A1009">
        <v>101007</v>
      </c>
      <c r="B1009">
        <v>1138</v>
      </c>
      <c r="C1009" t="s">
        <v>19</v>
      </c>
      <c r="D1009" t="s">
        <v>31</v>
      </c>
      <c r="E1009" t="s">
        <v>21</v>
      </c>
      <c r="F1009" t="s">
        <v>22</v>
      </c>
      <c r="G1009" s="1">
        <v>45135</v>
      </c>
      <c r="H1009" s="1">
        <v>45140</v>
      </c>
      <c r="I1009" s="1">
        <v>45138</v>
      </c>
      <c r="J1009">
        <v>3</v>
      </c>
      <c r="K1009">
        <v>5</v>
      </c>
      <c r="L1009">
        <v>9</v>
      </c>
      <c r="M1009">
        <v>54.45</v>
      </c>
      <c r="N1009">
        <v>490.05</v>
      </c>
      <c r="O1009">
        <v>0</v>
      </c>
      <c r="P1009">
        <v>0</v>
      </c>
      <c r="Q1009">
        <v>490.05</v>
      </c>
      <c r="R1009">
        <v>338.13</v>
      </c>
      <c r="S1009">
        <v>151.91999999999999</v>
      </c>
    </row>
    <row r="1010" spans="1:19" x14ac:dyDescent="0.35">
      <c r="A1010">
        <v>101008</v>
      </c>
      <c r="B1010">
        <v>4609</v>
      </c>
      <c r="C1010" t="s">
        <v>23</v>
      </c>
      <c r="D1010" t="s">
        <v>20</v>
      </c>
      <c r="E1010" t="s">
        <v>21</v>
      </c>
      <c r="F1010" t="s">
        <v>38</v>
      </c>
      <c r="G1010" s="1">
        <v>45100</v>
      </c>
      <c r="H1010" s="1">
        <v>45105</v>
      </c>
      <c r="I1010" s="1">
        <v>45105</v>
      </c>
      <c r="J1010">
        <v>5</v>
      </c>
      <c r="K1010">
        <v>5</v>
      </c>
      <c r="L1010">
        <v>2</v>
      </c>
      <c r="M1010">
        <v>469.27</v>
      </c>
      <c r="N1010">
        <v>938.54</v>
      </c>
      <c r="O1010">
        <v>0.13</v>
      </c>
      <c r="P1010">
        <v>122.01</v>
      </c>
      <c r="Q1010">
        <v>816.53</v>
      </c>
      <c r="R1010">
        <v>478.66</v>
      </c>
      <c r="S1010">
        <v>337.87</v>
      </c>
    </row>
    <row r="1011" spans="1:19" x14ac:dyDescent="0.35">
      <c r="A1011">
        <v>101009</v>
      </c>
      <c r="B1011">
        <v>1536</v>
      </c>
      <c r="C1011" t="s">
        <v>23</v>
      </c>
      <c r="D1011" t="s">
        <v>31</v>
      </c>
      <c r="E1011" t="s">
        <v>21</v>
      </c>
      <c r="F1011" t="s">
        <v>41</v>
      </c>
      <c r="G1011" s="1">
        <v>44948</v>
      </c>
      <c r="H1011" s="1">
        <v>44953</v>
      </c>
      <c r="I1011" s="1">
        <v>44961</v>
      </c>
      <c r="J1011">
        <v>13</v>
      </c>
      <c r="K1011">
        <v>5</v>
      </c>
      <c r="L1011">
        <v>9</v>
      </c>
      <c r="M1011">
        <v>33.799999999999997</v>
      </c>
      <c r="N1011">
        <v>304.2</v>
      </c>
      <c r="O1011">
        <v>0.1</v>
      </c>
      <c r="P1011">
        <v>30.42</v>
      </c>
      <c r="Q1011">
        <v>273.77999999999997</v>
      </c>
      <c r="R1011">
        <v>215.98</v>
      </c>
      <c r="S1011">
        <v>57.8</v>
      </c>
    </row>
    <row r="1012" spans="1:19" x14ac:dyDescent="0.35">
      <c r="A1012">
        <v>101010</v>
      </c>
      <c r="B1012">
        <v>2363</v>
      </c>
      <c r="C1012" t="s">
        <v>23</v>
      </c>
      <c r="D1012" t="s">
        <v>20</v>
      </c>
      <c r="E1012" t="s">
        <v>21</v>
      </c>
      <c r="F1012" t="s">
        <v>41</v>
      </c>
      <c r="G1012" s="1">
        <v>45185</v>
      </c>
      <c r="H1012" s="1">
        <v>45187</v>
      </c>
      <c r="I1012" s="1">
        <v>45210</v>
      </c>
      <c r="J1012">
        <v>25</v>
      </c>
      <c r="K1012">
        <v>2</v>
      </c>
      <c r="L1012">
        <v>3</v>
      </c>
      <c r="M1012">
        <v>200.58</v>
      </c>
      <c r="N1012">
        <v>601.74</v>
      </c>
      <c r="O1012">
        <v>0.03</v>
      </c>
      <c r="P1012">
        <v>18.05</v>
      </c>
      <c r="Q1012">
        <v>583.69000000000005</v>
      </c>
      <c r="R1012">
        <v>391.13</v>
      </c>
      <c r="S1012">
        <v>192.56</v>
      </c>
    </row>
    <row r="1013" spans="1:19" x14ac:dyDescent="0.35">
      <c r="A1013">
        <v>101011</v>
      </c>
      <c r="B1013">
        <v>1396</v>
      </c>
      <c r="C1013" t="s">
        <v>23</v>
      </c>
      <c r="D1013" t="s">
        <v>29</v>
      </c>
      <c r="E1013" t="s">
        <v>21</v>
      </c>
      <c r="F1013" t="s">
        <v>22</v>
      </c>
      <c r="G1013" s="1">
        <v>45076</v>
      </c>
      <c r="H1013" s="1">
        <v>45080</v>
      </c>
      <c r="I1013" s="1">
        <v>45088</v>
      </c>
      <c r="J1013">
        <v>12</v>
      </c>
      <c r="K1013">
        <v>4</v>
      </c>
      <c r="L1013">
        <v>4</v>
      </c>
      <c r="M1013">
        <v>567.53</v>
      </c>
      <c r="N1013">
        <v>2270.12</v>
      </c>
      <c r="O1013">
        <v>0.08</v>
      </c>
      <c r="P1013">
        <v>181.61</v>
      </c>
      <c r="Q1013">
        <v>2088.5100000000002</v>
      </c>
      <c r="R1013">
        <v>1021.55</v>
      </c>
      <c r="S1013">
        <v>1066.96</v>
      </c>
    </row>
    <row r="1014" spans="1:19" x14ac:dyDescent="0.35">
      <c r="A1014">
        <v>101012</v>
      </c>
      <c r="B1014">
        <v>4145</v>
      </c>
      <c r="C1014" t="s">
        <v>23</v>
      </c>
      <c r="D1014" t="s">
        <v>31</v>
      </c>
      <c r="E1014" t="s">
        <v>34</v>
      </c>
      <c r="F1014" t="s">
        <v>35</v>
      </c>
      <c r="G1014" s="1">
        <v>44956</v>
      </c>
      <c r="H1014" s="1">
        <v>44959</v>
      </c>
      <c r="I1014" s="1">
        <v>44962</v>
      </c>
      <c r="J1014">
        <v>6</v>
      </c>
      <c r="K1014">
        <v>3</v>
      </c>
      <c r="L1014">
        <v>14</v>
      </c>
      <c r="M1014">
        <v>255.95</v>
      </c>
      <c r="N1014">
        <v>3583.3</v>
      </c>
      <c r="O1014">
        <v>0.01</v>
      </c>
      <c r="P1014">
        <v>35.83</v>
      </c>
      <c r="Q1014">
        <v>3547.47</v>
      </c>
      <c r="R1014">
        <v>2400.81</v>
      </c>
      <c r="S1014">
        <v>1146.6600000000001</v>
      </c>
    </row>
    <row r="1015" spans="1:19" x14ac:dyDescent="0.35">
      <c r="A1015">
        <v>101013</v>
      </c>
      <c r="B1015">
        <v>4147</v>
      </c>
      <c r="C1015" t="s">
        <v>28</v>
      </c>
      <c r="D1015" t="s">
        <v>31</v>
      </c>
      <c r="E1015" t="s">
        <v>34</v>
      </c>
      <c r="F1015" t="s">
        <v>40</v>
      </c>
      <c r="G1015" s="1">
        <v>44931</v>
      </c>
      <c r="H1015" s="1">
        <v>44936</v>
      </c>
      <c r="I1015" s="1">
        <v>44951</v>
      </c>
      <c r="J1015">
        <v>20</v>
      </c>
      <c r="K1015">
        <v>5</v>
      </c>
      <c r="L1015">
        <v>5</v>
      </c>
      <c r="M1015">
        <v>497.56</v>
      </c>
      <c r="N1015">
        <v>2487.8000000000002</v>
      </c>
      <c r="O1015">
        <v>0.12</v>
      </c>
      <c r="P1015">
        <v>298.54000000000002</v>
      </c>
      <c r="Q1015">
        <v>2189.2600000000002</v>
      </c>
      <c r="R1015">
        <v>1592.19</v>
      </c>
      <c r="S1015">
        <v>597.07000000000005</v>
      </c>
    </row>
    <row r="1016" spans="1:19" x14ac:dyDescent="0.35">
      <c r="A1016">
        <v>101014</v>
      </c>
      <c r="B1016">
        <v>2105</v>
      </c>
      <c r="C1016" t="s">
        <v>19</v>
      </c>
      <c r="D1016" t="s">
        <v>31</v>
      </c>
      <c r="E1016" t="s">
        <v>21</v>
      </c>
      <c r="F1016" t="s">
        <v>22</v>
      </c>
      <c r="G1016" s="1">
        <v>45076</v>
      </c>
      <c r="H1016" s="1">
        <v>45077</v>
      </c>
      <c r="I1016" s="1">
        <v>45101</v>
      </c>
      <c r="J1016">
        <v>25</v>
      </c>
      <c r="K1016">
        <v>1</v>
      </c>
      <c r="L1016">
        <v>2</v>
      </c>
      <c r="M1016">
        <v>520.57000000000005</v>
      </c>
      <c r="N1016">
        <v>1041.1400000000001</v>
      </c>
      <c r="O1016">
        <v>0.08</v>
      </c>
      <c r="P1016">
        <v>83.29</v>
      </c>
      <c r="Q1016">
        <v>957.85</v>
      </c>
      <c r="R1016">
        <v>707.98</v>
      </c>
      <c r="S1016">
        <v>249.87</v>
      </c>
    </row>
    <row r="1017" spans="1:19" x14ac:dyDescent="0.35">
      <c r="A1017">
        <v>101015</v>
      </c>
      <c r="B1017">
        <v>2464</v>
      </c>
      <c r="C1017" t="s">
        <v>33</v>
      </c>
      <c r="D1017" t="s">
        <v>29</v>
      </c>
      <c r="E1017" t="s">
        <v>34</v>
      </c>
      <c r="F1017" t="s">
        <v>35</v>
      </c>
      <c r="G1017" s="1">
        <v>45243</v>
      </c>
      <c r="H1017" s="1">
        <v>45248</v>
      </c>
      <c r="I1017" s="1">
        <v>45256</v>
      </c>
      <c r="J1017">
        <v>13</v>
      </c>
      <c r="K1017">
        <v>5</v>
      </c>
      <c r="L1017">
        <v>4</v>
      </c>
      <c r="M1017">
        <v>657.92</v>
      </c>
      <c r="N1017">
        <v>2631.68</v>
      </c>
      <c r="O1017">
        <v>0.13</v>
      </c>
      <c r="P1017">
        <v>342.12</v>
      </c>
      <c r="Q1017">
        <v>2289.56</v>
      </c>
      <c r="R1017">
        <v>1789.54</v>
      </c>
      <c r="S1017">
        <v>500.02</v>
      </c>
    </row>
    <row r="1018" spans="1:19" x14ac:dyDescent="0.35">
      <c r="A1018">
        <v>101016</v>
      </c>
      <c r="B1018">
        <v>3389</v>
      </c>
      <c r="C1018" t="s">
        <v>23</v>
      </c>
      <c r="D1018" t="s">
        <v>29</v>
      </c>
      <c r="E1018" t="s">
        <v>26</v>
      </c>
      <c r="F1018" t="s">
        <v>36</v>
      </c>
      <c r="G1018" s="1">
        <v>45228</v>
      </c>
      <c r="H1018" s="1">
        <v>45233</v>
      </c>
      <c r="I1018" s="1">
        <v>45248</v>
      </c>
      <c r="J1018">
        <v>20</v>
      </c>
      <c r="K1018">
        <v>5</v>
      </c>
      <c r="L1018">
        <v>12</v>
      </c>
      <c r="M1018">
        <v>574.49</v>
      </c>
      <c r="N1018">
        <v>6893.88</v>
      </c>
      <c r="O1018">
        <v>0.11</v>
      </c>
      <c r="P1018">
        <v>758.33</v>
      </c>
      <c r="Q1018">
        <v>6135.55</v>
      </c>
      <c r="R1018">
        <v>4687.84</v>
      </c>
      <c r="S1018">
        <v>1447.71</v>
      </c>
    </row>
    <row r="1019" spans="1:19" x14ac:dyDescent="0.35">
      <c r="A1019">
        <v>101017</v>
      </c>
      <c r="B1019">
        <v>1834</v>
      </c>
      <c r="C1019" t="s">
        <v>33</v>
      </c>
      <c r="D1019" t="s">
        <v>20</v>
      </c>
      <c r="E1019" t="s">
        <v>34</v>
      </c>
      <c r="F1019" t="s">
        <v>43</v>
      </c>
      <c r="G1019" s="1">
        <v>44976</v>
      </c>
      <c r="H1019" s="1">
        <v>44980</v>
      </c>
      <c r="I1019" s="1">
        <v>44981</v>
      </c>
      <c r="J1019">
        <v>5</v>
      </c>
      <c r="K1019">
        <v>4</v>
      </c>
      <c r="L1019">
        <v>8</v>
      </c>
      <c r="M1019">
        <v>449.55</v>
      </c>
      <c r="N1019">
        <v>3596.4</v>
      </c>
      <c r="O1019">
        <v>0.02</v>
      </c>
      <c r="P1019">
        <v>71.930000000000007</v>
      </c>
      <c r="Q1019">
        <v>3524.47</v>
      </c>
      <c r="R1019">
        <v>2337.66</v>
      </c>
      <c r="S1019">
        <v>1186.81</v>
      </c>
    </row>
    <row r="1020" spans="1:19" x14ac:dyDescent="0.35">
      <c r="A1020">
        <v>101018</v>
      </c>
      <c r="B1020">
        <v>4570</v>
      </c>
      <c r="C1020" t="s">
        <v>33</v>
      </c>
      <c r="D1020" t="s">
        <v>20</v>
      </c>
      <c r="E1020" t="s">
        <v>24</v>
      </c>
      <c r="F1020" t="s">
        <v>42</v>
      </c>
      <c r="G1020" s="1">
        <v>45254</v>
      </c>
      <c r="H1020" s="1">
        <v>45258</v>
      </c>
      <c r="I1020" s="1">
        <v>45272</v>
      </c>
      <c r="J1020">
        <v>18</v>
      </c>
      <c r="K1020">
        <v>4</v>
      </c>
      <c r="L1020">
        <v>9</v>
      </c>
      <c r="M1020">
        <v>401.58</v>
      </c>
      <c r="N1020">
        <v>3614.22</v>
      </c>
      <c r="O1020">
        <v>0.06</v>
      </c>
      <c r="P1020">
        <v>216.85</v>
      </c>
      <c r="Q1020">
        <v>3397.37</v>
      </c>
      <c r="R1020">
        <v>2349.2399999999998</v>
      </c>
      <c r="S1020">
        <v>1048.1300000000001</v>
      </c>
    </row>
    <row r="1021" spans="1:19" x14ac:dyDescent="0.35">
      <c r="A1021">
        <v>101019</v>
      </c>
      <c r="B1021">
        <v>4412</v>
      </c>
      <c r="C1021" t="s">
        <v>23</v>
      </c>
      <c r="D1021" t="s">
        <v>20</v>
      </c>
      <c r="E1021" t="s">
        <v>26</v>
      </c>
      <c r="F1021" t="s">
        <v>37</v>
      </c>
      <c r="G1021" s="1">
        <v>45203</v>
      </c>
      <c r="H1021" s="1">
        <v>45204</v>
      </c>
      <c r="I1021" s="1">
        <v>45223</v>
      </c>
      <c r="J1021">
        <v>20</v>
      </c>
      <c r="K1021">
        <v>1</v>
      </c>
      <c r="L1021">
        <v>6</v>
      </c>
      <c r="M1021">
        <v>146.80000000000001</v>
      </c>
      <c r="N1021">
        <v>880.8</v>
      </c>
      <c r="O1021">
        <v>0.1</v>
      </c>
      <c r="P1021">
        <v>88.08</v>
      </c>
      <c r="Q1021">
        <v>792.72</v>
      </c>
      <c r="R1021">
        <v>537.29</v>
      </c>
      <c r="S1021">
        <v>255.43</v>
      </c>
    </row>
    <row r="1022" spans="1:19" x14ac:dyDescent="0.35">
      <c r="A1022">
        <v>101020</v>
      </c>
      <c r="B1022">
        <v>2678</v>
      </c>
      <c r="C1022" t="s">
        <v>23</v>
      </c>
      <c r="D1022" t="s">
        <v>20</v>
      </c>
      <c r="E1022" t="s">
        <v>34</v>
      </c>
      <c r="F1022" t="s">
        <v>40</v>
      </c>
      <c r="G1022" s="1">
        <v>45139</v>
      </c>
      <c r="H1022" s="1">
        <v>45140</v>
      </c>
      <c r="I1022" s="1">
        <v>45165</v>
      </c>
      <c r="J1022">
        <v>26</v>
      </c>
      <c r="K1022">
        <v>1</v>
      </c>
      <c r="L1022">
        <v>13</v>
      </c>
      <c r="M1022">
        <v>636.9</v>
      </c>
      <c r="N1022">
        <v>8279.7000000000007</v>
      </c>
      <c r="O1022">
        <v>0.08</v>
      </c>
      <c r="P1022">
        <v>662.38</v>
      </c>
      <c r="Q1022">
        <v>7617.32</v>
      </c>
      <c r="R1022">
        <v>5795.79</v>
      </c>
      <c r="S1022">
        <v>1821.53</v>
      </c>
    </row>
    <row r="1023" spans="1:19" x14ac:dyDescent="0.35">
      <c r="A1023">
        <v>101021</v>
      </c>
      <c r="B1023">
        <v>4018</v>
      </c>
      <c r="C1023" t="s">
        <v>33</v>
      </c>
      <c r="D1023" t="s">
        <v>29</v>
      </c>
      <c r="E1023" t="s">
        <v>26</v>
      </c>
      <c r="F1023" t="s">
        <v>44</v>
      </c>
      <c r="G1023" s="1">
        <v>45261</v>
      </c>
      <c r="H1023" s="1">
        <v>45263</v>
      </c>
      <c r="I1023" s="1">
        <v>45289</v>
      </c>
      <c r="J1023">
        <v>28</v>
      </c>
      <c r="K1023">
        <v>2</v>
      </c>
      <c r="L1023">
        <v>12</v>
      </c>
      <c r="M1023">
        <v>334.02</v>
      </c>
      <c r="N1023">
        <v>4008.24</v>
      </c>
      <c r="O1023">
        <v>0.12</v>
      </c>
      <c r="P1023">
        <v>480.99</v>
      </c>
      <c r="Q1023">
        <v>3527.25</v>
      </c>
      <c r="R1023">
        <v>2204.5300000000002</v>
      </c>
      <c r="S1023">
        <v>1322.72</v>
      </c>
    </row>
    <row r="1024" spans="1:19" x14ac:dyDescent="0.35">
      <c r="A1024">
        <v>101022</v>
      </c>
      <c r="B1024">
        <v>4462</v>
      </c>
      <c r="C1024" t="s">
        <v>23</v>
      </c>
      <c r="D1024" t="s">
        <v>31</v>
      </c>
      <c r="E1024" t="s">
        <v>24</v>
      </c>
      <c r="F1024" t="s">
        <v>42</v>
      </c>
      <c r="G1024" s="1">
        <v>45249</v>
      </c>
      <c r="H1024" s="1">
        <v>45252</v>
      </c>
      <c r="I1024" s="1">
        <v>45254</v>
      </c>
      <c r="J1024">
        <v>5</v>
      </c>
      <c r="K1024">
        <v>3</v>
      </c>
      <c r="L1024">
        <v>1</v>
      </c>
      <c r="M1024">
        <v>395.27</v>
      </c>
      <c r="N1024">
        <v>395.27</v>
      </c>
      <c r="O1024">
        <v>0.03</v>
      </c>
      <c r="P1024">
        <v>11.86</v>
      </c>
      <c r="Q1024">
        <v>383.41</v>
      </c>
      <c r="R1024">
        <v>241.11</v>
      </c>
      <c r="S1024">
        <v>142.30000000000001</v>
      </c>
    </row>
    <row r="1025" spans="1:19" x14ac:dyDescent="0.35">
      <c r="A1025">
        <v>101023</v>
      </c>
      <c r="B1025">
        <v>2721</v>
      </c>
      <c r="C1025" t="s">
        <v>23</v>
      </c>
      <c r="D1025" t="s">
        <v>29</v>
      </c>
      <c r="E1025" t="s">
        <v>21</v>
      </c>
      <c r="F1025" t="s">
        <v>41</v>
      </c>
      <c r="G1025" s="1">
        <v>44974</v>
      </c>
      <c r="H1025" s="1">
        <v>44976</v>
      </c>
      <c r="I1025" s="1">
        <v>44996</v>
      </c>
      <c r="J1025">
        <v>22</v>
      </c>
      <c r="K1025">
        <v>2</v>
      </c>
      <c r="L1025">
        <v>4</v>
      </c>
      <c r="M1025">
        <v>612.48</v>
      </c>
      <c r="N1025">
        <v>2449.92</v>
      </c>
      <c r="O1025">
        <v>0.1</v>
      </c>
      <c r="P1025">
        <v>244.99</v>
      </c>
      <c r="Q1025">
        <v>2204.9299999999998</v>
      </c>
      <c r="R1025">
        <v>1543.45</v>
      </c>
      <c r="S1025">
        <v>661.48</v>
      </c>
    </row>
    <row r="1026" spans="1:19" x14ac:dyDescent="0.35">
      <c r="A1026">
        <v>101024</v>
      </c>
      <c r="B1026">
        <v>2665</v>
      </c>
      <c r="C1026" t="s">
        <v>19</v>
      </c>
      <c r="D1026" t="s">
        <v>31</v>
      </c>
      <c r="E1026" t="s">
        <v>24</v>
      </c>
      <c r="F1026" t="s">
        <v>25</v>
      </c>
      <c r="G1026" s="1">
        <v>44935</v>
      </c>
      <c r="H1026" s="1">
        <v>44937</v>
      </c>
      <c r="I1026" s="1">
        <v>44946</v>
      </c>
      <c r="J1026">
        <v>11</v>
      </c>
      <c r="K1026">
        <v>2</v>
      </c>
      <c r="L1026">
        <v>12</v>
      </c>
      <c r="M1026">
        <v>706.82</v>
      </c>
      <c r="N1026">
        <v>8481.84</v>
      </c>
      <c r="O1026">
        <v>0.03</v>
      </c>
      <c r="P1026">
        <v>254.46</v>
      </c>
      <c r="Q1026">
        <v>8227.3799999999992</v>
      </c>
      <c r="R1026">
        <v>4495.38</v>
      </c>
      <c r="S1026">
        <v>3732</v>
      </c>
    </row>
    <row r="1027" spans="1:19" x14ac:dyDescent="0.35">
      <c r="A1027">
        <v>101025</v>
      </c>
      <c r="B1027">
        <v>3337</v>
      </c>
      <c r="C1027" t="s">
        <v>28</v>
      </c>
      <c r="D1027" t="s">
        <v>31</v>
      </c>
      <c r="E1027" t="s">
        <v>26</v>
      </c>
      <c r="F1027" t="s">
        <v>44</v>
      </c>
      <c r="G1027" s="1">
        <v>44998</v>
      </c>
      <c r="H1027" s="1">
        <v>45001</v>
      </c>
      <c r="I1027" s="1">
        <v>45023</v>
      </c>
      <c r="J1027">
        <v>25</v>
      </c>
      <c r="K1027">
        <v>3</v>
      </c>
      <c r="L1027">
        <v>7</v>
      </c>
      <c r="M1027">
        <v>422.65</v>
      </c>
      <c r="N1027">
        <v>2958.55</v>
      </c>
      <c r="O1027">
        <v>7.0000000000000007E-2</v>
      </c>
      <c r="P1027">
        <v>207.1</v>
      </c>
      <c r="Q1027">
        <v>2751.45</v>
      </c>
      <c r="R1027">
        <v>1597.62</v>
      </c>
      <c r="S1027">
        <v>1153.83</v>
      </c>
    </row>
    <row r="1028" spans="1:19" x14ac:dyDescent="0.35">
      <c r="A1028">
        <v>101026</v>
      </c>
      <c r="B1028">
        <v>1967</v>
      </c>
      <c r="C1028" t="s">
        <v>33</v>
      </c>
      <c r="D1028" t="s">
        <v>31</v>
      </c>
      <c r="E1028" t="s">
        <v>21</v>
      </c>
      <c r="F1028" t="s">
        <v>38</v>
      </c>
      <c r="G1028" s="1">
        <v>44949</v>
      </c>
      <c r="H1028" s="1">
        <v>44951</v>
      </c>
      <c r="I1028" s="1">
        <v>44956</v>
      </c>
      <c r="J1028">
        <v>7</v>
      </c>
      <c r="K1028">
        <v>2</v>
      </c>
      <c r="L1028">
        <v>12</v>
      </c>
      <c r="M1028">
        <v>207</v>
      </c>
      <c r="N1028">
        <v>2484</v>
      </c>
      <c r="O1028">
        <v>0.16</v>
      </c>
      <c r="P1028">
        <v>397.44</v>
      </c>
      <c r="Q1028">
        <v>2086.56</v>
      </c>
      <c r="R1028">
        <v>1465.56</v>
      </c>
      <c r="S1028">
        <v>621</v>
      </c>
    </row>
    <row r="1029" spans="1:19" x14ac:dyDescent="0.35">
      <c r="A1029">
        <v>101027</v>
      </c>
      <c r="B1029">
        <v>2013</v>
      </c>
      <c r="C1029" t="s">
        <v>33</v>
      </c>
      <c r="D1029" t="s">
        <v>20</v>
      </c>
      <c r="E1029" t="s">
        <v>34</v>
      </c>
      <c r="F1029" t="s">
        <v>40</v>
      </c>
      <c r="G1029" s="1">
        <v>45093</v>
      </c>
      <c r="H1029" s="1">
        <v>45098</v>
      </c>
      <c r="I1029" s="1">
        <v>45112</v>
      </c>
      <c r="J1029">
        <v>19</v>
      </c>
      <c r="K1029">
        <v>5</v>
      </c>
      <c r="L1029">
        <v>1</v>
      </c>
      <c r="M1029">
        <v>143.88</v>
      </c>
      <c r="N1029">
        <v>143.88</v>
      </c>
      <c r="O1029">
        <v>0</v>
      </c>
      <c r="P1029">
        <v>0</v>
      </c>
      <c r="Q1029">
        <v>143.88</v>
      </c>
      <c r="R1029">
        <v>82.01</v>
      </c>
      <c r="S1029">
        <v>61.87</v>
      </c>
    </row>
    <row r="1030" spans="1:19" x14ac:dyDescent="0.35">
      <c r="A1030">
        <v>101028</v>
      </c>
      <c r="B1030">
        <v>1438</v>
      </c>
      <c r="C1030" t="s">
        <v>28</v>
      </c>
      <c r="D1030" t="s">
        <v>29</v>
      </c>
      <c r="E1030" t="s">
        <v>24</v>
      </c>
      <c r="F1030" t="s">
        <v>25</v>
      </c>
      <c r="G1030" s="1">
        <v>45196</v>
      </c>
      <c r="H1030" s="1">
        <v>45198</v>
      </c>
      <c r="I1030" s="1">
        <v>45205</v>
      </c>
      <c r="J1030">
        <v>9</v>
      </c>
      <c r="K1030">
        <v>2</v>
      </c>
      <c r="L1030">
        <v>6</v>
      </c>
      <c r="M1030">
        <v>136.19999999999999</v>
      </c>
      <c r="N1030">
        <v>817.2</v>
      </c>
      <c r="O1030">
        <v>0.04</v>
      </c>
      <c r="P1030">
        <v>32.69</v>
      </c>
      <c r="Q1030">
        <v>784.51</v>
      </c>
      <c r="R1030">
        <v>563.87</v>
      </c>
      <c r="S1030">
        <v>220.64</v>
      </c>
    </row>
    <row r="1031" spans="1:19" x14ac:dyDescent="0.35">
      <c r="A1031">
        <v>101029</v>
      </c>
      <c r="B1031">
        <v>3459</v>
      </c>
      <c r="C1031" t="s">
        <v>19</v>
      </c>
      <c r="D1031" t="s">
        <v>20</v>
      </c>
      <c r="E1031" t="s">
        <v>34</v>
      </c>
      <c r="F1031" t="s">
        <v>45</v>
      </c>
      <c r="G1031" s="1">
        <v>45196</v>
      </c>
      <c r="H1031" s="1">
        <v>45201</v>
      </c>
      <c r="I1031" s="1">
        <v>45212</v>
      </c>
      <c r="J1031">
        <v>16</v>
      </c>
      <c r="K1031">
        <v>5</v>
      </c>
      <c r="L1031">
        <v>3</v>
      </c>
      <c r="M1031">
        <v>615.66999999999996</v>
      </c>
      <c r="N1031">
        <v>1847.01</v>
      </c>
      <c r="O1031">
        <v>0.17</v>
      </c>
      <c r="P1031">
        <v>313.99</v>
      </c>
      <c r="Q1031">
        <v>1533.02</v>
      </c>
      <c r="R1031">
        <v>1089.74</v>
      </c>
      <c r="S1031">
        <v>443.28</v>
      </c>
    </row>
    <row r="1032" spans="1:19" x14ac:dyDescent="0.35">
      <c r="A1032">
        <v>101030</v>
      </c>
      <c r="B1032">
        <v>4678</v>
      </c>
      <c r="C1032" t="s">
        <v>28</v>
      </c>
      <c r="D1032" t="s">
        <v>29</v>
      </c>
      <c r="E1032" t="s">
        <v>21</v>
      </c>
      <c r="F1032" t="s">
        <v>22</v>
      </c>
      <c r="G1032" s="1">
        <v>45197</v>
      </c>
      <c r="H1032" s="1">
        <v>45199</v>
      </c>
      <c r="I1032" s="1">
        <v>45215</v>
      </c>
      <c r="J1032">
        <v>18</v>
      </c>
      <c r="K1032">
        <v>2</v>
      </c>
      <c r="L1032">
        <v>14</v>
      </c>
      <c r="M1032">
        <v>206.43</v>
      </c>
      <c r="N1032">
        <v>2890.02</v>
      </c>
      <c r="O1032">
        <v>0.03</v>
      </c>
      <c r="P1032">
        <v>86.7</v>
      </c>
      <c r="Q1032">
        <v>2803.32</v>
      </c>
      <c r="R1032">
        <v>1994.11</v>
      </c>
      <c r="S1032">
        <v>809.21</v>
      </c>
    </row>
    <row r="1033" spans="1:19" x14ac:dyDescent="0.35">
      <c r="A1033">
        <v>101031</v>
      </c>
      <c r="B1033">
        <v>4696</v>
      </c>
      <c r="C1033" t="s">
        <v>28</v>
      </c>
      <c r="D1033" t="s">
        <v>31</v>
      </c>
      <c r="E1033" t="s">
        <v>21</v>
      </c>
      <c r="F1033" t="s">
        <v>41</v>
      </c>
      <c r="G1033" s="1">
        <v>45007</v>
      </c>
      <c r="H1033" s="1">
        <v>45008</v>
      </c>
      <c r="I1033" s="1">
        <v>45035</v>
      </c>
      <c r="J1033">
        <v>28</v>
      </c>
      <c r="K1033">
        <v>1</v>
      </c>
      <c r="L1033">
        <v>13</v>
      </c>
      <c r="M1033">
        <v>440.91</v>
      </c>
      <c r="N1033">
        <v>5731.83</v>
      </c>
      <c r="O1033">
        <v>0.15</v>
      </c>
      <c r="P1033">
        <v>859.77</v>
      </c>
      <c r="Q1033">
        <v>4872.0600000000004</v>
      </c>
      <c r="R1033">
        <v>3668.37</v>
      </c>
      <c r="S1033">
        <v>1203.69</v>
      </c>
    </row>
    <row r="1034" spans="1:19" x14ac:dyDescent="0.35">
      <c r="A1034">
        <v>101032</v>
      </c>
      <c r="B1034">
        <v>3751</v>
      </c>
      <c r="C1034" t="s">
        <v>23</v>
      </c>
      <c r="D1034" t="s">
        <v>29</v>
      </c>
      <c r="E1034" t="s">
        <v>21</v>
      </c>
      <c r="F1034" t="s">
        <v>39</v>
      </c>
      <c r="G1034" s="1">
        <v>44933</v>
      </c>
      <c r="H1034" s="1">
        <v>44934</v>
      </c>
      <c r="I1034" s="1">
        <v>44959</v>
      </c>
      <c r="J1034">
        <v>26</v>
      </c>
      <c r="K1034">
        <v>1</v>
      </c>
      <c r="L1034">
        <v>1</v>
      </c>
      <c r="M1034">
        <v>696.61</v>
      </c>
      <c r="N1034">
        <v>696.61</v>
      </c>
      <c r="O1034">
        <v>0.05</v>
      </c>
      <c r="P1034">
        <v>34.83</v>
      </c>
      <c r="Q1034">
        <v>661.78</v>
      </c>
      <c r="R1034">
        <v>452.8</v>
      </c>
      <c r="S1034">
        <v>208.98</v>
      </c>
    </row>
    <row r="1035" spans="1:19" x14ac:dyDescent="0.35">
      <c r="A1035">
        <v>101033</v>
      </c>
      <c r="B1035">
        <v>4134</v>
      </c>
      <c r="C1035" t="s">
        <v>33</v>
      </c>
      <c r="D1035" t="s">
        <v>20</v>
      </c>
      <c r="E1035" t="s">
        <v>21</v>
      </c>
      <c r="F1035" t="s">
        <v>38</v>
      </c>
      <c r="G1035" s="1">
        <v>45083</v>
      </c>
      <c r="H1035" s="1">
        <v>45084</v>
      </c>
      <c r="I1035" s="1">
        <v>45113</v>
      </c>
      <c r="J1035">
        <v>30</v>
      </c>
      <c r="K1035">
        <v>1</v>
      </c>
      <c r="L1035">
        <v>3</v>
      </c>
      <c r="M1035">
        <v>422.9</v>
      </c>
      <c r="N1035">
        <v>1268.7</v>
      </c>
      <c r="O1035">
        <v>0.02</v>
      </c>
      <c r="P1035">
        <v>25.37</v>
      </c>
      <c r="Q1035">
        <v>1243.33</v>
      </c>
      <c r="R1035">
        <v>888.09</v>
      </c>
      <c r="S1035">
        <v>355.24</v>
      </c>
    </row>
    <row r="1036" spans="1:19" x14ac:dyDescent="0.35">
      <c r="A1036">
        <v>101034</v>
      </c>
      <c r="B1036">
        <v>3895</v>
      </c>
      <c r="C1036" t="s">
        <v>23</v>
      </c>
      <c r="D1036" t="s">
        <v>20</v>
      </c>
      <c r="E1036" t="s">
        <v>26</v>
      </c>
      <c r="F1036" t="s">
        <v>27</v>
      </c>
      <c r="G1036" s="1">
        <v>45233</v>
      </c>
      <c r="H1036" s="1">
        <v>45237</v>
      </c>
      <c r="I1036" s="1">
        <v>45242</v>
      </c>
      <c r="J1036">
        <v>9</v>
      </c>
      <c r="K1036">
        <v>4</v>
      </c>
      <c r="L1036">
        <v>11</v>
      </c>
      <c r="M1036">
        <v>500.69</v>
      </c>
      <c r="N1036">
        <v>5507.59</v>
      </c>
      <c r="O1036">
        <v>0.06</v>
      </c>
      <c r="P1036">
        <v>330.46</v>
      </c>
      <c r="Q1036">
        <v>5177.13</v>
      </c>
      <c r="R1036">
        <v>2698.72</v>
      </c>
      <c r="S1036">
        <v>2478.41</v>
      </c>
    </row>
    <row r="1037" spans="1:19" x14ac:dyDescent="0.35">
      <c r="A1037">
        <v>101035</v>
      </c>
      <c r="B1037">
        <v>4931</v>
      </c>
      <c r="C1037" t="s">
        <v>33</v>
      </c>
      <c r="D1037" t="s">
        <v>29</v>
      </c>
      <c r="E1037" t="s">
        <v>24</v>
      </c>
      <c r="F1037" t="s">
        <v>25</v>
      </c>
      <c r="G1037" s="1">
        <v>44965</v>
      </c>
      <c r="H1037" s="1">
        <v>44967</v>
      </c>
      <c r="I1037" s="1">
        <v>44977</v>
      </c>
      <c r="J1037">
        <v>12</v>
      </c>
      <c r="K1037">
        <v>2</v>
      </c>
      <c r="L1037">
        <v>5</v>
      </c>
      <c r="M1037">
        <v>593.12</v>
      </c>
      <c r="N1037">
        <v>2965.6</v>
      </c>
      <c r="O1037">
        <v>0.05</v>
      </c>
      <c r="P1037">
        <v>148.28</v>
      </c>
      <c r="Q1037">
        <v>2817.32</v>
      </c>
      <c r="R1037">
        <v>1809.02</v>
      </c>
      <c r="S1037">
        <v>1008.3</v>
      </c>
    </row>
    <row r="1038" spans="1:19" x14ac:dyDescent="0.35">
      <c r="A1038">
        <v>101036</v>
      </c>
      <c r="B1038">
        <v>1954</v>
      </c>
      <c r="C1038" t="s">
        <v>19</v>
      </c>
      <c r="D1038" t="s">
        <v>31</v>
      </c>
      <c r="E1038" t="s">
        <v>21</v>
      </c>
      <c r="F1038" t="s">
        <v>39</v>
      </c>
      <c r="G1038" s="1">
        <v>44989</v>
      </c>
      <c r="H1038" s="1">
        <v>44992</v>
      </c>
      <c r="I1038" s="1">
        <v>44998</v>
      </c>
      <c r="J1038">
        <v>9</v>
      </c>
      <c r="K1038">
        <v>3</v>
      </c>
      <c r="L1038">
        <v>13</v>
      </c>
      <c r="M1038">
        <v>708.07</v>
      </c>
      <c r="N1038">
        <v>9204.91</v>
      </c>
      <c r="O1038">
        <v>0.06</v>
      </c>
      <c r="P1038">
        <v>552.29</v>
      </c>
      <c r="Q1038">
        <v>8652.6200000000008</v>
      </c>
      <c r="R1038">
        <v>5615</v>
      </c>
      <c r="S1038">
        <v>3037.62</v>
      </c>
    </row>
    <row r="1039" spans="1:19" x14ac:dyDescent="0.35">
      <c r="A1039">
        <v>101037</v>
      </c>
      <c r="B1039">
        <v>1565</v>
      </c>
      <c r="C1039" t="s">
        <v>28</v>
      </c>
      <c r="D1039" t="s">
        <v>29</v>
      </c>
      <c r="E1039" t="s">
        <v>21</v>
      </c>
      <c r="F1039" t="s">
        <v>41</v>
      </c>
      <c r="G1039" s="1">
        <v>45059</v>
      </c>
      <c r="H1039" s="1">
        <v>45061</v>
      </c>
      <c r="I1039" s="1">
        <v>45078</v>
      </c>
      <c r="J1039">
        <v>19</v>
      </c>
      <c r="K1039">
        <v>2</v>
      </c>
      <c r="L1039">
        <v>9</v>
      </c>
      <c r="M1039">
        <v>497.61</v>
      </c>
      <c r="N1039">
        <v>4478.49</v>
      </c>
      <c r="O1039">
        <v>0.13</v>
      </c>
      <c r="P1039">
        <v>582.20000000000005</v>
      </c>
      <c r="Q1039">
        <v>3896.29</v>
      </c>
      <c r="R1039">
        <v>2866.23</v>
      </c>
      <c r="S1039">
        <v>1030.06</v>
      </c>
    </row>
    <row r="1040" spans="1:19" x14ac:dyDescent="0.35">
      <c r="A1040">
        <v>101038</v>
      </c>
      <c r="B1040">
        <v>2389</v>
      </c>
      <c r="C1040" t="s">
        <v>23</v>
      </c>
      <c r="D1040" t="s">
        <v>31</v>
      </c>
      <c r="E1040" t="s">
        <v>24</v>
      </c>
      <c r="F1040" t="s">
        <v>42</v>
      </c>
      <c r="G1040" s="1">
        <v>45230</v>
      </c>
      <c r="H1040" s="1">
        <v>45232</v>
      </c>
      <c r="I1040" s="1">
        <v>45244</v>
      </c>
      <c r="J1040">
        <v>14</v>
      </c>
      <c r="K1040">
        <v>2</v>
      </c>
      <c r="L1040">
        <v>9</v>
      </c>
      <c r="M1040">
        <v>95.44</v>
      </c>
      <c r="N1040">
        <v>858.96</v>
      </c>
      <c r="O1040">
        <v>0.09</v>
      </c>
      <c r="P1040">
        <v>77.31</v>
      </c>
      <c r="Q1040">
        <v>781.65</v>
      </c>
      <c r="R1040">
        <v>489.61</v>
      </c>
      <c r="S1040">
        <v>292.04000000000002</v>
      </c>
    </row>
    <row r="1041" spans="1:19" x14ac:dyDescent="0.35">
      <c r="A1041">
        <v>101039</v>
      </c>
      <c r="B1041">
        <v>3566</v>
      </c>
      <c r="C1041" t="s">
        <v>28</v>
      </c>
      <c r="D1041" t="s">
        <v>31</v>
      </c>
      <c r="E1041" t="s">
        <v>24</v>
      </c>
      <c r="F1041" t="s">
        <v>32</v>
      </c>
      <c r="G1041" s="1">
        <v>45030</v>
      </c>
      <c r="H1041" s="1">
        <v>45032</v>
      </c>
      <c r="I1041" s="1">
        <v>45059</v>
      </c>
      <c r="J1041">
        <v>29</v>
      </c>
      <c r="K1041">
        <v>2</v>
      </c>
      <c r="L1041">
        <v>9</v>
      </c>
      <c r="M1041">
        <v>745.27</v>
      </c>
      <c r="N1041">
        <v>6707.43</v>
      </c>
      <c r="O1041">
        <v>0.12</v>
      </c>
      <c r="P1041">
        <v>804.89</v>
      </c>
      <c r="Q1041">
        <v>5902.54</v>
      </c>
      <c r="R1041">
        <v>4628.13</v>
      </c>
      <c r="S1041">
        <v>1274.4100000000001</v>
      </c>
    </row>
    <row r="1042" spans="1:19" x14ac:dyDescent="0.35">
      <c r="A1042">
        <v>101040</v>
      </c>
      <c r="B1042">
        <v>2361</v>
      </c>
      <c r="C1042" t="s">
        <v>33</v>
      </c>
      <c r="D1042" t="s">
        <v>29</v>
      </c>
      <c r="E1042" t="s">
        <v>34</v>
      </c>
      <c r="F1042" t="s">
        <v>43</v>
      </c>
      <c r="G1042" s="1">
        <v>44983</v>
      </c>
      <c r="H1042" s="1">
        <v>44984</v>
      </c>
      <c r="I1042" s="1">
        <v>45000</v>
      </c>
      <c r="J1042">
        <v>17</v>
      </c>
      <c r="K1042">
        <v>1</v>
      </c>
      <c r="L1042">
        <v>14</v>
      </c>
      <c r="M1042">
        <v>749.86</v>
      </c>
      <c r="N1042">
        <v>10498.04</v>
      </c>
      <c r="O1042">
        <v>0.13</v>
      </c>
      <c r="P1042">
        <v>1364.75</v>
      </c>
      <c r="Q1042">
        <v>9133.2900000000009</v>
      </c>
      <c r="R1042">
        <v>6508.78</v>
      </c>
      <c r="S1042">
        <v>2624.51</v>
      </c>
    </row>
    <row r="1043" spans="1:19" x14ac:dyDescent="0.35">
      <c r="A1043">
        <v>101041</v>
      </c>
      <c r="B1043">
        <v>2598</v>
      </c>
      <c r="C1043" t="s">
        <v>28</v>
      </c>
      <c r="D1043" t="s">
        <v>31</v>
      </c>
      <c r="E1043" t="s">
        <v>21</v>
      </c>
      <c r="F1043" t="s">
        <v>22</v>
      </c>
      <c r="G1043" s="1">
        <v>44969</v>
      </c>
      <c r="H1043" s="1">
        <v>44970</v>
      </c>
      <c r="I1043" s="1">
        <v>44975</v>
      </c>
      <c r="J1043">
        <v>6</v>
      </c>
      <c r="K1043">
        <v>1</v>
      </c>
      <c r="L1043">
        <v>7</v>
      </c>
      <c r="M1043">
        <v>454.97</v>
      </c>
      <c r="N1043">
        <v>3184.79</v>
      </c>
      <c r="O1043">
        <v>0.2</v>
      </c>
      <c r="P1043">
        <v>636.96</v>
      </c>
      <c r="Q1043">
        <v>2547.83</v>
      </c>
      <c r="R1043">
        <v>1656.09</v>
      </c>
      <c r="S1043">
        <v>891.74</v>
      </c>
    </row>
    <row r="1044" spans="1:19" x14ac:dyDescent="0.35">
      <c r="A1044">
        <v>101042</v>
      </c>
      <c r="B1044">
        <v>4030</v>
      </c>
      <c r="C1044" t="s">
        <v>33</v>
      </c>
      <c r="D1044" t="s">
        <v>31</v>
      </c>
      <c r="E1044" t="s">
        <v>21</v>
      </c>
      <c r="F1044" t="s">
        <v>39</v>
      </c>
      <c r="G1044" s="1">
        <v>45122</v>
      </c>
      <c r="H1044" s="1">
        <v>45125</v>
      </c>
      <c r="I1044" s="1">
        <v>45134</v>
      </c>
      <c r="J1044">
        <v>12</v>
      </c>
      <c r="K1044">
        <v>3</v>
      </c>
      <c r="L1044">
        <v>11</v>
      </c>
      <c r="M1044">
        <v>794.75</v>
      </c>
      <c r="N1044">
        <v>8742.25</v>
      </c>
      <c r="O1044">
        <v>0.05</v>
      </c>
      <c r="P1044">
        <v>437.11</v>
      </c>
      <c r="Q1044">
        <v>8305.14</v>
      </c>
      <c r="R1044">
        <v>5332.77</v>
      </c>
      <c r="S1044">
        <v>2972.37</v>
      </c>
    </row>
    <row r="1045" spans="1:19" x14ac:dyDescent="0.35">
      <c r="A1045">
        <v>101043</v>
      </c>
      <c r="B1045">
        <v>2714</v>
      </c>
      <c r="C1045" t="s">
        <v>33</v>
      </c>
      <c r="D1045" t="s">
        <v>20</v>
      </c>
      <c r="E1045" t="s">
        <v>21</v>
      </c>
      <c r="F1045" t="s">
        <v>41</v>
      </c>
      <c r="G1045" s="1">
        <v>45138</v>
      </c>
      <c r="H1045" s="1">
        <v>45140</v>
      </c>
      <c r="I1045" s="1">
        <v>45145</v>
      </c>
      <c r="J1045">
        <v>7</v>
      </c>
      <c r="K1045">
        <v>2</v>
      </c>
      <c r="L1045">
        <v>11</v>
      </c>
      <c r="M1045">
        <v>658.38</v>
      </c>
      <c r="N1045">
        <v>7242.18</v>
      </c>
      <c r="O1045">
        <v>0.13</v>
      </c>
      <c r="P1045">
        <v>941.48</v>
      </c>
      <c r="Q1045">
        <v>6300.7</v>
      </c>
      <c r="R1045">
        <v>4490.1499999999996</v>
      </c>
      <c r="S1045">
        <v>1810.55</v>
      </c>
    </row>
    <row r="1046" spans="1:19" x14ac:dyDescent="0.35">
      <c r="A1046">
        <v>101044</v>
      </c>
      <c r="B1046">
        <v>2935</v>
      </c>
      <c r="C1046" t="s">
        <v>19</v>
      </c>
      <c r="D1046" t="s">
        <v>20</v>
      </c>
      <c r="E1046" t="s">
        <v>24</v>
      </c>
      <c r="F1046" t="s">
        <v>42</v>
      </c>
      <c r="G1046" s="1">
        <v>45258</v>
      </c>
      <c r="H1046" s="1">
        <v>45260</v>
      </c>
      <c r="I1046" s="1">
        <v>45275</v>
      </c>
      <c r="J1046">
        <v>17</v>
      </c>
      <c r="K1046">
        <v>2</v>
      </c>
      <c r="L1046">
        <v>12</v>
      </c>
      <c r="M1046">
        <v>10.57</v>
      </c>
      <c r="N1046">
        <v>126.84</v>
      </c>
      <c r="O1046">
        <v>0.1</v>
      </c>
      <c r="P1046">
        <v>12.68</v>
      </c>
      <c r="Q1046">
        <v>114.16</v>
      </c>
      <c r="R1046">
        <v>79.91</v>
      </c>
      <c r="S1046">
        <v>34.25</v>
      </c>
    </row>
    <row r="1047" spans="1:19" x14ac:dyDescent="0.35">
      <c r="A1047">
        <v>101045</v>
      </c>
      <c r="B1047">
        <v>2301</v>
      </c>
      <c r="C1047" t="s">
        <v>28</v>
      </c>
      <c r="D1047" t="s">
        <v>31</v>
      </c>
      <c r="E1047" t="s">
        <v>34</v>
      </c>
      <c r="F1047" t="s">
        <v>45</v>
      </c>
      <c r="G1047" s="1">
        <v>45021</v>
      </c>
      <c r="H1047" s="1">
        <v>45022</v>
      </c>
      <c r="I1047" s="1">
        <v>45033</v>
      </c>
      <c r="J1047">
        <v>12</v>
      </c>
      <c r="K1047">
        <v>1</v>
      </c>
      <c r="L1047">
        <v>1</v>
      </c>
      <c r="M1047">
        <v>666.79</v>
      </c>
      <c r="N1047">
        <v>666.79</v>
      </c>
      <c r="O1047">
        <v>0.13</v>
      </c>
      <c r="P1047">
        <v>86.68</v>
      </c>
      <c r="Q1047">
        <v>580.11</v>
      </c>
      <c r="R1047">
        <v>393.41</v>
      </c>
      <c r="S1047">
        <v>186.7</v>
      </c>
    </row>
    <row r="1048" spans="1:19" x14ac:dyDescent="0.35">
      <c r="A1048">
        <v>101046</v>
      </c>
      <c r="B1048">
        <v>2951</v>
      </c>
      <c r="C1048" t="s">
        <v>19</v>
      </c>
      <c r="D1048" t="s">
        <v>20</v>
      </c>
      <c r="E1048" t="s">
        <v>34</v>
      </c>
      <c r="F1048" t="s">
        <v>35</v>
      </c>
      <c r="G1048" s="1">
        <v>45118</v>
      </c>
      <c r="H1048" s="1">
        <v>45123</v>
      </c>
      <c r="I1048" s="1">
        <v>45121</v>
      </c>
      <c r="J1048">
        <v>3</v>
      </c>
      <c r="K1048">
        <v>5</v>
      </c>
      <c r="L1048">
        <v>11</v>
      </c>
      <c r="M1048">
        <v>294.2</v>
      </c>
      <c r="N1048">
        <v>3236.2</v>
      </c>
      <c r="O1048">
        <v>0.01</v>
      </c>
      <c r="P1048">
        <v>32.36</v>
      </c>
      <c r="Q1048">
        <v>3203.84</v>
      </c>
      <c r="R1048">
        <v>2135.89</v>
      </c>
      <c r="S1048">
        <v>1067.95</v>
      </c>
    </row>
    <row r="1049" spans="1:19" x14ac:dyDescent="0.35">
      <c r="A1049">
        <v>101047</v>
      </c>
      <c r="B1049">
        <v>1672</v>
      </c>
      <c r="C1049" t="s">
        <v>33</v>
      </c>
      <c r="D1049" t="s">
        <v>31</v>
      </c>
      <c r="E1049" t="s">
        <v>24</v>
      </c>
      <c r="F1049" t="s">
        <v>30</v>
      </c>
      <c r="G1049" s="1">
        <v>45199</v>
      </c>
      <c r="H1049" s="1">
        <v>45201</v>
      </c>
      <c r="I1049" s="1">
        <v>45209</v>
      </c>
      <c r="J1049">
        <v>10</v>
      </c>
      <c r="K1049">
        <v>2</v>
      </c>
      <c r="L1049">
        <v>2</v>
      </c>
      <c r="M1049">
        <v>460.23</v>
      </c>
      <c r="N1049">
        <v>920.46</v>
      </c>
      <c r="O1049">
        <v>0.15</v>
      </c>
      <c r="P1049">
        <v>138.07</v>
      </c>
      <c r="Q1049">
        <v>782.39</v>
      </c>
      <c r="R1049">
        <v>671.94</v>
      </c>
      <c r="S1049">
        <v>110.45</v>
      </c>
    </row>
    <row r="1050" spans="1:19" x14ac:dyDescent="0.35">
      <c r="A1050">
        <v>101048</v>
      </c>
      <c r="B1050">
        <v>4911</v>
      </c>
      <c r="C1050" t="s">
        <v>33</v>
      </c>
      <c r="D1050" t="s">
        <v>20</v>
      </c>
      <c r="E1050" t="s">
        <v>21</v>
      </c>
      <c r="F1050" t="s">
        <v>38</v>
      </c>
      <c r="G1050" s="1">
        <v>45249</v>
      </c>
      <c r="H1050" s="1">
        <v>45250</v>
      </c>
      <c r="I1050" s="1">
        <v>45279</v>
      </c>
      <c r="J1050">
        <v>30</v>
      </c>
      <c r="K1050">
        <v>1</v>
      </c>
      <c r="L1050">
        <v>11</v>
      </c>
      <c r="M1050">
        <v>521.44000000000005</v>
      </c>
      <c r="N1050">
        <v>5735.84</v>
      </c>
      <c r="O1050">
        <v>0.12</v>
      </c>
      <c r="P1050">
        <v>688.3</v>
      </c>
      <c r="Q1050">
        <v>5047.54</v>
      </c>
      <c r="R1050">
        <v>3613.58</v>
      </c>
      <c r="S1050">
        <v>1433.96</v>
      </c>
    </row>
    <row r="1051" spans="1:19" x14ac:dyDescent="0.35">
      <c r="A1051">
        <v>101049</v>
      </c>
      <c r="B1051">
        <v>4031</v>
      </c>
      <c r="C1051" t="s">
        <v>23</v>
      </c>
      <c r="D1051" t="s">
        <v>20</v>
      </c>
      <c r="E1051" t="s">
        <v>24</v>
      </c>
      <c r="F1051" t="s">
        <v>32</v>
      </c>
      <c r="G1051" s="1">
        <v>45001</v>
      </c>
      <c r="H1051" s="1">
        <v>45003</v>
      </c>
      <c r="I1051" s="1">
        <v>45006</v>
      </c>
      <c r="J1051">
        <v>5</v>
      </c>
      <c r="K1051">
        <v>2</v>
      </c>
      <c r="L1051">
        <v>6</v>
      </c>
      <c r="M1051">
        <v>467.54</v>
      </c>
      <c r="N1051">
        <v>2805.24</v>
      </c>
      <c r="O1051">
        <v>0.12</v>
      </c>
      <c r="P1051">
        <v>336.63</v>
      </c>
      <c r="Q1051">
        <v>2468.61</v>
      </c>
      <c r="R1051">
        <v>1795.35</v>
      </c>
      <c r="S1051">
        <v>673.26</v>
      </c>
    </row>
    <row r="1052" spans="1:19" x14ac:dyDescent="0.35">
      <c r="A1052">
        <v>101050</v>
      </c>
      <c r="B1052">
        <v>4046</v>
      </c>
      <c r="C1052" t="s">
        <v>33</v>
      </c>
      <c r="D1052" t="s">
        <v>29</v>
      </c>
      <c r="E1052" t="s">
        <v>21</v>
      </c>
      <c r="F1052" t="s">
        <v>41</v>
      </c>
      <c r="G1052" s="1">
        <v>45191</v>
      </c>
      <c r="H1052" s="1">
        <v>45196</v>
      </c>
      <c r="I1052" s="1">
        <v>45205</v>
      </c>
      <c r="J1052">
        <v>14</v>
      </c>
      <c r="K1052">
        <v>5</v>
      </c>
      <c r="L1052">
        <v>1</v>
      </c>
      <c r="M1052">
        <v>330.89</v>
      </c>
      <c r="N1052">
        <v>330.89</v>
      </c>
      <c r="O1052">
        <v>0.06</v>
      </c>
      <c r="P1052">
        <v>19.850000000000001</v>
      </c>
      <c r="Q1052">
        <v>311.04000000000002</v>
      </c>
      <c r="R1052">
        <v>208.46</v>
      </c>
      <c r="S1052">
        <v>102.58</v>
      </c>
    </row>
    <row r="1053" spans="1:19" x14ac:dyDescent="0.35">
      <c r="A1053">
        <v>101051</v>
      </c>
      <c r="B1053">
        <v>1655</v>
      </c>
      <c r="C1053" t="s">
        <v>23</v>
      </c>
      <c r="D1053" t="s">
        <v>31</v>
      </c>
      <c r="E1053" t="s">
        <v>21</v>
      </c>
      <c r="F1053" t="s">
        <v>39</v>
      </c>
      <c r="G1053" s="1">
        <v>45095</v>
      </c>
      <c r="H1053" s="1">
        <v>45097</v>
      </c>
      <c r="I1053" s="1">
        <v>45119</v>
      </c>
      <c r="J1053">
        <v>24</v>
      </c>
      <c r="K1053">
        <v>2</v>
      </c>
      <c r="L1053">
        <v>4</v>
      </c>
      <c r="M1053">
        <v>468.11</v>
      </c>
      <c r="N1053">
        <v>1872.44</v>
      </c>
      <c r="O1053">
        <v>0.03</v>
      </c>
      <c r="P1053">
        <v>56.17</v>
      </c>
      <c r="Q1053">
        <v>1816.27</v>
      </c>
      <c r="R1053">
        <v>1235.81</v>
      </c>
      <c r="S1053">
        <v>580.46</v>
      </c>
    </row>
    <row r="1054" spans="1:19" x14ac:dyDescent="0.35">
      <c r="A1054">
        <v>101052</v>
      </c>
      <c r="B1054">
        <v>2844</v>
      </c>
      <c r="C1054" t="s">
        <v>33</v>
      </c>
      <c r="D1054" t="s">
        <v>20</v>
      </c>
      <c r="E1054" t="s">
        <v>26</v>
      </c>
      <c r="F1054" t="s">
        <v>36</v>
      </c>
      <c r="G1054" s="1">
        <v>45057</v>
      </c>
      <c r="H1054" s="1">
        <v>45058</v>
      </c>
      <c r="I1054" s="1">
        <v>45074</v>
      </c>
      <c r="J1054">
        <v>17</v>
      </c>
      <c r="K1054">
        <v>1</v>
      </c>
      <c r="L1054">
        <v>2</v>
      </c>
      <c r="M1054">
        <v>194.52</v>
      </c>
      <c r="N1054">
        <v>389.04</v>
      </c>
      <c r="O1054">
        <v>0.08</v>
      </c>
      <c r="P1054">
        <v>31.12</v>
      </c>
      <c r="Q1054">
        <v>357.92</v>
      </c>
      <c r="R1054">
        <v>256.77</v>
      </c>
      <c r="S1054">
        <v>101.15</v>
      </c>
    </row>
    <row r="1055" spans="1:19" x14ac:dyDescent="0.35">
      <c r="A1055">
        <v>101053</v>
      </c>
      <c r="B1055">
        <v>3509</v>
      </c>
      <c r="C1055" t="s">
        <v>19</v>
      </c>
      <c r="D1055" t="s">
        <v>31</v>
      </c>
      <c r="E1055" t="s">
        <v>34</v>
      </c>
      <c r="F1055" t="s">
        <v>35</v>
      </c>
      <c r="G1055" s="1">
        <v>45098</v>
      </c>
      <c r="H1055" s="1">
        <v>45101</v>
      </c>
      <c r="I1055" s="1">
        <v>45117</v>
      </c>
      <c r="J1055">
        <v>19</v>
      </c>
      <c r="K1055">
        <v>3</v>
      </c>
      <c r="L1055">
        <v>7</v>
      </c>
      <c r="M1055">
        <v>183</v>
      </c>
      <c r="N1055">
        <v>1281</v>
      </c>
      <c r="O1055">
        <v>0.02</v>
      </c>
      <c r="P1055">
        <v>25.62</v>
      </c>
      <c r="Q1055">
        <v>1255.3800000000001</v>
      </c>
      <c r="R1055">
        <v>768.6</v>
      </c>
      <c r="S1055">
        <v>486.78</v>
      </c>
    </row>
    <row r="1056" spans="1:19" x14ac:dyDescent="0.35">
      <c r="A1056">
        <v>101054</v>
      </c>
      <c r="B1056">
        <v>3640</v>
      </c>
      <c r="C1056" t="s">
        <v>23</v>
      </c>
      <c r="D1056" t="s">
        <v>29</v>
      </c>
      <c r="E1056" t="s">
        <v>21</v>
      </c>
      <c r="F1056" t="s">
        <v>39</v>
      </c>
      <c r="G1056" s="1">
        <v>44958</v>
      </c>
      <c r="H1056" s="1">
        <v>44962</v>
      </c>
      <c r="I1056" s="1">
        <v>44968</v>
      </c>
      <c r="J1056">
        <v>10</v>
      </c>
      <c r="K1056">
        <v>4</v>
      </c>
      <c r="L1056">
        <v>12</v>
      </c>
      <c r="M1056">
        <v>145.38999999999999</v>
      </c>
      <c r="N1056">
        <v>1744.68</v>
      </c>
      <c r="O1056">
        <v>0.13</v>
      </c>
      <c r="P1056">
        <v>226.81</v>
      </c>
      <c r="Q1056">
        <v>1517.87</v>
      </c>
      <c r="R1056">
        <v>977.02</v>
      </c>
      <c r="S1056">
        <v>540.85</v>
      </c>
    </row>
    <row r="1057" spans="1:19" x14ac:dyDescent="0.35">
      <c r="A1057">
        <v>101055</v>
      </c>
      <c r="B1057">
        <v>1878</v>
      </c>
      <c r="C1057" t="s">
        <v>19</v>
      </c>
      <c r="D1057" t="s">
        <v>29</v>
      </c>
      <c r="E1057" t="s">
        <v>24</v>
      </c>
      <c r="F1057" t="s">
        <v>25</v>
      </c>
      <c r="G1057" s="1">
        <v>44996</v>
      </c>
      <c r="H1057" s="1">
        <v>45000</v>
      </c>
      <c r="I1057" s="1">
        <v>45022</v>
      </c>
      <c r="J1057">
        <v>26</v>
      </c>
      <c r="K1057">
        <v>4</v>
      </c>
      <c r="L1057">
        <v>13</v>
      </c>
      <c r="M1057">
        <v>538.98</v>
      </c>
      <c r="N1057">
        <v>7006.74</v>
      </c>
      <c r="O1057">
        <v>0.13</v>
      </c>
      <c r="P1057">
        <v>910.88</v>
      </c>
      <c r="Q1057">
        <v>6095.86</v>
      </c>
      <c r="R1057">
        <v>4484.3100000000004</v>
      </c>
      <c r="S1057">
        <v>1611.55</v>
      </c>
    </row>
    <row r="1058" spans="1:19" x14ac:dyDescent="0.35">
      <c r="A1058">
        <v>101056</v>
      </c>
      <c r="B1058">
        <v>4487</v>
      </c>
      <c r="C1058" t="s">
        <v>33</v>
      </c>
      <c r="D1058" t="s">
        <v>29</v>
      </c>
      <c r="E1058" t="s">
        <v>26</v>
      </c>
      <c r="F1058" t="s">
        <v>44</v>
      </c>
      <c r="G1058" s="1">
        <v>44997</v>
      </c>
      <c r="H1058" s="1">
        <v>44999</v>
      </c>
      <c r="I1058" s="1">
        <v>45019</v>
      </c>
      <c r="J1058">
        <v>22</v>
      </c>
      <c r="K1058">
        <v>2</v>
      </c>
      <c r="L1058">
        <v>8</v>
      </c>
      <c r="M1058">
        <v>19.21</v>
      </c>
      <c r="N1058">
        <v>153.68</v>
      </c>
      <c r="O1058">
        <v>0.06</v>
      </c>
      <c r="P1058">
        <v>9.2200000000000006</v>
      </c>
      <c r="Q1058">
        <v>144.46</v>
      </c>
      <c r="R1058">
        <v>89.13</v>
      </c>
      <c r="S1058">
        <v>55.33</v>
      </c>
    </row>
    <row r="1059" spans="1:19" x14ac:dyDescent="0.35">
      <c r="A1059">
        <v>101057</v>
      </c>
      <c r="B1059">
        <v>2702</v>
      </c>
      <c r="C1059" t="s">
        <v>23</v>
      </c>
      <c r="D1059" t="s">
        <v>31</v>
      </c>
      <c r="E1059" t="s">
        <v>24</v>
      </c>
      <c r="F1059" t="s">
        <v>32</v>
      </c>
      <c r="G1059" s="1">
        <v>44999</v>
      </c>
      <c r="H1059" s="1">
        <v>45004</v>
      </c>
      <c r="I1059" s="1">
        <v>45015</v>
      </c>
      <c r="J1059">
        <v>16</v>
      </c>
      <c r="K1059">
        <v>5</v>
      </c>
      <c r="L1059">
        <v>14</v>
      </c>
      <c r="M1059">
        <v>7.04</v>
      </c>
      <c r="N1059">
        <v>98.56</v>
      </c>
      <c r="O1059">
        <v>0</v>
      </c>
      <c r="P1059">
        <v>0</v>
      </c>
      <c r="Q1059">
        <v>98.56</v>
      </c>
      <c r="R1059">
        <v>59.14</v>
      </c>
      <c r="S1059">
        <v>39.42</v>
      </c>
    </row>
    <row r="1060" spans="1:19" x14ac:dyDescent="0.35">
      <c r="A1060">
        <v>101058</v>
      </c>
      <c r="B1060">
        <v>4678</v>
      </c>
      <c r="C1060" t="s">
        <v>23</v>
      </c>
      <c r="D1060" t="s">
        <v>20</v>
      </c>
      <c r="E1060" t="s">
        <v>26</v>
      </c>
      <c r="F1060" t="s">
        <v>36</v>
      </c>
      <c r="G1060" s="1">
        <v>45094</v>
      </c>
      <c r="H1060" s="1">
        <v>45095</v>
      </c>
      <c r="I1060" s="1">
        <v>45116</v>
      </c>
      <c r="J1060">
        <v>22</v>
      </c>
      <c r="K1060">
        <v>1</v>
      </c>
      <c r="L1060">
        <v>13</v>
      </c>
      <c r="M1060">
        <v>762.71</v>
      </c>
      <c r="N1060">
        <v>9915.23</v>
      </c>
      <c r="O1060">
        <v>0.08</v>
      </c>
      <c r="P1060">
        <v>793.22</v>
      </c>
      <c r="Q1060">
        <v>9122.01</v>
      </c>
      <c r="R1060">
        <v>5849.99</v>
      </c>
      <c r="S1060">
        <v>3272.02</v>
      </c>
    </row>
    <row r="1061" spans="1:19" x14ac:dyDescent="0.35">
      <c r="A1061">
        <v>101059</v>
      </c>
      <c r="B1061">
        <v>3157</v>
      </c>
      <c r="C1061" t="s">
        <v>23</v>
      </c>
      <c r="D1061" t="s">
        <v>20</v>
      </c>
      <c r="E1061" t="s">
        <v>21</v>
      </c>
      <c r="F1061" t="s">
        <v>41</v>
      </c>
      <c r="G1061" s="1">
        <v>45074</v>
      </c>
      <c r="H1061" s="1">
        <v>45078</v>
      </c>
      <c r="I1061" s="1">
        <v>45084</v>
      </c>
      <c r="J1061">
        <v>10</v>
      </c>
      <c r="K1061">
        <v>4</v>
      </c>
      <c r="L1061">
        <v>9</v>
      </c>
      <c r="M1061">
        <v>629.16999999999996</v>
      </c>
      <c r="N1061">
        <v>5662.53</v>
      </c>
      <c r="O1061">
        <v>0</v>
      </c>
      <c r="P1061">
        <v>0</v>
      </c>
      <c r="Q1061">
        <v>5662.53</v>
      </c>
      <c r="R1061">
        <v>3114.39</v>
      </c>
      <c r="S1061">
        <v>2548.14</v>
      </c>
    </row>
    <row r="1062" spans="1:19" x14ac:dyDescent="0.35">
      <c r="A1062">
        <v>101060</v>
      </c>
      <c r="B1062">
        <v>4477</v>
      </c>
      <c r="C1062" t="s">
        <v>33</v>
      </c>
      <c r="D1062" t="s">
        <v>20</v>
      </c>
      <c r="E1062" t="s">
        <v>21</v>
      </c>
      <c r="F1062" t="s">
        <v>22</v>
      </c>
      <c r="G1062" s="1">
        <v>45158</v>
      </c>
      <c r="H1062" s="1">
        <v>45163</v>
      </c>
      <c r="I1062" s="1">
        <v>45177</v>
      </c>
      <c r="J1062">
        <v>19</v>
      </c>
      <c r="K1062">
        <v>5</v>
      </c>
      <c r="L1062">
        <v>12</v>
      </c>
      <c r="M1062">
        <v>356.91</v>
      </c>
      <c r="N1062">
        <v>4282.92</v>
      </c>
      <c r="O1062">
        <v>0.04</v>
      </c>
      <c r="P1062">
        <v>171.32</v>
      </c>
      <c r="Q1062">
        <v>4111.6000000000004</v>
      </c>
      <c r="R1062">
        <v>2912.39</v>
      </c>
      <c r="S1062">
        <v>1199.21</v>
      </c>
    </row>
    <row r="1063" spans="1:19" x14ac:dyDescent="0.35">
      <c r="A1063">
        <v>101061</v>
      </c>
      <c r="B1063">
        <v>2884</v>
      </c>
      <c r="C1063" t="s">
        <v>33</v>
      </c>
      <c r="D1063" t="s">
        <v>31</v>
      </c>
      <c r="E1063" t="s">
        <v>26</v>
      </c>
      <c r="F1063" t="s">
        <v>44</v>
      </c>
      <c r="G1063" s="1">
        <v>45098</v>
      </c>
      <c r="H1063" s="1">
        <v>45103</v>
      </c>
      <c r="I1063" s="1">
        <v>45121</v>
      </c>
      <c r="J1063">
        <v>23</v>
      </c>
      <c r="K1063">
        <v>5</v>
      </c>
      <c r="L1063">
        <v>1</v>
      </c>
      <c r="M1063">
        <v>163.80000000000001</v>
      </c>
      <c r="N1063">
        <v>163.80000000000001</v>
      </c>
      <c r="O1063">
        <v>0.06</v>
      </c>
      <c r="P1063">
        <v>9.83</v>
      </c>
      <c r="Q1063">
        <v>153.97</v>
      </c>
      <c r="R1063">
        <v>119.57</v>
      </c>
      <c r="S1063">
        <v>34.4</v>
      </c>
    </row>
    <row r="1064" spans="1:19" x14ac:dyDescent="0.35">
      <c r="A1064">
        <v>101062</v>
      </c>
      <c r="B1064">
        <v>1168</v>
      </c>
      <c r="C1064" t="s">
        <v>19</v>
      </c>
      <c r="D1064" t="s">
        <v>31</v>
      </c>
      <c r="E1064" t="s">
        <v>26</v>
      </c>
      <c r="F1064" t="s">
        <v>27</v>
      </c>
      <c r="G1064" s="1">
        <v>45156</v>
      </c>
      <c r="H1064" s="1">
        <v>45159</v>
      </c>
      <c r="I1064" s="1">
        <v>45162</v>
      </c>
      <c r="J1064">
        <v>6</v>
      </c>
      <c r="K1064">
        <v>3</v>
      </c>
      <c r="L1064">
        <v>11</v>
      </c>
      <c r="M1064">
        <v>556.58000000000004</v>
      </c>
      <c r="N1064">
        <v>6122.38</v>
      </c>
      <c r="O1064">
        <v>0.06</v>
      </c>
      <c r="P1064">
        <v>367.34</v>
      </c>
      <c r="Q1064">
        <v>5755.04</v>
      </c>
      <c r="R1064">
        <v>4163.22</v>
      </c>
      <c r="S1064">
        <v>1591.82</v>
      </c>
    </row>
    <row r="1065" spans="1:19" x14ac:dyDescent="0.35">
      <c r="A1065">
        <v>101063</v>
      </c>
      <c r="B1065">
        <v>4137</v>
      </c>
      <c r="C1065" t="s">
        <v>23</v>
      </c>
      <c r="D1065" t="s">
        <v>20</v>
      </c>
      <c r="E1065" t="s">
        <v>24</v>
      </c>
      <c r="F1065" t="s">
        <v>32</v>
      </c>
      <c r="G1065" s="1">
        <v>45012</v>
      </c>
      <c r="H1065" s="1">
        <v>45014</v>
      </c>
      <c r="I1065" s="1">
        <v>45020</v>
      </c>
      <c r="J1065">
        <v>8</v>
      </c>
      <c r="K1065">
        <v>2</v>
      </c>
      <c r="L1065">
        <v>1</v>
      </c>
      <c r="M1065">
        <v>594.49</v>
      </c>
      <c r="N1065">
        <v>594.49</v>
      </c>
      <c r="O1065">
        <v>0.05</v>
      </c>
      <c r="P1065">
        <v>29.72</v>
      </c>
      <c r="Q1065">
        <v>564.77</v>
      </c>
      <c r="R1065">
        <v>362.64</v>
      </c>
      <c r="S1065">
        <v>202.13</v>
      </c>
    </row>
    <row r="1066" spans="1:19" x14ac:dyDescent="0.35">
      <c r="A1066">
        <v>101064</v>
      </c>
      <c r="B1066">
        <v>3465</v>
      </c>
      <c r="C1066" t="s">
        <v>23</v>
      </c>
      <c r="D1066" t="s">
        <v>20</v>
      </c>
      <c r="E1066" t="s">
        <v>21</v>
      </c>
      <c r="F1066" t="s">
        <v>39</v>
      </c>
      <c r="G1066" s="1">
        <v>45103</v>
      </c>
      <c r="H1066" s="1">
        <v>45105</v>
      </c>
      <c r="I1066" s="1">
        <v>45122</v>
      </c>
      <c r="J1066">
        <v>19</v>
      </c>
      <c r="K1066">
        <v>2</v>
      </c>
      <c r="L1066">
        <v>14</v>
      </c>
      <c r="M1066">
        <v>204.15</v>
      </c>
      <c r="N1066">
        <v>2858.1</v>
      </c>
      <c r="O1066">
        <v>0.15</v>
      </c>
      <c r="P1066">
        <v>428.72</v>
      </c>
      <c r="Q1066">
        <v>2429.38</v>
      </c>
      <c r="R1066">
        <v>1886.35</v>
      </c>
      <c r="S1066">
        <v>543.03</v>
      </c>
    </row>
    <row r="1067" spans="1:19" x14ac:dyDescent="0.35">
      <c r="A1067">
        <v>101065</v>
      </c>
      <c r="B1067">
        <v>3685</v>
      </c>
      <c r="C1067" t="s">
        <v>33</v>
      </c>
      <c r="D1067" t="s">
        <v>20</v>
      </c>
      <c r="E1067" t="s">
        <v>21</v>
      </c>
      <c r="F1067" t="s">
        <v>38</v>
      </c>
      <c r="G1067" s="1">
        <v>44979</v>
      </c>
      <c r="H1067" s="1">
        <v>44980</v>
      </c>
      <c r="I1067" s="1">
        <v>45007</v>
      </c>
      <c r="J1067">
        <v>28</v>
      </c>
      <c r="K1067">
        <v>1</v>
      </c>
      <c r="L1067">
        <v>10</v>
      </c>
      <c r="M1067">
        <v>687.4</v>
      </c>
      <c r="N1067">
        <v>6874</v>
      </c>
      <c r="O1067">
        <v>0.09</v>
      </c>
      <c r="P1067">
        <v>618.66</v>
      </c>
      <c r="Q1067">
        <v>6255.34</v>
      </c>
      <c r="R1067">
        <v>4330.62</v>
      </c>
      <c r="S1067">
        <v>1924.72</v>
      </c>
    </row>
    <row r="1068" spans="1:19" x14ac:dyDescent="0.35">
      <c r="A1068">
        <v>101066</v>
      </c>
      <c r="B1068">
        <v>1773</v>
      </c>
      <c r="C1068" t="s">
        <v>28</v>
      </c>
      <c r="D1068" t="s">
        <v>31</v>
      </c>
      <c r="E1068" t="s">
        <v>21</v>
      </c>
      <c r="F1068" t="s">
        <v>22</v>
      </c>
      <c r="G1068" s="1">
        <v>45088</v>
      </c>
      <c r="H1068" s="1">
        <v>45093</v>
      </c>
      <c r="I1068" s="1">
        <v>45100</v>
      </c>
      <c r="J1068">
        <v>12</v>
      </c>
      <c r="K1068">
        <v>5</v>
      </c>
      <c r="L1068">
        <v>5</v>
      </c>
      <c r="M1068">
        <v>180.04</v>
      </c>
      <c r="N1068">
        <v>900.2</v>
      </c>
      <c r="O1068">
        <v>0.04</v>
      </c>
      <c r="P1068">
        <v>36.01</v>
      </c>
      <c r="Q1068">
        <v>864.19</v>
      </c>
      <c r="R1068">
        <v>459.1</v>
      </c>
      <c r="S1068">
        <v>405.09</v>
      </c>
    </row>
    <row r="1069" spans="1:19" x14ac:dyDescent="0.35">
      <c r="A1069">
        <v>101067</v>
      </c>
      <c r="B1069">
        <v>3864</v>
      </c>
      <c r="C1069" t="s">
        <v>19</v>
      </c>
      <c r="D1069" t="s">
        <v>31</v>
      </c>
      <c r="E1069" t="s">
        <v>26</v>
      </c>
      <c r="F1069" t="s">
        <v>44</v>
      </c>
      <c r="G1069" s="1">
        <v>45148</v>
      </c>
      <c r="H1069" s="1">
        <v>45152</v>
      </c>
      <c r="I1069" s="1">
        <v>45153</v>
      </c>
      <c r="J1069">
        <v>5</v>
      </c>
      <c r="K1069">
        <v>4</v>
      </c>
      <c r="L1069">
        <v>6</v>
      </c>
      <c r="M1069">
        <v>206.46</v>
      </c>
      <c r="N1069">
        <v>1238.76</v>
      </c>
      <c r="O1069">
        <v>0.1</v>
      </c>
      <c r="P1069">
        <v>123.88</v>
      </c>
      <c r="Q1069">
        <v>1114.8800000000001</v>
      </c>
      <c r="R1069">
        <v>706.09</v>
      </c>
      <c r="S1069">
        <v>408.79</v>
      </c>
    </row>
    <row r="1070" spans="1:19" x14ac:dyDescent="0.35">
      <c r="A1070">
        <v>101068</v>
      </c>
      <c r="B1070">
        <v>2162</v>
      </c>
      <c r="C1070" t="s">
        <v>28</v>
      </c>
      <c r="D1070" t="s">
        <v>20</v>
      </c>
      <c r="E1070" t="s">
        <v>21</v>
      </c>
      <c r="F1070" t="s">
        <v>41</v>
      </c>
      <c r="G1070" s="1">
        <v>45065</v>
      </c>
      <c r="H1070" s="1">
        <v>45066</v>
      </c>
      <c r="I1070" s="1">
        <v>45089</v>
      </c>
      <c r="J1070">
        <v>24</v>
      </c>
      <c r="K1070">
        <v>1</v>
      </c>
      <c r="L1070">
        <v>1</v>
      </c>
      <c r="M1070">
        <v>170.4</v>
      </c>
      <c r="N1070">
        <v>170.4</v>
      </c>
      <c r="O1070">
        <v>0.02</v>
      </c>
      <c r="P1070">
        <v>3.41</v>
      </c>
      <c r="Q1070">
        <v>166.99</v>
      </c>
      <c r="R1070">
        <v>97.13</v>
      </c>
      <c r="S1070">
        <v>69.86</v>
      </c>
    </row>
    <row r="1071" spans="1:19" x14ac:dyDescent="0.35">
      <c r="A1071">
        <v>101069</v>
      </c>
      <c r="B1071">
        <v>1653</v>
      </c>
      <c r="C1071" t="s">
        <v>23</v>
      </c>
      <c r="D1071" t="s">
        <v>20</v>
      </c>
      <c r="E1071" t="s">
        <v>24</v>
      </c>
      <c r="F1071" t="s">
        <v>32</v>
      </c>
      <c r="G1071" s="1">
        <v>45175</v>
      </c>
      <c r="H1071" s="1">
        <v>45176</v>
      </c>
      <c r="I1071" s="1">
        <v>45204</v>
      </c>
      <c r="J1071">
        <v>29</v>
      </c>
      <c r="K1071">
        <v>1</v>
      </c>
      <c r="L1071">
        <v>9</v>
      </c>
      <c r="M1071">
        <v>795.7</v>
      </c>
      <c r="N1071">
        <v>7161.3</v>
      </c>
      <c r="O1071">
        <v>0.09</v>
      </c>
      <c r="P1071">
        <v>644.52</v>
      </c>
      <c r="Q1071">
        <v>6516.78</v>
      </c>
      <c r="R1071">
        <v>4153.55</v>
      </c>
      <c r="S1071">
        <v>2363.23</v>
      </c>
    </row>
    <row r="1072" spans="1:19" x14ac:dyDescent="0.35">
      <c r="A1072">
        <v>101070</v>
      </c>
      <c r="B1072">
        <v>1198</v>
      </c>
      <c r="C1072" t="s">
        <v>19</v>
      </c>
      <c r="D1072" t="s">
        <v>31</v>
      </c>
      <c r="E1072" t="s">
        <v>34</v>
      </c>
      <c r="F1072" t="s">
        <v>35</v>
      </c>
      <c r="G1072" s="1">
        <v>45074</v>
      </c>
      <c r="H1072" s="1">
        <v>45075</v>
      </c>
      <c r="I1072" s="1">
        <v>45087</v>
      </c>
      <c r="J1072">
        <v>13</v>
      </c>
      <c r="K1072">
        <v>1</v>
      </c>
      <c r="L1072">
        <v>2</v>
      </c>
      <c r="M1072">
        <v>130.07</v>
      </c>
      <c r="N1072">
        <v>260.14</v>
      </c>
      <c r="O1072">
        <v>0.11</v>
      </c>
      <c r="P1072">
        <v>28.62</v>
      </c>
      <c r="Q1072">
        <v>231.52</v>
      </c>
      <c r="R1072">
        <v>163.89</v>
      </c>
      <c r="S1072">
        <v>67.63</v>
      </c>
    </row>
    <row r="1073" spans="1:19" x14ac:dyDescent="0.35">
      <c r="A1073">
        <v>101071</v>
      </c>
      <c r="B1073">
        <v>2572</v>
      </c>
      <c r="C1073" t="s">
        <v>23</v>
      </c>
      <c r="D1073" t="s">
        <v>31</v>
      </c>
      <c r="E1073" t="s">
        <v>24</v>
      </c>
      <c r="F1073" t="s">
        <v>32</v>
      </c>
      <c r="G1073" s="1">
        <v>45016</v>
      </c>
      <c r="H1073" s="1">
        <v>45020</v>
      </c>
      <c r="I1073" s="1">
        <v>45034</v>
      </c>
      <c r="J1073">
        <v>18</v>
      </c>
      <c r="K1073">
        <v>4</v>
      </c>
      <c r="L1073">
        <v>7</v>
      </c>
      <c r="M1073">
        <v>401.23</v>
      </c>
      <c r="N1073">
        <v>2808.61</v>
      </c>
      <c r="O1073">
        <v>0.04</v>
      </c>
      <c r="P1073">
        <v>112.34</v>
      </c>
      <c r="Q1073">
        <v>2696.27</v>
      </c>
      <c r="R1073">
        <v>1881.77</v>
      </c>
      <c r="S1073">
        <v>814.5</v>
      </c>
    </row>
    <row r="1074" spans="1:19" x14ac:dyDescent="0.35">
      <c r="A1074">
        <v>101072</v>
      </c>
      <c r="B1074">
        <v>2942</v>
      </c>
      <c r="C1074" t="s">
        <v>28</v>
      </c>
      <c r="D1074" t="s">
        <v>20</v>
      </c>
      <c r="E1074" t="s">
        <v>34</v>
      </c>
      <c r="F1074" t="s">
        <v>35</v>
      </c>
      <c r="G1074" s="1">
        <v>45076</v>
      </c>
      <c r="H1074" s="1">
        <v>45077</v>
      </c>
      <c r="I1074" s="1">
        <v>45097</v>
      </c>
      <c r="J1074">
        <v>21</v>
      </c>
      <c r="K1074">
        <v>1</v>
      </c>
      <c r="L1074">
        <v>5</v>
      </c>
      <c r="M1074">
        <v>180.22</v>
      </c>
      <c r="N1074">
        <v>901.1</v>
      </c>
      <c r="O1074">
        <v>0</v>
      </c>
      <c r="P1074">
        <v>0</v>
      </c>
      <c r="Q1074">
        <v>901.1</v>
      </c>
      <c r="R1074">
        <v>639.78</v>
      </c>
      <c r="S1074">
        <v>261.32</v>
      </c>
    </row>
    <row r="1075" spans="1:19" x14ac:dyDescent="0.35">
      <c r="A1075">
        <v>101073</v>
      </c>
      <c r="B1075">
        <v>2382</v>
      </c>
      <c r="C1075" t="s">
        <v>33</v>
      </c>
      <c r="D1075" t="s">
        <v>29</v>
      </c>
      <c r="E1075" t="s">
        <v>26</v>
      </c>
      <c r="F1075" t="s">
        <v>44</v>
      </c>
      <c r="G1075" s="1">
        <v>45274</v>
      </c>
      <c r="H1075" s="1">
        <v>45277</v>
      </c>
      <c r="I1075" s="1">
        <v>45289</v>
      </c>
      <c r="J1075">
        <v>15</v>
      </c>
      <c r="K1075">
        <v>3</v>
      </c>
      <c r="L1075">
        <v>5</v>
      </c>
      <c r="M1075">
        <v>725.18</v>
      </c>
      <c r="N1075">
        <v>3625.9</v>
      </c>
      <c r="O1075">
        <v>0.03</v>
      </c>
      <c r="P1075">
        <v>108.78</v>
      </c>
      <c r="Q1075">
        <v>3517.12</v>
      </c>
      <c r="R1075">
        <v>2066.7600000000002</v>
      </c>
      <c r="S1075">
        <v>1450.36</v>
      </c>
    </row>
    <row r="1076" spans="1:19" x14ac:dyDescent="0.35">
      <c r="A1076">
        <v>101074</v>
      </c>
      <c r="B1076">
        <v>2708</v>
      </c>
      <c r="C1076" t="s">
        <v>19</v>
      </c>
      <c r="D1076" t="s">
        <v>20</v>
      </c>
      <c r="E1076" t="s">
        <v>26</v>
      </c>
      <c r="F1076" t="s">
        <v>36</v>
      </c>
      <c r="G1076" s="1">
        <v>45139</v>
      </c>
      <c r="H1076" s="1">
        <v>45143</v>
      </c>
      <c r="I1076" s="1">
        <v>45164</v>
      </c>
      <c r="J1076">
        <v>25</v>
      </c>
      <c r="K1076">
        <v>4</v>
      </c>
      <c r="L1076">
        <v>11</v>
      </c>
      <c r="M1076">
        <v>780.72</v>
      </c>
      <c r="N1076">
        <v>8587.92</v>
      </c>
      <c r="O1076">
        <v>0.01</v>
      </c>
      <c r="P1076">
        <v>85.88</v>
      </c>
      <c r="Q1076">
        <v>8502.0400000000009</v>
      </c>
      <c r="R1076">
        <v>4895.1099999999997</v>
      </c>
      <c r="S1076">
        <v>3606.93</v>
      </c>
    </row>
    <row r="1077" spans="1:19" x14ac:dyDescent="0.35">
      <c r="A1077">
        <v>101075</v>
      </c>
      <c r="B1077">
        <v>1442</v>
      </c>
      <c r="C1077" t="s">
        <v>23</v>
      </c>
      <c r="D1077" t="s">
        <v>29</v>
      </c>
      <c r="E1077" t="s">
        <v>21</v>
      </c>
      <c r="F1077" t="s">
        <v>39</v>
      </c>
      <c r="G1077" s="1">
        <v>45165</v>
      </c>
      <c r="H1077" s="1">
        <v>45170</v>
      </c>
      <c r="I1077" s="1">
        <v>45167</v>
      </c>
      <c r="J1077">
        <v>2</v>
      </c>
      <c r="K1077">
        <v>5</v>
      </c>
      <c r="L1077">
        <v>2</v>
      </c>
      <c r="M1077">
        <v>706</v>
      </c>
      <c r="N1077">
        <v>1412</v>
      </c>
      <c r="O1077">
        <v>0.13</v>
      </c>
      <c r="P1077">
        <v>183.56</v>
      </c>
      <c r="Q1077">
        <v>1228.44</v>
      </c>
      <c r="R1077">
        <v>818.96</v>
      </c>
      <c r="S1077">
        <v>409.48</v>
      </c>
    </row>
    <row r="1078" spans="1:19" x14ac:dyDescent="0.35">
      <c r="A1078">
        <v>101076</v>
      </c>
      <c r="B1078">
        <v>2456</v>
      </c>
      <c r="C1078" t="s">
        <v>33</v>
      </c>
      <c r="D1078" t="s">
        <v>31</v>
      </c>
      <c r="E1078" t="s">
        <v>26</v>
      </c>
      <c r="F1078" t="s">
        <v>37</v>
      </c>
      <c r="G1078" s="1">
        <v>44950</v>
      </c>
      <c r="H1078" s="1">
        <v>44954</v>
      </c>
      <c r="I1078" s="1">
        <v>44955</v>
      </c>
      <c r="J1078">
        <v>5</v>
      </c>
      <c r="K1078">
        <v>4</v>
      </c>
      <c r="L1078">
        <v>3</v>
      </c>
      <c r="M1078">
        <v>365.71</v>
      </c>
      <c r="N1078">
        <v>1097.1300000000001</v>
      </c>
      <c r="O1078">
        <v>0.11</v>
      </c>
      <c r="P1078">
        <v>120.68</v>
      </c>
      <c r="Q1078">
        <v>976.45</v>
      </c>
      <c r="R1078">
        <v>713.13</v>
      </c>
      <c r="S1078">
        <v>263.32</v>
      </c>
    </row>
    <row r="1079" spans="1:19" x14ac:dyDescent="0.35">
      <c r="A1079">
        <v>101077</v>
      </c>
      <c r="B1079">
        <v>2662</v>
      </c>
      <c r="C1079" t="s">
        <v>28</v>
      </c>
      <c r="D1079" t="s">
        <v>29</v>
      </c>
      <c r="E1079" t="s">
        <v>24</v>
      </c>
      <c r="F1079" t="s">
        <v>25</v>
      </c>
      <c r="G1079" s="1">
        <v>44930</v>
      </c>
      <c r="H1079" s="1">
        <v>44932</v>
      </c>
      <c r="I1079" s="1">
        <v>44949</v>
      </c>
      <c r="J1079">
        <v>19</v>
      </c>
      <c r="K1079">
        <v>2</v>
      </c>
      <c r="L1079">
        <v>13</v>
      </c>
      <c r="M1079">
        <v>22.05</v>
      </c>
      <c r="N1079">
        <v>286.64999999999998</v>
      </c>
      <c r="O1079">
        <v>0.1</v>
      </c>
      <c r="P1079">
        <v>28.67</v>
      </c>
      <c r="Q1079">
        <v>257.98</v>
      </c>
      <c r="R1079">
        <v>186.32</v>
      </c>
      <c r="S1079">
        <v>71.66</v>
      </c>
    </row>
    <row r="1080" spans="1:19" x14ac:dyDescent="0.35">
      <c r="A1080">
        <v>101078</v>
      </c>
      <c r="B1080">
        <v>3686</v>
      </c>
      <c r="C1080" t="s">
        <v>33</v>
      </c>
      <c r="D1080" t="s">
        <v>20</v>
      </c>
      <c r="E1080" t="s">
        <v>21</v>
      </c>
      <c r="F1080" t="s">
        <v>39</v>
      </c>
      <c r="G1080" s="1">
        <v>45209</v>
      </c>
      <c r="H1080" s="1">
        <v>45211</v>
      </c>
      <c r="I1080" s="1">
        <v>45216</v>
      </c>
      <c r="J1080">
        <v>7</v>
      </c>
      <c r="K1080">
        <v>2</v>
      </c>
      <c r="L1080">
        <v>14</v>
      </c>
      <c r="M1080">
        <v>440.07</v>
      </c>
      <c r="N1080">
        <v>6160.98</v>
      </c>
      <c r="O1080">
        <v>0.17</v>
      </c>
      <c r="P1080">
        <v>1047.3699999999999</v>
      </c>
      <c r="Q1080">
        <v>5113.6099999999997</v>
      </c>
      <c r="R1080">
        <v>3573.37</v>
      </c>
      <c r="S1080">
        <v>1540.24</v>
      </c>
    </row>
    <row r="1081" spans="1:19" x14ac:dyDescent="0.35">
      <c r="A1081">
        <v>101079</v>
      </c>
      <c r="B1081">
        <v>2152</v>
      </c>
      <c r="C1081" t="s">
        <v>33</v>
      </c>
      <c r="D1081" t="s">
        <v>31</v>
      </c>
      <c r="E1081" t="s">
        <v>26</v>
      </c>
      <c r="F1081" t="s">
        <v>36</v>
      </c>
      <c r="G1081" s="1">
        <v>45032</v>
      </c>
      <c r="H1081" s="1">
        <v>45037</v>
      </c>
      <c r="I1081" s="1">
        <v>45045</v>
      </c>
      <c r="J1081">
        <v>13</v>
      </c>
      <c r="K1081">
        <v>5</v>
      </c>
      <c r="L1081">
        <v>7</v>
      </c>
      <c r="M1081">
        <v>781.24</v>
      </c>
      <c r="N1081">
        <v>5468.68</v>
      </c>
      <c r="O1081">
        <v>0.03</v>
      </c>
      <c r="P1081">
        <v>164.06</v>
      </c>
      <c r="Q1081">
        <v>5304.62</v>
      </c>
      <c r="R1081">
        <v>3226.52</v>
      </c>
      <c r="S1081">
        <v>2078.1</v>
      </c>
    </row>
    <row r="1082" spans="1:19" x14ac:dyDescent="0.35">
      <c r="A1082">
        <v>101080</v>
      </c>
      <c r="B1082">
        <v>4902</v>
      </c>
      <c r="C1082" t="s">
        <v>19</v>
      </c>
      <c r="D1082" t="s">
        <v>31</v>
      </c>
      <c r="E1082" t="s">
        <v>21</v>
      </c>
      <c r="F1082" t="s">
        <v>39</v>
      </c>
      <c r="G1082" s="1">
        <v>45205</v>
      </c>
      <c r="H1082" s="1">
        <v>45210</v>
      </c>
      <c r="I1082" s="1">
        <v>45213</v>
      </c>
      <c r="J1082">
        <v>8</v>
      </c>
      <c r="K1082">
        <v>5</v>
      </c>
      <c r="L1082">
        <v>1</v>
      </c>
      <c r="M1082">
        <v>424.01</v>
      </c>
      <c r="N1082">
        <v>424.01</v>
      </c>
      <c r="O1082">
        <v>0.1</v>
      </c>
      <c r="P1082">
        <v>42.4</v>
      </c>
      <c r="Q1082">
        <v>381.61</v>
      </c>
      <c r="R1082">
        <v>258.64999999999998</v>
      </c>
      <c r="S1082">
        <v>122.96</v>
      </c>
    </row>
    <row r="1083" spans="1:19" x14ac:dyDescent="0.35">
      <c r="A1083">
        <v>101081</v>
      </c>
      <c r="B1083">
        <v>2734</v>
      </c>
      <c r="C1083" t="s">
        <v>23</v>
      </c>
      <c r="D1083" t="s">
        <v>29</v>
      </c>
      <c r="E1083" t="s">
        <v>21</v>
      </c>
      <c r="F1083" t="s">
        <v>38</v>
      </c>
      <c r="G1083" s="1">
        <v>45285</v>
      </c>
      <c r="H1083" s="1">
        <v>45287</v>
      </c>
      <c r="I1083" s="1">
        <v>45290</v>
      </c>
      <c r="J1083">
        <v>5</v>
      </c>
      <c r="K1083">
        <v>2</v>
      </c>
      <c r="L1083">
        <v>7</v>
      </c>
      <c r="M1083">
        <v>321.24</v>
      </c>
      <c r="N1083">
        <v>2248.6799999999998</v>
      </c>
      <c r="O1083">
        <v>0.09</v>
      </c>
      <c r="P1083">
        <v>202.38</v>
      </c>
      <c r="Q1083">
        <v>2046.3</v>
      </c>
      <c r="R1083">
        <v>1416.67</v>
      </c>
      <c r="S1083">
        <v>629.63</v>
      </c>
    </row>
    <row r="1084" spans="1:19" x14ac:dyDescent="0.35">
      <c r="A1084">
        <v>101082</v>
      </c>
      <c r="B1084">
        <v>1883</v>
      </c>
      <c r="C1084" t="s">
        <v>19</v>
      </c>
      <c r="D1084" t="s">
        <v>31</v>
      </c>
      <c r="E1084" t="s">
        <v>26</v>
      </c>
      <c r="F1084" t="s">
        <v>27</v>
      </c>
      <c r="G1084" s="1">
        <v>45020</v>
      </c>
      <c r="H1084" s="1">
        <v>45021</v>
      </c>
      <c r="I1084" s="1">
        <v>45049</v>
      </c>
      <c r="J1084">
        <v>29</v>
      </c>
      <c r="K1084">
        <v>1</v>
      </c>
      <c r="L1084">
        <v>7</v>
      </c>
      <c r="M1084">
        <v>642.66999999999996</v>
      </c>
      <c r="N1084">
        <v>4498.6899999999996</v>
      </c>
      <c r="O1084">
        <v>0.05</v>
      </c>
      <c r="P1084">
        <v>224.93</v>
      </c>
      <c r="Q1084">
        <v>4273.76</v>
      </c>
      <c r="R1084">
        <v>2834.17</v>
      </c>
      <c r="S1084">
        <v>1439.59</v>
      </c>
    </row>
    <row r="1085" spans="1:19" x14ac:dyDescent="0.35">
      <c r="A1085">
        <v>101083</v>
      </c>
      <c r="B1085">
        <v>4082</v>
      </c>
      <c r="C1085" t="s">
        <v>23</v>
      </c>
      <c r="D1085" t="s">
        <v>20</v>
      </c>
      <c r="E1085" t="s">
        <v>26</v>
      </c>
      <c r="F1085" t="s">
        <v>44</v>
      </c>
      <c r="G1085" s="1">
        <v>44953</v>
      </c>
      <c r="H1085" s="1">
        <v>44957</v>
      </c>
      <c r="I1085" s="1">
        <v>44969</v>
      </c>
      <c r="J1085">
        <v>16</v>
      </c>
      <c r="K1085">
        <v>4</v>
      </c>
      <c r="L1085">
        <v>7</v>
      </c>
      <c r="M1085">
        <v>594.04999999999995</v>
      </c>
      <c r="N1085">
        <v>4158.3500000000004</v>
      </c>
      <c r="O1085">
        <v>0.1</v>
      </c>
      <c r="P1085">
        <v>415.84</v>
      </c>
      <c r="Q1085">
        <v>3742.51</v>
      </c>
      <c r="R1085">
        <v>2702.93</v>
      </c>
      <c r="S1085">
        <v>1039.58</v>
      </c>
    </row>
    <row r="1086" spans="1:19" x14ac:dyDescent="0.35">
      <c r="A1086">
        <v>101084</v>
      </c>
      <c r="B1086">
        <v>4382</v>
      </c>
      <c r="C1086" t="s">
        <v>19</v>
      </c>
      <c r="D1086" t="s">
        <v>31</v>
      </c>
      <c r="E1086" t="s">
        <v>24</v>
      </c>
      <c r="F1086" t="s">
        <v>42</v>
      </c>
      <c r="G1086" s="1">
        <v>45012</v>
      </c>
      <c r="H1086" s="1">
        <v>45016</v>
      </c>
      <c r="I1086" s="1">
        <v>45038</v>
      </c>
      <c r="J1086">
        <v>26</v>
      </c>
      <c r="K1086">
        <v>4</v>
      </c>
      <c r="L1086">
        <v>12</v>
      </c>
      <c r="M1086">
        <v>331.7</v>
      </c>
      <c r="N1086">
        <v>3980.4</v>
      </c>
      <c r="O1086">
        <v>0.18</v>
      </c>
      <c r="P1086">
        <v>716.47</v>
      </c>
      <c r="Q1086">
        <v>3263.93</v>
      </c>
      <c r="R1086">
        <v>2109.61</v>
      </c>
      <c r="S1086">
        <v>1154.32</v>
      </c>
    </row>
    <row r="1087" spans="1:19" x14ac:dyDescent="0.35">
      <c r="A1087">
        <v>101085</v>
      </c>
      <c r="B1087">
        <v>4615</v>
      </c>
      <c r="C1087" t="s">
        <v>23</v>
      </c>
      <c r="D1087" t="s">
        <v>31</v>
      </c>
      <c r="E1087" t="s">
        <v>24</v>
      </c>
      <c r="F1087" t="s">
        <v>32</v>
      </c>
      <c r="G1087" s="1">
        <v>45274</v>
      </c>
      <c r="H1087" s="1">
        <v>45277</v>
      </c>
      <c r="I1087" s="1">
        <v>45280</v>
      </c>
      <c r="J1087">
        <v>6</v>
      </c>
      <c r="K1087">
        <v>3</v>
      </c>
      <c r="L1087">
        <v>10</v>
      </c>
      <c r="M1087">
        <v>522.83000000000004</v>
      </c>
      <c r="N1087">
        <v>5228.3</v>
      </c>
      <c r="O1087">
        <v>0</v>
      </c>
      <c r="P1087">
        <v>0</v>
      </c>
      <c r="Q1087">
        <v>5228.3</v>
      </c>
      <c r="R1087">
        <v>3502.96</v>
      </c>
      <c r="S1087">
        <v>1725.34</v>
      </c>
    </row>
    <row r="1088" spans="1:19" x14ac:dyDescent="0.35">
      <c r="A1088">
        <v>101086</v>
      </c>
      <c r="B1088">
        <v>1066</v>
      </c>
      <c r="C1088" t="s">
        <v>33</v>
      </c>
      <c r="D1088" t="s">
        <v>29</v>
      </c>
      <c r="E1088" t="s">
        <v>26</v>
      </c>
      <c r="F1088" t="s">
        <v>27</v>
      </c>
      <c r="G1088" s="1">
        <v>45249</v>
      </c>
      <c r="H1088" s="1">
        <v>45250</v>
      </c>
      <c r="I1088" s="1">
        <v>45270</v>
      </c>
      <c r="J1088">
        <v>21</v>
      </c>
      <c r="K1088">
        <v>1</v>
      </c>
      <c r="L1088">
        <v>1</v>
      </c>
      <c r="M1088">
        <v>120.32</v>
      </c>
      <c r="N1088">
        <v>120.32</v>
      </c>
      <c r="O1088">
        <v>0.12</v>
      </c>
      <c r="P1088">
        <v>14.44</v>
      </c>
      <c r="Q1088">
        <v>105.88</v>
      </c>
      <c r="R1088">
        <v>77</v>
      </c>
      <c r="S1088">
        <v>28.88</v>
      </c>
    </row>
    <row r="1089" spans="1:19" x14ac:dyDescent="0.35">
      <c r="A1089">
        <v>101087</v>
      </c>
      <c r="B1089">
        <v>4792</v>
      </c>
      <c r="C1089" t="s">
        <v>33</v>
      </c>
      <c r="D1089" t="s">
        <v>29</v>
      </c>
      <c r="E1089" t="s">
        <v>26</v>
      </c>
      <c r="F1089" t="s">
        <v>27</v>
      </c>
      <c r="G1089" s="1">
        <v>45286</v>
      </c>
      <c r="H1089" s="1">
        <v>45288</v>
      </c>
      <c r="I1089" s="1">
        <v>45290</v>
      </c>
      <c r="J1089">
        <v>4</v>
      </c>
      <c r="K1089">
        <v>2</v>
      </c>
      <c r="L1089">
        <v>14</v>
      </c>
      <c r="M1089">
        <v>606.08000000000004</v>
      </c>
      <c r="N1089">
        <v>8485.1200000000008</v>
      </c>
      <c r="O1089">
        <v>0.12</v>
      </c>
      <c r="P1089">
        <v>1018.21</v>
      </c>
      <c r="Q1089">
        <v>7466.91</v>
      </c>
      <c r="R1089">
        <v>3988.01</v>
      </c>
      <c r="S1089">
        <v>3478.9</v>
      </c>
    </row>
    <row r="1090" spans="1:19" x14ac:dyDescent="0.35">
      <c r="A1090">
        <v>101088</v>
      </c>
      <c r="B1090">
        <v>3344</v>
      </c>
      <c r="C1090" t="s">
        <v>28</v>
      </c>
      <c r="D1090" t="s">
        <v>31</v>
      </c>
      <c r="E1090" t="s">
        <v>26</v>
      </c>
      <c r="F1090" t="s">
        <v>36</v>
      </c>
      <c r="G1090" s="1">
        <v>45014</v>
      </c>
      <c r="H1090" s="1">
        <v>45015</v>
      </c>
      <c r="I1090" s="1">
        <v>45027</v>
      </c>
      <c r="J1090">
        <v>13</v>
      </c>
      <c r="K1090">
        <v>1</v>
      </c>
      <c r="L1090">
        <v>7</v>
      </c>
      <c r="M1090">
        <v>733.2</v>
      </c>
      <c r="N1090">
        <v>5132.3999999999996</v>
      </c>
      <c r="O1090">
        <v>0</v>
      </c>
      <c r="P1090">
        <v>0</v>
      </c>
      <c r="Q1090">
        <v>5132.3999999999996</v>
      </c>
      <c r="R1090">
        <v>2976.79</v>
      </c>
      <c r="S1090">
        <v>2155.61</v>
      </c>
    </row>
    <row r="1091" spans="1:19" x14ac:dyDescent="0.35">
      <c r="A1091">
        <v>101089</v>
      </c>
      <c r="B1091">
        <v>4851</v>
      </c>
      <c r="C1091" t="s">
        <v>28</v>
      </c>
      <c r="D1091" t="s">
        <v>20</v>
      </c>
      <c r="E1091" t="s">
        <v>26</v>
      </c>
      <c r="F1091" t="s">
        <v>27</v>
      </c>
      <c r="G1091" s="1">
        <v>44989</v>
      </c>
      <c r="H1091" s="1">
        <v>44990</v>
      </c>
      <c r="I1091" s="1">
        <v>45001</v>
      </c>
      <c r="J1091">
        <v>12</v>
      </c>
      <c r="K1091">
        <v>1</v>
      </c>
      <c r="L1091">
        <v>2</v>
      </c>
      <c r="M1091">
        <v>106.93</v>
      </c>
      <c r="N1091">
        <v>213.86</v>
      </c>
      <c r="O1091">
        <v>0.1</v>
      </c>
      <c r="P1091">
        <v>21.39</v>
      </c>
      <c r="Q1091">
        <v>192.47</v>
      </c>
      <c r="R1091">
        <v>132.59</v>
      </c>
      <c r="S1091">
        <v>59.88</v>
      </c>
    </row>
    <row r="1092" spans="1:19" x14ac:dyDescent="0.35">
      <c r="A1092">
        <v>101090</v>
      </c>
      <c r="B1092">
        <v>4079</v>
      </c>
      <c r="C1092" t="s">
        <v>23</v>
      </c>
      <c r="D1092" t="s">
        <v>20</v>
      </c>
      <c r="E1092" t="s">
        <v>24</v>
      </c>
      <c r="F1092" t="s">
        <v>25</v>
      </c>
      <c r="G1092" s="1">
        <v>45282</v>
      </c>
      <c r="H1092" s="1">
        <v>45285</v>
      </c>
      <c r="I1092" s="1">
        <v>45304</v>
      </c>
      <c r="J1092">
        <v>22</v>
      </c>
      <c r="K1092">
        <v>3</v>
      </c>
      <c r="L1092">
        <v>5</v>
      </c>
      <c r="M1092">
        <v>290.33999999999997</v>
      </c>
      <c r="N1092">
        <v>1451.7</v>
      </c>
      <c r="O1092">
        <v>0.04</v>
      </c>
      <c r="P1092">
        <v>58.07</v>
      </c>
      <c r="Q1092">
        <v>1393.63</v>
      </c>
      <c r="R1092">
        <v>885.54</v>
      </c>
      <c r="S1092">
        <v>508.09</v>
      </c>
    </row>
    <row r="1093" spans="1:19" x14ac:dyDescent="0.35">
      <c r="A1093">
        <v>101091</v>
      </c>
      <c r="B1093">
        <v>1689</v>
      </c>
      <c r="C1093" t="s">
        <v>19</v>
      </c>
      <c r="D1093" t="s">
        <v>29</v>
      </c>
      <c r="E1093" t="s">
        <v>21</v>
      </c>
      <c r="F1093" t="s">
        <v>22</v>
      </c>
      <c r="G1093" s="1">
        <v>45201</v>
      </c>
      <c r="H1093" s="1">
        <v>45206</v>
      </c>
      <c r="I1093" s="1">
        <v>45216</v>
      </c>
      <c r="J1093">
        <v>15</v>
      </c>
      <c r="K1093">
        <v>5</v>
      </c>
      <c r="L1093">
        <v>2</v>
      </c>
      <c r="M1093">
        <v>507.01</v>
      </c>
      <c r="N1093">
        <v>1014.02</v>
      </c>
      <c r="O1093">
        <v>0.14000000000000001</v>
      </c>
      <c r="P1093">
        <v>141.96</v>
      </c>
      <c r="Q1093">
        <v>872.06</v>
      </c>
      <c r="R1093">
        <v>628.69000000000005</v>
      </c>
      <c r="S1093">
        <v>243.37</v>
      </c>
    </row>
    <row r="1094" spans="1:19" x14ac:dyDescent="0.35">
      <c r="A1094">
        <v>101092</v>
      </c>
      <c r="B1094">
        <v>3737</v>
      </c>
      <c r="C1094" t="s">
        <v>19</v>
      </c>
      <c r="D1094" t="s">
        <v>20</v>
      </c>
      <c r="E1094" t="s">
        <v>26</v>
      </c>
      <c r="F1094" t="s">
        <v>44</v>
      </c>
      <c r="G1094" s="1">
        <v>45214</v>
      </c>
      <c r="H1094" s="1">
        <v>45217</v>
      </c>
      <c r="I1094" s="1">
        <v>45234</v>
      </c>
      <c r="J1094">
        <v>20</v>
      </c>
      <c r="K1094">
        <v>3</v>
      </c>
      <c r="L1094">
        <v>13</v>
      </c>
      <c r="M1094">
        <v>713.48</v>
      </c>
      <c r="N1094">
        <v>9275.24</v>
      </c>
      <c r="O1094">
        <v>0.01</v>
      </c>
      <c r="P1094">
        <v>92.75</v>
      </c>
      <c r="Q1094">
        <v>9182.49</v>
      </c>
      <c r="R1094">
        <v>5750.65</v>
      </c>
      <c r="S1094">
        <v>3431.84</v>
      </c>
    </row>
    <row r="1095" spans="1:19" x14ac:dyDescent="0.35">
      <c r="A1095">
        <v>101093</v>
      </c>
      <c r="B1095">
        <v>4457</v>
      </c>
      <c r="C1095" t="s">
        <v>33</v>
      </c>
      <c r="D1095" t="s">
        <v>29</v>
      </c>
      <c r="E1095" t="s">
        <v>24</v>
      </c>
      <c r="F1095" t="s">
        <v>32</v>
      </c>
      <c r="G1095" s="1">
        <v>45151</v>
      </c>
      <c r="H1095" s="1">
        <v>45156</v>
      </c>
      <c r="I1095" s="1">
        <v>45164</v>
      </c>
      <c r="J1095">
        <v>13</v>
      </c>
      <c r="K1095">
        <v>5</v>
      </c>
      <c r="L1095">
        <v>7</v>
      </c>
      <c r="M1095">
        <v>231.77</v>
      </c>
      <c r="N1095">
        <v>1622.39</v>
      </c>
      <c r="O1095">
        <v>0.06</v>
      </c>
      <c r="P1095">
        <v>97.34</v>
      </c>
      <c r="Q1095">
        <v>1525.05</v>
      </c>
      <c r="R1095">
        <v>989.66</v>
      </c>
      <c r="S1095">
        <v>535.39</v>
      </c>
    </row>
    <row r="1096" spans="1:19" x14ac:dyDescent="0.35">
      <c r="A1096">
        <v>101094</v>
      </c>
      <c r="B1096">
        <v>2156</v>
      </c>
      <c r="C1096" t="s">
        <v>19</v>
      </c>
      <c r="D1096" t="s">
        <v>20</v>
      </c>
      <c r="E1096" t="s">
        <v>34</v>
      </c>
      <c r="F1096" t="s">
        <v>35</v>
      </c>
      <c r="G1096" s="1">
        <v>45006</v>
      </c>
      <c r="H1096" s="1">
        <v>45011</v>
      </c>
      <c r="I1096" s="1">
        <v>45028</v>
      </c>
      <c r="J1096">
        <v>22</v>
      </c>
      <c r="K1096">
        <v>5</v>
      </c>
      <c r="L1096">
        <v>8</v>
      </c>
      <c r="M1096">
        <v>149.6</v>
      </c>
      <c r="N1096">
        <v>1196.8</v>
      </c>
      <c r="O1096">
        <v>0.12</v>
      </c>
      <c r="P1096">
        <v>143.62</v>
      </c>
      <c r="Q1096">
        <v>1053.18</v>
      </c>
      <c r="R1096">
        <v>777.92</v>
      </c>
      <c r="S1096">
        <v>275.26</v>
      </c>
    </row>
    <row r="1097" spans="1:19" x14ac:dyDescent="0.35">
      <c r="A1097">
        <v>101095</v>
      </c>
      <c r="B1097">
        <v>2242</v>
      </c>
      <c r="C1097" t="s">
        <v>19</v>
      </c>
      <c r="D1097" t="s">
        <v>29</v>
      </c>
      <c r="E1097" t="s">
        <v>21</v>
      </c>
      <c r="F1097" t="s">
        <v>41</v>
      </c>
      <c r="G1097" s="1">
        <v>45291</v>
      </c>
      <c r="H1097" s="1">
        <v>45293</v>
      </c>
      <c r="I1097" s="1">
        <v>45314</v>
      </c>
      <c r="J1097">
        <v>23</v>
      </c>
      <c r="K1097">
        <v>2</v>
      </c>
      <c r="L1097">
        <v>13</v>
      </c>
      <c r="M1097">
        <v>711.01</v>
      </c>
      <c r="N1097">
        <v>9243.1299999999992</v>
      </c>
      <c r="O1097">
        <v>0.03</v>
      </c>
      <c r="P1097">
        <v>277.29000000000002</v>
      </c>
      <c r="Q1097">
        <v>8965.84</v>
      </c>
      <c r="R1097">
        <v>5453.45</v>
      </c>
      <c r="S1097">
        <v>3512.39</v>
      </c>
    </row>
    <row r="1098" spans="1:19" x14ac:dyDescent="0.35">
      <c r="A1098">
        <v>101096</v>
      </c>
      <c r="B1098">
        <v>1649</v>
      </c>
      <c r="C1098" t="s">
        <v>33</v>
      </c>
      <c r="D1098" t="s">
        <v>29</v>
      </c>
      <c r="E1098" t="s">
        <v>21</v>
      </c>
      <c r="F1098" t="s">
        <v>41</v>
      </c>
      <c r="G1098" s="1">
        <v>45033</v>
      </c>
      <c r="H1098" s="1">
        <v>45038</v>
      </c>
      <c r="I1098" s="1">
        <v>45036</v>
      </c>
      <c r="J1098">
        <v>3</v>
      </c>
      <c r="K1098">
        <v>5</v>
      </c>
      <c r="L1098">
        <v>8</v>
      </c>
      <c r="M1098">
        <v>122.69</v>
      </c>
      <c r="N1098">
        <v>981.52</v>
      </c>
      <c r="O1098">
        <v>0</v>
      </c>
      <c r="P1098">
        <v>0</v>
      </c>
      <c r="Q1098">
        <v>981.52</v>
      </c>
      <c r="R1098">
        <v>687.06</v>
      </c>
      <c r="S1098">
        <v>294.45999999999998</v>
      </c>
    </row>
    <row r="1099" spans="1:19" x14ac:dyDescent="0.35">
      <c r="A1099">
        <v>101097</v>
      </c>
      <c r="B1099">
        <v>2879</v>
      </c>
      <c r="C1099" t="s">
        <v>19</v>
      </c>
      <c r="D1099" t="s">
        <v>20</v>
      </c>
      <c r="E1099" t="s">
        <v>26</v>
      </c>
      <c r="F1099" t="s">
        <v>37</v>
      </c>
      <c r="G1099" s="1">
        <v>45213</v>
      </c>
      <c r="H1099" s="1">
        <v>45217</v>
      </c>
      <c r="I1099" s="1">
        <v>45228</v>
      </c>
      <c r="J1099">
        <v>15</v>
      </c>
      <c r="K1099">
        <v>4</v>
      </c>
      <c r="L1099">
        <v>11</v>
      </c>
      <c r="M1099">
        <v>696.45</v>
      </c>
      <c r="N1099">
        <v>7660.95</v>
      </c>
      <c r="O1099">
        <v>0.15</v>
      </c>
      <c r="P1099">
        <v>1149.1400000000001</v>
      </c>
      <c r="Q1099">
        <v>6511.81</v>
      </c>
      <c r="R1099">
        <v>4596.57</v>
      </c>
      <c r="S1099">
        <v>1915.24</v>
      </c>
    </row>
    <row r="1100" spans="1:19" x14ac:dyDescent="0.35">
      <c r="A1100">
        <v>101098</v>
      </c>
      <c r="B1100">
        <v>1105</v>
      </c>
      <c r="C1100" t="s">
        <v>23</v>
      </c>
      <c r="D1100" t="s">
        <v>20</v>
      </c>
      <c r="E1100" t="s">
        <v>21</v>
      </c>
      <c r="F1100" t="s">
        <v>39</v>
      </c>
      <c r="G1100" s="1">
        <v>45198</v>
      </c>
      <c r="H1100" s="1">
        <v>45199</v>
      </c>
      <c r="I1100" s="1">
        <v>45227</v>
      </c>
      <c r="J1100">
        <v>29</v>
      </c>
      <c r="K1100">
        <v>1</v>
      </c>
      <c r="L1100">
        <v>13</v>
      </c>
      <c r="M1100">
        <v>108.85</v>
      </c>
      <c r="N1100">
        <v>1415.05</v>
      </c>
      <c r="O1100">
        <v>0.16</v>
      </c>
      <c r="P1100">
        <v>226.41</v>
      </c>
      <c r="Q1100">
        <v>1188.6400000000001</v>
      </c>
      <c r="R1100">
        <v>905.63</v>
      </c>
      <c r="S1100">
        <v>283.01</v>
      </c>
    </row>
    <row r="1101" spans="1:19" x14ac:dyDescent="0.35">
      <c r="A1101">
        <v>101099</v>
      </c>
      <c r="B1101">
        <v>1611</v>
      </c>
      <c r="C1101" t="s">
        <v>19</v>
      </c>
      <c r="D1101" t="s">
        <v>29</v>
      </c>
      <c r="E1101" t="s">
        <v>21</v>
      </c>
      <c r="F1101" t="s">
        <v>22</v>
      </c>
      <c r="G1101" s="1">
        <v>45128</v>
      </c>
      <c r="H1101" s="1">
        <v>45132</v>
      </c>
      <c r="I1101" s="1">
        <v>45149</v>
      </c>
      <c r="J1101">
        <v>21</v>
      </c>
      <c r="K1101">
        <v>4</v>
      </c>
      <c r="L1101">
        <v>4</v>
      </c>
      <c r="M1101">
        <v>147.53</v>
      </c>
      <c r="N1101">
        <v>590.12</v>
      </c>
      <c r="O1101">
        <v>0.11</v>
      </c>
      <c r="P1101">
        <v>64.91</v>
      </c>
      <c r="Q1101">
        <v>525.21</v>
      </c>
      <c r="R1101">
        <v>377.68</v>
      </c>
      <c r="S1101">
        <v>147.53</v>
      </c>
    </row>
    <row r="1102" spans="1:19" x14ac:dyDescent="0.35">
      <c r="A1102">
        <v>101100</v>
      </c>
      <c r="B1102">
        <v>1304</v>
      </c>
      <c r="C1102" t="s">
        <v>28</v>
      </c>
      <c r="D1102" t="s">
        <v>31</v>
      </c>
      <c r="E1102" t="s">
        <v>26</v>
      </c>
      <c r="F1102" t="s">
        <v>37</v>
      </c>
      <c r="G1102" s="1">
        <v>44962</v>
      </c>
      <c r="H1102" s="1">
        <v>44967</v>
      </c>
      <c r="I1102" s="1">
        <v>44974</v>
      </c>
      <c r="J1102">
        <v>12</v>
      </c>
      <c r="K1102">
        <v>5</v>
      </c>
      <c r="L1102">
        <v>8</v>
      </c>
      <c r="M1102">
        <v>714.14</v>
      </c>
      <c r="N1102">
        <v>5713.12</v>
      </c>
      <c r="O1102">
        <v>0.08</v>
      </c>
      <c r="P1102">
        <v>457.05</v>
      </c>
      <c r="Q1102">
        <v>5256.07</v>
      </c>
      <c r="R1102">
        <v>3370.74</v>
      </c>
      <c r="S1102">
        <v>1885.33</v>
      </c>
    </row>
    <row r="1103" spans="1:19" x14ac:dyDescent="0.35">
      <c r="A1103">
        <v>101101</v>
      </c>
      <c r="B1103">
        <v>2068</v>
      </c>
      <c r="C1103" t="s">
        <v>28</v>
      </c>
      <c r="D1103" t="s">
        <v>31</v>
      </c>
      <c r="E1103" t="s">
        <v>21</v>
      </c>
      <c r="F1103" t="s">
        <v>22</v>
      </c>
      <c r="G1103" s="1">
        <v>45071</v>
      </c>
      <c r="H1103" s="1">
        <v>45074</v>
      </c>
      <c r="I1103" s="1">
        <v>45087</v>
      </c>
      <c r="J1103">
        <v>16</v>
      </c>
      <c r="K1103">
        <v>3</v>
      </c>
      <c r="L1103">
        <v>1</v>
      </c>
      <c r="M1103">
        <v>134.34</v>
      </c>
      <c r="N1103">
        <v>134.34</v>
      </c>
      <c r="O1103">
        <v>0.08</v>
      </c>
      <c r="P1103">
        <v>10.75</v>
      </c>
      <c r="Q1103">
        <v>123.59</v>
      </c>
      <c r="R1103">
        <v>83.29</v>
      </c>
      <c r="S1103">
        <v>40.299999999999997</v>
      </c>
    </row>
    <row r="1104" spans="1:19" x14ac:dyDescent="0.35">
      <c r="A1104">
        <v>101102</v>
      </c>
      <c r="B1104">
        <v>4989</v>
      </c>
      <c r="C1104" t="s">
        <v>33</v>
      </c>
      <c r="D1104" t="s">
        <v>20</v>
      </c>
      <c r="E1104" t="s">
        <v>26</v>
      </c>
      <c r="F1104" t="s">
        <v>44</v>
      </c>
      <c r="G1104" s="1">
        <v>45232</v>
      </c>
      <c r="H1104" s="1">
        <v>45235</v>
      </c>
      <c r="I1104" s="1">
        <v>45234</v>
      </c>
      <c r="J1104">
        <v>2</v>
      </c>
      <c r="K1104">
        <v>3</v>
      </c>
      <c r="L1104">
        <v>2</v>
      </c>
      <c r="M1104">
        <v>166.73</v>
      </c>
      <c r="N1104">
        <v>333.46</v>
      </c>
      <c r="O1104">
        <v>0.03</v>
      </c>
      <c r="P1104">
        <v>10</v>
      </c>
      <c r="Q1104">
        <v>323.45999999999998</v>
      </c>
      <c r="R1104">
        <v>190.07</v>
      </c>
      <c r="S1104">
        <v>133.38999999999999</v>
      </c>
    </row>
    <row r="1105" spans="1:19" x14ac:dyDescent="0.35">
      <c r="A1105">
        <v>101103</v>
      </c>
      <c r="B1105">
        <v>1614</v>
      </c>
      <c r="C1105" t="s">
        <v>23</v>
      </c>
      <c r="D1105" t="s">
        <v>20</v>
      </c>
      <c r="E1105" t="s">
        <v>26</v>
      </c>
      <c r="F1105" t="s">
        <v>44</v>
      </c>
      <c r="G1105" s="1">
        <v>45087</v>
      </c>
      <c r="H1105" s="1">
        <v>45090</v>
      </c>
      <c r="I1105" s="1">
        <v>45114</v>
      </c>
      <c r="J1105">
        <v>27</v>
      </c>
      <c r="K1105">
        <v>3</v>
      </c>
      <c r="L1105">
        <v>13</v>
      </c>
      <c r="M1105">
        <v>364.14</v>
      </c>
      <c r="N1105">
        <v>4733.82</v>
      </c>
      <c r="O1105">
        <v>0.08</v>
      </c>
      <c r="P1105">
        <v>378.71</v>
      </c>
      <c r="Q1105">
        <v>4355.1099999999997</v>
      </c>
      <c r="R1105">
        <v>3455.69</v>
      </c>
      <c r="S1105">
        <v>899.42</v>
      </c>
    </row>
    <row r="1106" spans="1:19" x14ac:dyDescent="0.35">
      <c r="A1106">
        <v>101104</v>
      </c>
      <c r="B1106">
        <v>2700</v>
      </c>
      <c r="C1106" t="s">
        <v>28</v>
      </c>
      <c r="D1106" t="s">
        <v>20</v>
      </c>
      <c r="E1106" t="s">
        <v>26</v>
      </c>
      <c r="F1106" t="s">
        <v>44</v>
      </c>
      <c r="G1106" s="1">
        <v>45067</v>
      </c>
      <c r="H1106" s="1">
        <v>45068</v>
      </c>
      <c r="I1106" s="1">
        <v>45082</v>
      </c>
      <c r="J1106">
        <v>15</v>
      </c>
      <c r="K1106">
        <v>1</v>
      </c>
      <c r="L1106">
        <v>4</v>
      </c>
      <c r="M1106">
        <v>376.26</v>
      </c>
      <c r="N1106">
        <v>1505.04</v>
      </c>
      <c r="O1106">
        <v>0.11</v>
      </c>
      <c r="P1106">
        <v>165.55</v>
      </c>
      <c r="Q1106">
        <v>1339.49</v>
      </c>
      <c r="R1106">
        <v>1008.38</v>
      </c>
      <c r="S1106">
        <v>331.11</v>
      </c>
    </row>
    <row r="1107" spans="1:19" x14ac:dyDescent="0.35">
      <c r="A1107">
        <v>101105</v>
      </c>
      <c r="B1107">
        <v>1587</v>
      </c>
      <c r="C1107" t="s">
        <v>19</v>
      </c>
      <c r="D1107" t="s">
        <v>29</v>
      </c>
      <c r="E1107" t="s">
        <v>34</v>
      </c>
      <c r="F1107" t="s">
        <v>45</v>
      </c>
      <c r="G1107" s="1">
        <v>44938</v>
      </c>
      <c r="H1107" s="1">
        <v>44943</v>
      </c>
      <c r="I1107" s="1">
        <v>44965</v>
      </c>
      <c r="J1107">
        <v>27</v>
      </c>
      <c r="K1107">
        <v>5</v>
      </c>
      <c r="L1107">
        <v>4</v>
      </c>
      <c r="M1107">
        <v>393.01</v>
      </c>
      <c r="N1107">
        <v>1572.04</v>
      </c>
      <c r="O1107">
        <v>0.02</v>
      </c>
      <c r="P1107">
        <v>31.44</v>
      </c>
      <c r="Q1107">
        <v>1540.6</v>
      </c>
      <c r="R1107">
        <v>1006.11</v>
      </c>
      <c r="S1107">
        <v>534.49</v>
      </c>
    </row>
    <row r="1108" spans="1:19" x14ac:dyDescent="0.35">
      <c r="A1108">
        <v>101106</v>
      </c>
      <c r="B1108">
        <v>3369</v>
      </c>
      <c r="C1108" t="s">
        <v>23</v>
      </c>
      <c r="D1108" t="s">
        <v>31</v>
      </c>
      <c r="E1108" t="s">
        <v>34</v>
      </c>
      <c r="F1108" t="s">
        <v>45</v>
      </c>
      <c r="G1108" s="1">
        <v>45118</v>
      </c>
      <c r="H1108" s="1">
        <v>45120</v>
      </c>
      <c r="I1108" s="1">
        <v>45146</v>
      </c>
      <c r="J1108">
        <v>28</v>
      </c>
      <c r="K1108">
        <v>2</v>
      </c>
      <c r="L1108">
        <v>4</v>
      </c>
      <c r="M1108">
        <v>473.23</v>
      </c>
      <c r="N1108">
        <v>1892.92</v>
      </c>
      <c r="O1108">
        <v>0.11</v>
      </c>
      <c r="P1108">
        <v>208.22</v>
      </c>
      <c r="Q1108">
        <v>1684.7</v>
      </c>
      <c r="R1108">
        <v>1116.82</v>
      </c>
      <c r="S1108">
        <v>567.88</v>
      </c>
    </row>
    <row r="1109" spans="1:19" x14ac:dyDescent="0.35">
      <c r="A1109">
        <v>101107</v>
      </c>
      <c r="B1109">
        <v>1936</v>
      </c>
      <c r="C1109" t="s">
        <v>28</v>
      </c>
      <c r="D1109" t="s">
        <v>20</v>
      </c>
      <c r="E1109" t="s">
        <v>21</v>
      </c>
      <c r="F1109" t="s">
        <v>38</v>
      </c>
      <c r="G1109" s="1">
        <v>45084</v>
      </c>
      <c r="H1109" s="1">
        <v>45086</v>
      </c>
      <c r="I1109" s="1">
        <v>45111</v>
      </c>
      <c r="J1109">
        <v>27</v>
      </c>
      <c r="K1109">
        <v>2</v>
      </c>
      <c r="L1109">
        <v>6</v>
      </c>
      <c r="M1109">
        <v>196.11</v>
      </c>
      <c r="N1109">
        <v>1176.6600000000001</v>
      </c>
      <c r="O1109">
        <v>0</v>
      </c>
      <c r="P1109">
        <v>0</v>
      </c>
      <c r="Q1109">
        <v>1176.6600000000001</v>
      </c>
      <c r="R1109">
        <v>788.36</v>
      </c>
      <c r="S1109">
        <v>388.3</v>
      </c>
    </row>
    <row r="1110" spans="1:19" x14ac:dyDescent="0.35">
      <c r="A1110">
        <v>101108</v>
      </c>
      <c r="B1110">
        <v>3154</v>
      </c>
      <c r="C1110" t="s">
        <v>28</v>
      </c>
      <c r="D1110" t="s">
        <v>31</v>
      </c>
      <c r="E1110" t="s">
        <v>26</v>
      </c>
      <c r="F1110" t="s">
        <v>44</v>
      </c>
      <c r="G1110" s="1">
        <v>45090</v>
      </c>
      <c r="H1110" s="1">
        <v>45093</v>
      </c>
      <c r="I1110" s="1">
        <v>45114</v>
      </c>
      <c r="J1110">
        <v>24</v>
      </c>
      <c r="K1110">
        <v>3</v>
      </c>
      <c r="L1110">
        <v>14</v>
      </c>
      <c r="M1110">
        <v>570.26</v>
      </c>
      <c r="N1110">
        <v>7983.64</v>
      </c>
      <c r="O1110">
        <v>0.15</v>
      </c>
      <c r="P1110">
        <v>1197.55</v>
      </c>
      <c r="Q1110">
        <v>6786.09</v>
      </c>
      <c r="R1110">
        <v>4710.3500000000004</v>
      </c>
      <c r="S1110">
        <v>2075.7399999999998</v>
      </c>
    </row>
    <row r="1111" spans="1:19" x14ac:dyDescent="0.35">
      <c r="A1111">
        <v>101109</v>
      </c>
      <c r="B1111">
        <v>1101</v>
      </c>
      <c r="C1111" t="s">
        <v>33</v>
      </c>
      <c r="D1111" t="s">
        <v>29</v>
      </c>
      <c r="E1111" t="s">
        <v>21</v>
      </c>
      <c r="F1111" t="s">
        <v>41</v>
      </c>
      <c r="G1111" s="1">
        <v>44943</v>
      </c>
      <c r="H1111" s="1">
        <v>44947</v>
      </c>
      <c r="I1111" s="1">
        <v>44970</v>
      </c>
      <c r="J1111">
        <v>27</v>
      </c>
      <c r="K1111">
        <v>4</v>
      </c>
      <c r="L1111">
        <v>4</v>
      </c>
      <c r="M1111">
        <v>450.5</v>
      </c>
      <c r="N1111">
        <v>1802</v>
      </c>
      <c r="O1111">
        <v>0.09</v>
      </c>
      <c r="P1111">
        <v>162.18</v>
      </c>
      <c r="Q1111">
        <v>1639.82</v>
      </c>
      <c r="R1111">
        <v>1153.28</v>
      </c>
      <c r="S1111">
        <v>486.54</v>
      </c>
    </row>
    <row r="1112" spans="1:19" x14ac:dyDescent="0.35">
      <c r="A1112">
        <v>101110</v>
      </c>
      <c r="B1112">
        <v>2894</v>
      </c>
      <c r="C1112" t="s">
        <v>19</v>
      </c>
      <c r="D1112" t="s">
        <v>31</v>
      </c>
      <c r="E1112" t="s">
        <v>21</v>
      </c>
      <c r="F1112" t="s">
        <v>41</v>
      </c>
      <c r="G1112" s="1">
        <v>45076</v>
      </c>
      <c r="H1112" s="1">
        <v>45079</v>
      </c>
      <c r="I1112" s="1">
        <v>45087</v>
      </c>
      <c r="J1112">
        <v>11</v>
      </c>
      <c r="K1112">
        <v>3</v>
      </c>
      <c r="L1112">
        <v>5</v>
      </c>
      <c r="M1112">
        <v>268.17</v>
      </c>
      <c r="N1112">
        <v>1340.85</v>
      </c>
      <c r="O1112">
        <v>0.13</v>
      </c>
      <c r="P1112">
        <v>174.31</v>
      </c>
      <c r="Q1112">
        <v>1166.54</v>
      </c>
      <c r="R1112">
        <v>925.19</v>
      </c>
      <c r="S1112">
        <v>241.35</v>
      </c>
    </row>
    <row r="1113" spans="1:19" x14ac:dyDescent="0.35">
      <c r="A1113">
        <v>101111</v>
      </c>
      <c r="B1113">
        <v>4962</v>
      </c>
      <c r="C1113" t="s">
        <v>28</v>
      </c>
      <c r="D1113" t="s">
        <v>20</v>
      </c>
      <c r="E1113" t="s">
        <v>26</v>
      </c>
      <c r="F1113" t="s">
        <v>27</v>
      </c>
      <c r="G1113" s="1">
        <v>45272</v>
      </c>
      <c r="H1113" s="1">
        <v>45276</v>
      </c>
      <c r="I1113" s="1">
        <v>45274</v>
      </c>
      <c r="J1113">
        <v>2</v>
      </c>
      <c r="K1113">
        <v>4</v>
      </c>
      <c r="L1113">
        <v>2</v>
      </c>
      <c r="M1113">
        <v>789.72</v>
      </c>
      <c r="N1113">
        <v>1579.44</v>
      </c>
      <c r="O1113">
        <v>7.0000000000000007E-2</v>
      </c>
      <c r="P1113">
        <v>110.56</v>
      </c>
      <c r="Q1113">
        <v>1468.88</v>
      </c>
      <c r="R1113">
        <v>947.66</v>
      </c>
      <c r="S1113">
        <v>521.22</v>
      </c>
    </row>
    <row r="1114" spans="1:19" x14ac:dyDescent="0.35">
      <c r="A1114">
        <v>101112</v>
      </c>
      <c r="B1114">
        <v>2615</v>
      </c>
      <c r="C1114" t="s">
        <v>33</v>
      </c>
      <c r="D1114" t="s">
        <v>31</v>
      </c>
      <c r="E1114" t="s">
        <v>24</v>
      </c>
      <c r="F1114" t="s">
        <v>30</v>
      </c>
      <c r="G1114" s="1">
        <v>45089</v>
      </c>
      <c r="H1114" s="1">
        <v>45090</v>
      </c>
      <c r="I1114" s="1">
        <v>45114</v>
      </c>
      <c r="J1114">
        <v>25</v>
      </c>
      <c r="K1114">
        <v>1</v>
      </c>
      <c r="L1114">
        <v>8</v>
      </c>
      <c r="M1114">
        <v>267.54000000000002</v>
      </c>
      <c r="N1114">
        <v>2140.3200000000002</v>
      </c>
      <c r="O1114">
        <v>0.12</v>
      </c>
      <c r="P1114">
        <v>256.83999999999997</v>
      </c>
      <c r="Q1114">
        <v>1883.48</v>
      </c>
      <c r="R1114">
        <v>1327</v>
      </c>
      <c r="S1114">
        <v>556.48</v>
      </c>
    </row>
    <row r="1115" spans="1:19" x14ac:dyDescent="0.35">
      <c r="A1115">
        <v>101113</v>
      </c>
      <c r="B1115">
        <v>2669</v>
      </c>
      <c r="C1115" t="s">
        <v>33</v>
      </c>
      <c r="D1115" t="s">
        <v>29</v>
      </c>
      <c r="E1115" t="s">
        <v>34</v>
      </c>
      <c r="F1115" t="s">
        <v>45</v>
      </c>
      <c r="G1115" s="1">
        <v>44979</v>
      </c>
      <c r="H1115" s="1">
        <v>44981</v>
      </c>
      <c r="I1115" s="1">
        <v>44993</v>
      </c>
      <c r="J1115">
        <v>14</v>
      </c>
      <c r="K1115">
        <v>2</v>
      </c>
      <c r="L1115">
        <v>13</v>
      </c>
      <c r="M1115">
        <v>387.07</v>
      </c>
      <c r="N1115">
        <v>5031.91</v>
      </c>
      <c r="O1115">
        <v>0</v>
      </c>
      <c r="P1115">
        <v>0</v>
      </c>
      <c r="Q1115">
        <v>5031.91</v>
      </c>
      <c r="R1115">
        <v>3019.15</v>
      </c>
      <c r="S1115">
        <v>2012.76</v>
      </c>
    </row>
    <row r="1116" spans="1:19" x14ac:dyDescent="0.35">
      <c r="A1116">
        <v>101114</v>
      </c>
      <c r="B1116">
        <v>3150</v>
      </c>
      <c r="C1116" t="s">
        <v>28</v>
      </c>
      <c r="D1116" t="s">
        <v>31</v>
      </c>
      <c r="E1116" t="s">
        <v>26</v>
      </c>
      <c r="F1116" t="s">
        <v>37</v>
      </c>
      <c r="G1116" s="1">
        <v>45129</v>
      </c>
      <c r="H1116" s="1">
        <v>45130</v>
      </c>
      <c r="I1116" s="1">
        <v>45131</v>
      </c>
      <c r="J1116">
        <v>2</v>
      </c>
      <c r="K1116">
        <v>1</v>
      </c>
      <c r="L1116">
        <v>11</v>
      </c>
      <c r="M1116">
        <v>774.39</v>
      </c>
      <c r="N1116">
        <v>8518.2900000000009</v>
      </c>
      <c r="O1116">
        <v>0.16</v>
      </c>
      <c r="P1116">
        <v>1362.93</v>
      </c>
      <c r="Q1116">
        <v>7155.36</v>
      </c>
      <c r="R1116">
        <v>5707.25</v>
      </c>
      <c r="S1116">
        <v>1448.11</v>
      </c>
    </row>
    <row r="1117" spans="1:19" x14ac:dyDescent="0.35">
      <c r="A1117">
        <v>101115</v>
      </c>
      <c r="B1117">
        <v>4015</v>
      </c>
      <c r="C1117" t="s">
        <v>28</v>
      </c>
      <c r="D1117" t="s">
        <v>29</v>
      </c>
      <c r="E1117" t="s">
        <v>21</v>
      </c>
      <c r="F1117" t="s">
        <v>22</v>
      </c>
      <c r="G1117" s="1">
        <v>45018</v>
      </c>
      <c r="H1117" s="1">
        <v>45022</v>
      </c>
      <c r="I1117" s="1">
        <v>45030</v>
      </c>
      <c r="J1117">
        <v>12</v>
      </c>
      <c r="K1117">
        <v>4</v>
      </c>
      <c r="L1117">
        <v>14</v>
      </c>
      <c r="M1117">
        <v>372.59</v>
      </c>
      <c r="N1117">
        <v>5216.26</v>
      </c>
      <c r="O1117">
        <v>0</v>
      </c>
      <c r="P1117">
        <v>0</v>
      </c>
      <c r="Q1117">
        <v>5216.26</v>
      </c>
      <c r="R1117">
        <v>2712.46</v>
      </c>
      <c r="S1117">
        <v>2503.8000000000002</v>
      </c>
    </row>
    <row r="1118" spans="1:19" x14ac:dyDescent="0.35">
      <c r="A1118">
        <v>101116</v>
      </c>
      <c r="B1118">
        <v>1417</v>
      </c>
      <c r="C1118" t="s">
        <v>28</v>
      </c>
      <c r="D1118" t="s">
        <v>20</v>
      </c>
      <c r="E1118" t="s">
        <v>24</v>
      </c>
      <c r="F1118" t="s">
        <v>30</v>
      </c>
      <c r="G1118" s="1">
        <v>45048</v>
      </c>
      <c r="H1118" s="1">
        <v>45051</v>
      </c>
      <c r="I1118" s="1">
        <v>45053</v>
      </c>
      <c r="J1118">
        <v>5</v>
      </c>
      <c r="K1118">
        <v>3</v>
      </c>
      <c r="L1118">
        <v>1</v>
      </c>
      <c r="M1118">
        <v>448.01</v>
      </c>
      <c r="N1118">
        <v>448.01</v>
      </c>
      <c r="O1118">
        <v>0.1</v>
      </c>
      <c r="P1118">
        <v>44.8</v>
      </c>
      <c r="Q1118">
        <v>403.21</v>
      </c>
      <c r="R1118">
        <v>309.13</v>
      </c>
      <c r="S1118">
        <v>94.08</v>
      </c>
    </row>
    <row r="1119" spans="1:19" x14ac:dyDescent="0.35">
      <c r="A1119">
        <v>101117</v>
      </c>
      <c r="B1119">
        <v>3149</v>
      </c>
      <c r="C1119" t="s">
        <v>28</v>
      </c>
      <c r="D1119" t="s">
        <v>31</v>
      </c>
      <c r="E1119" t="s">
        <v>26</v>
      </c>
      <c r="F1119" t="s">
        <v>37</v>
      </c>
      <c r="G1119" s="1">
        <v>45108</v>
      </c>
      <c r="H1119" s="1">
        <v>45113</v>
      </c>
      <c r="I1119" s="1">
        <v>45123</v>
      </c>
      <c r="J1119">
        <v>15</v>
      </c>
      <c r="K1119">
        <v>5</v>
      </c>
      <c r="L1119">
        <v>1</v>
      </c>
      <c r="M1119">
        <v>420.93</v>
      </c>
      <c r="N1119">
        <v>420.93</v>
      </c>
      <c r="O1119">
        <v>0.05</v>
      </c>
      <c r="P1119">
        <v>21.05</v>
      </c>
      <c r="Q1119">
        <v>399.88</v>
      </c>
      <c r="R1119">
        <v>252.56</v>
      </c>
      <c r="S1119">
        <v>147.32</v>
      </c>
    </row>
    <row r="1120" spans="1:19" x14ac:dyDescent="0.35">
      <c r="A1120">
        <v>101118</v>
      </c>
      <c r="B1120">
        <v>1912</v>
      </c>
      <c r="C1120" t="s">
        <v>23</v>
      </c>
      <c r="D1120" t="s">
        <v>20</v>
      </c>
      <c r="E1120" t="s">
        <v>34</v>
      </c>
      <c r="F1120" t="s">
        <v>43</v>
      </c>
      <c r="G1120" s="1">
        <v>45200</v>
      </c>
      <c r="H1120" s="1">
        <v>45205</v>
      </c>
      <c r="I1120" s="1">
        <v>45211</v>
      </c>
      <c r="J1120">
        <v>11</v>
      </c>
      <c r="K1120">
        <v>5</v>
      </c>
      <c r="L1120">
        <v>4</v>
      </c>
      <c r="M1120">
        <v>633.35</v>
      </c>
      <c r="N1120">
        <v>2533.4</v>
      </c>
      <c r="O1120">
        <v>7.0000000000000007E-2</v>
      </c>
      <c r="P1120">
        <v>177.34</v>
      </c>
      <c r="Q1120">
        <v>2356.06</v>
      </c>
      <c r="R1120">
        <v>1748.05</v>
      </c>
      <c r="S1120">
        <v>608.01</v>
      </c>
    </row>
    <row r="1121" spans="1:19" x14ac:dyDescent="0.35">
      <c r="A1121">
        <v>101119</v>
      </c>
      <c r="B1121">
        <v>3349</v>
      </c>
      <c r="C1121" t="s">
        <v>19</v>
      </c>
      <c r="D1121" t="s">
        <v>31</v>
      </c>
      <c r="E1121" t="s">
        <v>34</v>
      </c>
      <c r="F1121" t="s">
        <v>43</v>
      </c>
      <c r="G1121" s="1">
        <v>44949</v>
      </c>
      <c r="H1121" s="1">
        <v>44951</v>
      </c>
      <c r="I1121" s="1">
        <v>44976</v>
      </c>
      <c r="J1121">
        <v>27</v>
      </c>
      <c r="K1121">
        <v>2</v>
      </c>
      <c r="L1121">
        <v>3</v>
      </c>
      <c r="M1121">
        <v>202.67</v>
      </c>
      <c r="N1121">
        <v>608.01</v>
      </c>
      <c r="O1121">
        <v>0.02</v>
      </c>
      <c r="P1121">
        <v>12.16</v>
      </c>
      <c r="Q1121">
        <v>595.85</v>
      </c>
      <c r="R1121">
        <v>370.89</v>
      </c>
      <c r="S1121">
        <v>224.96</v>
      </c>
    </row>
    <row r="1122" spans="1:19" x14ac:dyDescent="0.35">
      <c r="A1122">
        <v>101120</v>
      </c>
      <c r="B1122">
        <v>3066</v>
      </c>
      <c r="C1122" t="s">
        <v>28</v>
      </c>
      <c r="D1122" t="s">
        <v>29</v>
      </c>
      <c r="E1122" t="s">
        <v>21</v>
      </c>
      <c r="F1122" t="s">
        <v>22</v>
      </c>
      <c r="G1122" s="1">
        <v>45230</v>
      </c>
      <c r="H1122" s="1">
        <v>45235</v>
      </c>
      <c r="I1122" s="1">
        <v>45257</v>
      </c>
      <c r="J1122">
        <v>27</v>
      </c>
      <c r="K1122">
        <v>5</v>
      </c>
      <c r="L1122">
        <v>6</v>
      </c>
      <c r="M1122">
        <v>223</v>
      </c>
      <c r="N1122">
        <v>1338</v>
      </c>
      <c r="O1122">
        <v>0.02</v>
      </c>
      <c r="P1122">
        <v>26.76</v>
      </c>
      <c r="Q1122">
        <v>1311.24</v>
      </c>
      <c r="R1122">
        <v>802.8</v>
      </c>
      <c r="S1122">
        <v>508.44</v>
      </c>
    </row>
    <row r="1123" spans="1:19" x14ac:dyDescent="0.35">
      <c r="A1123">
        <v>101121</v>
      </c>
      <c r="B1123">
        <v>4062</v>
      </c>
      <c r="C1123" t="s">
        <v>23</v>
      </c>
      <c r="D1123" t="s">
        <v>29</v>
      </c>
      <c r="E1123" t="s">
        <v>26</v>
      </c>
      <c r="F1123" t="s">
        <v>44</v>
      </c>
      <c r="G1123" s="1">
        <v>45018</v>
      </c>
      <c r="H1123" s="1">
        <v>45019</v>
      </c>
      <c r="I1123" s="1">
        <v>45043</v>
      </c>
      <c r="J1123">
        <v>25</v>
      </c>
      <c r="K1123">
        <v>1</v>
      </c>
      <c r="L1123">
        <v>9</v>
      </c>
      <c r="M1123">
        <v>361.48</v>
      </c>
      <c r="N1123">
        <v>3253.32</v>
      </c>
      <c r="O1123">
        <v>0.11</v>
      </c>
      <c r="P1123">
        <v>357.87</v>
      </c>
      <c r="Q1123">
        <v>2895.45</v>
      </c>
      <c r="R1123">
        <v>2017.06</v>
      </c>
      <c r="S1123">
        <v>878.39</v>
      </c>
    </row>
    <row r="1124" spans="1:19" x14ac:dyDescent="0.35">
      <c r="A1124">
        <v>101122</v>
      </c>
      <c r="B1124">
        <v>2005</v>
      </c>
      <c r="C1124" t="s">
        <v>23</v>
      </c>
      <c r="D1124" t="s">
        <v>29</v>
      </c>
      <c r="E1124" t="s">
        <v>26</v>
      </c>
      <c r="F1124" t="s">
        <v>37</v>
      </c>
      <c r="G1124" s="1">
        <v>44930</v>
      </c>
      <c r="H1124" s="1">
        <v>44935</v>
      </c>
      <c r="I1124" s="1">
        <v>44935</v>
      </c>
      <c r="J1124">
        <v>5</v>
      </c>
      <c r="K1124">
        <v>5</v>
      </c>
      <c r="L1124">
        <v>12</v>
      </c>
      <c r="M1124">
        <v>161.85</v>
      </c>
      <c r="N1124">
        <v>1942.2</v>
      </c>
      <c r="O1124">
        <v>0.13</v>
      </c>
      <c r="P1124">
        <v>252.49</v>
      </c>
      <c r="Q1124">
        <v>1689.71</v>
      </c>
      <c r="R1124">
        <v>1301.27</v>
      </c>
      <c r="S1124">
        <v>388.44</v>
      </c>
    </row>
    <row r="1125" spans="1:19" x14ac:dyDescent="0.35">
      <c r="A1125">
        <v>101123</v>
      </c>
      <c r="B1125">
        <v>3103</v>
      </c>
      <c r="C1125" t="s">
        <v>19</v>
      </c>
      <c r="D1125" t="s">
        <v>31</v>
      </c>
      <c r="E1125" t="s">
        <v>34</v>
      </c>
      <c r="F1125" t="s">
        <v>43</v>
      </c>
      <c r="G1125" s="1">
        <v>45132</v>
      </c>
      <c r="H1125" s="1">
        <v>45135</v>
      </c>
      <c r="I1125" s="1">
        <v>45156</v>
      </c>
      <c r="J1125">
        <v>24</v>
      </c>
      <c r="K1125">
        <v>3</v>
      </c>
      <c r="L1125">
        <v>2</v>
      </c>
      <c r="M1125">
        <v>268.86</v>
      </c>
      <c r="N1125">
        <v>537.72</v>
      </c>
      <c r="O1125">
        <v>0.06</v>
      </c>
      <c r="P1125">
        <v>32.26</v>
      </c>
      <c r="Q1125">
        <v>505.46</v>
      </c>
      <c r="R1125">
        <v>349.52</v>
      </c>
      <c r="S1125">
        <v>155.94</v>
      </c>
    </row>
    <row r="1126" spans="1:19" x14ac:dyDescent="0.35">
      <c r="A1126">
        <v>101124</v>
      </c>
      <c r="B1126">
        <v>1461</v>
      </c>
      <c r="C1126" t="s">
        <v>19</v>
      </c>
      <c r="D1126" t="s">
        <v>20</v>
      </c>
      <c r="E1126" t="s">
        <v>26</v>
      </c>
      <c r="F1126" t="s">
        <v>36</v>
      </c>
      <c r="G1126" s="1">
        <v>45000</v>
      </c>
      <c r="H1126" s="1">
        <v>45005</v>
      </c>
      <c r="I1126" s="1">
        <v>45009</v>
      </c>
      <c r="J1126">
        <v>9</v>
      </c>
      <c r="K1126">
        <v>5</v>
      </c>
      <c r="L1126">
        <v>9</v>
      </c>
      <c r="M1126">
        <v>87.73</v>
      </c>
      <c r="N1126">
        <v>789.57</v>
      </c>
      <c r="O1126">
        <v>0.13</v>
      </c>
      <c r="P1126">
        <v>102.64</v>
      </c>
      <c r="Q1126">
        <v>686.93</v>
      </c>
      <c r="R1126">
        <v>410.58</v>
      </c>
      <c r="S1126">
        <v>276.35000000000002</v>
      </c>
    </row>
    <row r="1127" spans="1:19" x14ac:dyDescent="0.35">
      <c r="A1127">
        <v>101125</v>
      </c>
      <c r="B1127">
        <v>3548</v>
      </c>
      <c r="C1127" t="s">
        <v>23</v>
      </c>
      <c r="D1127" t="s">
        <v>20</v>
      </c>
      <c r="E1127" t="s">
        <v>24</v>
      </c>
      <c r="F1127" t="s">
        <v>32</v>
      </c>
      <c r="G1127" s="1">
        <v>44941</v>
      </c>
      <c r="H1127" s="1">
        <v>44943</v>
      </c>
      <c r="I1127" s="1">
        <v>44951</v>
      </c>
      <c r="J1127">
        <v>10</v>
      </c>
      <c r="K1127">
        <v>2</v>
      </c>
      <c r="L1127">
        <v>1</v>
      </c>
      <c r="M1127">
        <v>276.45</v>
      </c>
      <c r="N1127">
        <v>276.45</v>
      </c>
      <c r="O1127">
        <v>0</v>
      </c>
      <c r="P1127">
        <v>0</v>
      </c>
      <c r="Q1127">
        <v>276.45</v>
      </c>
      <c r="R1127">
        <v>182.46</v>
      </c>
      <c r="S1127">
        <v>93.99</v>
      </c>
    </row>
    <row r="1128" spans="1:19" x14ac:dyDescent="0.35">
      <c r="A1128">
        <v>101126</v>
      </c>
      <c r="B1128">
        <v>4998</v>
      </c>
      <c r="C1128" t="s">
        <v>23</v>
      </c>
      <c r="D1128" t="s">
        <v>31</v>
      </c>
      <c r="E1128" t="s">
        <v>34</v>
      </c>
      <c r="F1128" t="s">
        <v>43</v>
      </c>
      <c r="G1128" s="1">
        <v>45004</v>
      </c>
      <c r="H1128" s="1">
        <v>45005</v>
      </c>
      <c r="I1128" s="1">
        <v>45026</v>
      </c>
      <c r="J1128">
        <v>22</v>
      </c>
      <c r="K1128">
        <v>1</v>
      </c>
      <c r="L1128">
        <v>8</v>
      </c>
      <c r="M1128">
        <v>420.82</v>
      </c>
      <c r="N1128">
        <v>3366.56</v>
      </c>
      <c r="O1128">
        <v>0.05</v>
      </c>
      <c r="P1128">
        <v>168.33</v>
      </c>
      <c r="Q1128">
        <v>3198.23</v>
      </c>
      <c r="R1128">
        <v>1817.94</v>
      </c>
      <c r="S1128">
        <v>1380.29</v>
      </c>
    </row>
    <row r="1129" spans="1:19" x14ac:dyDescent="0.35">
      <c r="A1129">
        <v>101127</v>
      </c>
      <c r="B1129">
        <v>1795</v>
      </c>
      <c r="C1129" t="s">
        <v>33</v>
      </c>
      <c r="D1129" t="s">
        <v>20</v>
      </c>
      <c r="E1129" t="s">
        <v>34</v>
      </c>
      <c r="F1129" t="s">
        <v>45</v>
      </c>
      <c r="G1129" s="1">
        <v>45224</v>
      </c>
      <c r="H1129" s="1">
        <v>45227</v>
      </c>
      <c r="I1129" s="1">
        <v>45228</v>
      </c>
      <c r="J1129">
        <v>4</v>
      </c>
      <c r="K1129">
        <v>3</v>
      </c>
      <c r="L1129">
        <v>6</v>
      </c>
      <c r="M1129">
        <v>541.74</v>
      </c>
      <c r="N1129">
        <v>3250.44</v>
      </c>
      <c r="O1129">
        <v>0.16</v>
      </c>
      <c r="P1129">
        <v>520.07000000000005</v>
      </c>
      <c r="Q1129">
        <v>2730.37</v>
      </c>
      <c r="R1129">
        <v>1885.26</v>
      </c>
      <c r="S1129">
        <v>845.11</v>
      </c>
    </row>
    <row r="1130" spans="1:19" x14ac:dyDescent="0.35">
      <c r="A1130">
        <v>101128</v>
      </c>
      <c r="B1130">
        <v>2072</v>
      </c>
      <c r="C1130" t="s">
        <v>19</v>
      </c>
      <c r="D1130" t="s">
        <v>29</v>
      </c>
      <c r="E1130" t="s">
        <v>21</v>
      </c>
      <c r="F1130" t="s">
        <v>38</v>
      </c>
      <c r="G1130" s="1">
        <v>45287</v>
      </c>
      <c r="H1130" s="1">
        <v>45292</v>
      </c>
      <c r="I1130" s="1">
        <v>45316</v>
      </c>
      <c r="J1130">
        <v>29</v>
      </c>
      <c r="K1130">
        <v>5</v>
      </c>
      <c r="L1130">
        <v>13</v>
      </c>
      <c r="M1130">
        <v>12.25</v>
      </c>
      <c r="N1130">
        <v>159.25</v>
      </c>
      <c r="O1130">
        <v>0.12</v>
      </c>
      <c r="P1130">
        <v>19.11</v>
      </c>
      <c r="Q1130">
        <v>140.13999999999999</v>
      </c>
      <c r="R1130">
        <v>89.18</v>
      </c>
      <c r="S1130">
        <v>50.96</v>
      </c>
    </row>
    <row r="1131" spans="1:19" x14ac:dyDescent="0.35">
      <c r="A1131">
        <v>101129</v>
      </c>
      <c r="B1131">
        <v>4569</v>
      </c>
      <c r="C1131" t="s">
        <v>33</v>
      </c>
      <c r="D1131" t="s">
        <v>29</v>
      </c>
      <c r="E1131" t="s">
        <v>34</v>
      </c>
      <c r="F1131" t="s">
        <v>43</v>
      </c>
      <c r="G1131" s="1">
        <v>45085</v>
      </c>
      <c r="H1131" s="1">
        <v>45086</v>
      </c>
      <c r="I1131" s="1">
        <v>45106</v>
      </c>
      <c r="J1131">
        <v>21</v>
      </c>
      <c r="K1131">
        <v>1</v>
      </c>
      <c r="L1131">
        <v>9</v>
      </c>
      <c r="M1131">
        <v>611.21</v>
      </c>
      <c r="N1131">
        <v>5500.89</v>
      </c>
      <c r="O1131">
        <v>0.02</v>
      </c>
      <c r="P1131">
        <v>110.02</v>
      </c>
      <c r="Q1131">
        <v>5390.87</v>
      </c>
      <c r="R1131">
        <v>3025.49</v>
      </c>
      <c r="S1131">
        <v>2365.38</v>
      </c>
    </row>
    <row r="1132" spans="1:19" x14ac:dyDescent="0.35">
      <c r="A1132">
        <v>101130</v>
      </c>
      <c r="B1132">
        <v>1668</v>
      </c>
      <c r="C1132" t="s">
        <v>33</v>
      </c>
      <c r="D1132" t="s">
        <v>29</v>
      </c>
      <c r="E1132" t="s">
        <v>24</v>
      </c>
      <c r="F1132" t="s">
        <v>30</v>
      </c>
      <c r="G1132" s="1">
        <v>45030</v>
      </c>
      <c r="H1132" s="1">
        <v>45032</v>
      </c>
      <c r="I1132" s="1">
        <v>45052</v>
      </c>
      <c r="J1132">
        <v>22</v>
      </c>
      <c r="K1132">
        <v>2</v>
      </c>
      <c r="L1132">
        <v>14</v>
      </c>
      <c r="M1132">
        <v>666.5</v>
      </c>
      <c r="N1132">
        <v>9331</v>
      </c>
      <c r="O1132">
        <v>0.13</v>
      </c>
      <c r="P1132">
        <v>1213.03</v>
      </c>
      <c r="Q1132">
        <v>8117.97</v>
      </c>
      <c r="R1132">
        <v>5878.53</v>
      </c>
      <c r="S1132">
        <v>2239.44</v>
      </c>
    </row>
    <row r="1133" spans="1:19" x14ac:dyDescent="0.35">
      <c r="A1133">
        <v>101131</v>
      </c>
      <c r="B1133">
        <v>2740</v>
      </c>
      <c r="C1133" t="s">
        <v>33</v>
      </c>
      <c r="D1133" t="s">
        <v>20</v>
      </c>
      <c r="E1133" t="s">
        <v>21</v>
      </c>
      <c r="F1133" t="s">
        <v>38</v>
      </c>
      <c r="G1133" s="1">
        <v>45203</v>
      </c>
      <c r="H1133" s="1">
        <v>45207</v>
      </c>
      <c r="I1133" s="1">
        <v>45232</v>
      </c>
      <c r="J1133">
        <v>29</v>
      </c>
      <c r="K1133">
        <v>4</v>
      </c>
      <c r="L1133">
        <v>4</v>
      </c>
      <c r="M1133">
        <v>240.65</v>
      </c>
      <c r="N1133">
        <v>962.6</v>
      </c>
      <c r="O1133">
        <v>7.0000000000000007E-2</v>
      </c>
      <c r="P1133">
        <v>67.38</v>
      </c>
      <c r="Q1133">
        <v>895.22</v>
      </c>
      <c r="R1133">
        <v>644.94000000000005</v>
      </c>
      <c r="S1133">
        <v>250.28</v>
      </c>
    </row>
    <row r="1134" spans="1:19" x14ac:dyDescent="0.35">
      <c r="A1134">
        <v>101132</v>
      </c>
      <c r="B1134">
        <v>3160</v>
      </c>
      <c r="C1134" t="s">
        <v>23</v>
      </c>
      <c r="D1134" t="s">
        <v>29</v>
      </c>
      <c r="E1134" t="s">
        <v>34</v>
      </c>
      <c r="F1134" t="s">
        <v>35</v>
      </c>
      <c r="G1134" s="1">
        <v>45159</v>
      </c>
      <c r="H1134" s="1">
        <v>45163</v>
      </c>
      <c r="I1134" s="1">
        <v>45177</v>
      </c>
      <c r="J1134">
        <v>18</v>
      </c>
      <c r="K1134">
        <v>4</v>
      </c>
      <c r="L1134">
        <v>13</v>
      </c>
      <c r="M1134">
        <v>137.59</v>
      </c>
      <c r="N1134">
        <v>1788.67</v>
      </c>
      <c r="O1134">
        <v>0.1</v>
      </c>
      <c r="P1134">
        <v>178.87</v>
      </c>
      <c r="Q1134">
        <v>1609.8</v>
      </c>
      <c r="R1134">
        <v>1001.66</v>
      </c>
      <c r="S1134">
        <v>608.14</v>
      </c>
    </row>
    <row r="1135" spans="1:19" x14ac:dyDescent="0.35">
      <c r="A1135">
        <v>101133</v>
      </c>
      <c r="B1135">
        <v>3788</v>
      </c>
      <c r="C1135" t="s">
        <v>19</v>
      </c>
      <c r="D1135" t="s">
        <v>20</v>
      </c>
      <c r="E1135" t="s">
        <v>26</v>
      </c>
      <c r="F1135" t="s">
        <v>36</v>
      </c>
      <c r="G1135" s="1">
        <v>45263</v>
      </c>
      <c r="H1135" s="1">
        <v>45265</v>
      </c>
      <c r="I1135" s="1">
        <v>45269</v>
      </c>
      <c r="J1135">
        <v>6</v>
      </c>
      <c r="K1135">
        <v>2</v>
      </c>
      <c r="L1135">
        <v>2</v>
      </c>
      <c r="M1135">
        <v>48.5</v>
      </c>
      <c r="N1135">
        <v>97</v>
      </c>
      <c r="O1135">
        <v>0.05</v>
      </c>
      <c r="P1135">
        <v>4.8499999999999996</v>
      </c>
      <c r="Q1135">
        <v>92.15</v>
      </c>
      <c r="R1135">
        <v>61.11</v>
      </c>
      <c r="S1135">
        <v>31.04</v>
      </c>
    </row>
    <row r="1136" spans="1:19" x14ac:dyDescent="0.35">
      <c r="A1136">
        <v>101134</v>
      </c>
      <c r="B1136">
        <v>1532</v>
      </c>
      <c r="C1136" t="s">
        <v>33</v>
      </c>
      <c r="D1136" t="s">
        <v>29</v>
      </c>
      <c r="E1136" t="s">
        <v>21</v>
      </c>
      <c r="F1136" t="s">
        <v>41</v>
      </c>
      <c r="G1136" s="1">
        <v>45151</v>
      </c>
      <c r="H1136" s="1">
        <v>45153</v>
      </c>
      <c r="I1136" s="1">
        <v>45158</v>
      </c>
      <c r="J1136">
        <v>7</v>
      </c>
      <c r="K1136">
        <v>2</v>
      </c>
      <c r="L1136">
        <v>3</v>
      </c>
      <c r="M1136">
        <v>75.849999999999994</v>
      </c>
      <c r="N1136">
        <v>227.55</v>
      </c>
      <c r="O1136">
        <v>0.09</v>
      </c>
      <c r="P1136">
        <v>20.48</v>
      </c>
      <c r="Q1136">
        <v>207.07</v>
      </c>
      <c r="R1136">
        <v>143.36000000000001</v>
      </c>
      <c r="S1136">
        <v>63.71</v>
      </c>
    </row>
    <row r="1137" spans="1:19" x14ac:dyDescent="0.35">
      <c r="A1137">
        <v>101135</v>
      </c>
      <c r="B1137">
        <v>2362</v>
      </c>
      <c r="C1137" t="s">
        <v>28</v>
      </c>
      <c r="D1137" t="s">
        <v>31</v>
      </c>
      <c r="E1137" t="s">
        <v>26</v>
      </c>
      <c r="F1137" t="s">
        <v>37</v>
      </c>
      <c r="G1137" s="1">
        <v>45272</v>
      </c>
      <c r="H1137" s="1">
        <v>45276</v>
      </c>
      <c r="I1137" s="1">
        <v>45292</v>
      </c>
      <c r="J1137">
        <v>20</v>
      </c>
      <c r="K1137">
        <v>4</v>
      </c>
      <c r="L1137">
        <v>12</v>
      </c>
      <c r="M1137">
        <v>518.69000000000005</v>
      </c>
      <c r="N1137">
        <v>6224.28</v>
      </c>
      <c r="O1137">
        <v>0</v>
      </c>
      <c r="P1137">
        <v>0</v>
      </c>
      <c r="Q1137">
        <v>6224.28</v>
      </c>
      <c r="R1137">
        <v>3796.81</v>
      </c>
      <c r="S1137">
        <v>2427.4699999999998</v>
      </c>
    </row>
    <row r="1138" spans="1:19" x14ac:dyDescent="0.35">
      <c r="A1138">
        <v>101136</v>
      </c>
      <c r="B1138">
        <v>2238</v>
      </c>
      <c r="C1138" t="s">
        <v>33</v>
      </c>
      <c r="D1138" t="s">
        <v>29</v>
      </c>
      <c r="E1138" t="s">
        <v>34</v>
      </c>
      <c r="F1138" t="s">
        <v>40</v>
      </c>
      <c r="G1138" s="1">
        <v>45122</v>
      </c>
      <c r="H1138" s="1">
        <v>45125</v>
      </c>
      <c r="I1138" s="1">
        <v>45129</v>
      </c>
      <c r="J1138">
        <v>7</v>
      </c>
      <c r="K1138">
        <v>3</v>
      </c>
      <c r="L1138">
        <v>10</v>
      </c>
      <c r="M1138">
        <v>371.69</v>
      </c>
      <c r="N1138">
        <v>3716.9</v>
      </c>
      <c r="O1138">
        <v>0.03</v>
      </c>
      <c r="P1138">
        <v>111.51</v>
      </c>
      <c r="Q1138">
        <v>3605.39</v>
      </c>
      <c r="R1138">
        <v>2378.8200000000002</v>
      </c>
      <c r="S1138">
        <v>1226.57</v>
      </c>
    </row>
    <row r="1139" spans="1:19" x14ac:dyDescent="0.35">
      <c r="A1139">
        <v>101137</v>
      </c>
      <c r="B1139">
        <v>2251</v>
      </c>
      <c r="C1139" t="s">
        <v>19</v>
      </c>
      <c r="D1139" t="s">
        <v>20</v>
      </c>
      <c r="E1139" t="s">
        <v>24</v>
      </c>
      <c r="F1139" t="s">
        <v>32</v>
      </c>
      <c r="G1139" s="1">
        <v>45060</v>
      </c>
      <c r="H1139" s="1">
        <v>45063</v>
      </c>
      <c r="I1139" s="1">
        <v>45069</v>
      </c>
      <c r="J1139">
        <v>9</v>
      </c>
      <c r="K1139">
        <v>3</v>
      </c>
      <c r="L1139">
        <v>6</v>
      </c>
      <c r="M1139">
        <v>164.95</v>
      </c>
      <c r="N1139">
        <v>989.7</v>
      </c>
      <c r="O1139">
        <v>0.11</v>
      </c>
      <c r="P1139">
        <v>108.87</v>
      </c>
      <c r="Q1139">
        <v>880.83</v>
      </c>
      <c r="R1139">
        <v>603.72</v>
      </c>
      <c r="S1139">
        <v>277.11</v>
      </c>
    </row>
    <row r="1140" spans="1:19" x14ac:dyDescent="0.35">
      <c r="A1140">
        <v>101138</v>
      </c>
      <c r="B1140">
        <v>2297</v>
      </c>
      <c r="C1140" t="s">
        <v>33</v>
      </c>
      <c r="D1140" t="s">
        <v>29</v>
      </c>
      <c r="E1140" t="s">
        <v>26</v>
      </c>
      <c r="F1140" t="s">
        <v>37</v>
      </c>
      <c r="G1140" s="1">
        <v>45110</v>
      </c>
      <c r="H1140" s="1">
        <v>45111</v>
      </c>
      <c r="I1140" s="1">
        <v>45125</v>
      </c>
      <c r="J1140">
        <v>15</v>
      </c>
      <c r="K1140">
        <v>1</v>
      </c>
      <c r="L1140">
        <v>13</v>
      </c>
      <c r="M1140">
        <v>280.11</v>
      </c>
      <c r="N1140">
        <v>3641.43</v>
      </c>
      <c r="O1140">
        <v>7.0000000000000007E-2</v>
      </c>
      <c r="P1140">
        <v>254.9</v>
      </c>
      <c r="Q1140">
        <v>3386.53</v>
      </c>
      <c r="R1140">
        <v>2221.27</v>
      </c>
      <c r="S1140">
        <v>1165.26</v>
      </c>
    </row>
    <row r="1141" spans="1:19" x14ac:dyDescent="0.35">
      <c r="A1141">
        <v>101139</v>
      </c>
      <c r="B1141">
        <v>3285</v>
      </c>
      <c r="C1141" t="s">
        <v>33</v>
      </c>
      <c r="D1141" t="s">
        <v>31</v>
      </c>
      <c r="E1141" t="s">
        <v>21</v>
      </c>
      <c r="F1141" t="s">
        <v>39</v>
      </c>
      <c r="G1141" s="1">
        <v>45152</v>
      </c>
      <c r="H1141" s="1">
        <v>45153</v>
      </c>
      <c r="I1141" s="1">
        <v>45174</v>
      </c>
      <c r="J1141">
        <v>22</v>
      </c>
      <c r="K1141">
        <v>1</v>
      </c>
      <c r="L1141">
        <v>13</v>
      </c>
      <c r="M1141">
        <v>325.57</v>
      </c>
      <c r="N1141">
        <v>4232.41</v>
      </c>
      <c r="O1141">
        <v>0.06</v>
      </c>
      <c r="P1141">
        <v>253.94</v>
      </c>
      <c r="Q1141">
        <v>3978.47</v>
      </c>
      <c r="R1141">
        <v>2412.4699999999998</v>
      </c>
      <c r="S1141">
        <v>1566</v>
      </c>
    </row>
    <row r="1142" spans="1:19" x14ac:dyDescent="0.35">
      <c r="A1142">
        <v>101140</v>
      </c>
      <c r="B1142">
        <v>3460</v>
      </c>
      <c r="C1142" t="s">
        <v>19</v>
      </c>
      <c r="D1142" t="s">
        <v>31</v>
      </c>
      <c r="E1142" t="s">
        <v>26</v>
      </c>
      <c r="F1142" t="s">
        <v>44</v>
      </c>
      <c r="G1142" s="1">
        <v>45063</v>
      </c>
      <c r="H1142" s="1">
        <v>45064</v>
      </c>
      <c r="I1142" s="1">
        <v>45077</v>
      </c>
      <c r="J1142">
        <v>14</v>
      </c>
      <c r="K1142">
        <v>1</v>
      </c>
      <c r="L1142">
        <v>9</v>
      </c>
      <c r="M1142">
        <v>39.78</v>
      </c>
      <c r="N1142">
        <v>358.02</v>
      </c>
      <c r="O1142">
        <v>0</v>
      </c>
      <c r="P1142">
        <v>0</v>
      </c>
      <c r="Q1142">
        <v>358.02</v>
      </c>
      <c r="R1142">
        <v>211.23</v>
      </c>
      <c r="S1142">
        <v>146.79</v>
      </c>
    </row>
    <row r="1143" spans="1:19" x14ac:dyDescent="0.35">
      <c r="A1143">
        <v>101141</v>
      </c>
      <c r="B1143">
        <v>2270</v>
      </c>
      <c r="C1143" t="s">
        <v>28</v>
      </c>
      <c r="D1143" t="s">
        <v>31</v>
      </c>
      <c r="E1143" t="s">
        <v>34</v>
      </c>
      <c r="F1143" t="s">
        <v>40</v>
      </c>
      <c r="G1143" s="1">
        <v>45148</v>
      </c>
      <c r="H1143" s="1">
        <v>45151</v>
      </c>
      <c r="I1143" s="1">
        <v>45169</v>
      </c>
      <c r="J1143">
        <v>21</v>
      </c>
      <c r="K1143">
        <v>3</v>
      </c>
      <c r="L1143">
        <v>4</v>
      </c>
      <c r="M1143">
        <v>650.75</v>
      </c>
      <c r="N1143">
        <v>2603</v>
      </c>
      <c r="O1143">
        <v>0.04</v>
      </c>
      <c r="P1143">
        <v>104.12</v>
      </c>
      <c r="Q1143">
        <v>2498.88</v>
      </c>
      <c r="R1143">
        <v>1770.04</v>
      </c>
      <c r="S1143">
        <v>728.84</v>
      </c>
    </row>
    <row r="1144" spans="1:19" x14ac:dyDescent="0.35">
      <c r="A1144">
        <v>101142</v>
      </c>
      <c r="B1144">
        <v>1285</v>
      </c>
      <c r="C1144" t="s">
        <v>33</v>
      </c>
      <c r="D1144" t="s">
        <v>31</v>
      </c>
      <c r="E1144" t="s">
        <v>34</v>
      </c>
      <c r="F1144" t="s">
        <v>35</v>
      </c>
      <c r="G1144" s="1">
        <v>45196</v>
      </c>
      <c r="H1144" s="1">
        <v>45199</v>
      </c>
      <c r="I1144" s="1">
        <v>45211</v>
      </c>
      <c r="J1144">
        <v>15</v>
      </c>
      <c r="K1144">
        <v>3</v>
      </c>
      <c r="L1144">
        <v>13</v>
      </c>
      <c r="M1144">
        <v>649.11</v>
      </c>
      <c r="N1144">
        <v>8438.43</v>
      </c>
      <c r="O1144">
        <v>0.12</v>
      </c>
      <c r="P1144">
        <v>1012.61</v>
      </c>
      <c r="Q1144">
        <v>7425.82</v>
      </c>
      <c r="R1144">
        <v>5822.52</v>
      </c>
      <c r="S1144">
        <v>1603.3</v>
      </c>
    </row>
    <row r="1145" spans="1:19" x14ac:dyDescent="0.35">
      <c r="A1145">
        <v>101143</v>
      </c>
      <c r="B1145">
        <v>2797</v>
      </c>
      <c r="C1145" t="s">
        <v>28</v>
      </c>
      <c r="D1145" t="s">
        <v>29</v>
      </c>
      <c r="E1145" t="s">
        <v>34</v>
      </c>
      <c r="F1145" t="s">
        <v>40</v>
      </c>
      <c r="G1145" s="1">
        <v>45166</v>
      </c>
      <c r="H1145" s="1">
        <v>45170</v>
      </c>
      <c r="I1145" s="1">
        <v>45179</v>
      </c>
      <c r="J1145">
        <v>13</v>
      </c>
      <c r="K1145">
        <v>4</v>
      </c>
      <c r="L1145">
        <v>12</v>
      </c>
      <c r="M1145">
        <v>591.79</v>
      </c>
      <c r="N1145">
        <v>7101.48</v>
      </c>
      <c r="O1145">
        <v>0.03</v>
      </c>
      <c r="P1145">
        <v>213.04</v>
      </c>
      <c r="Q1145">
        <v>6888.44</v>
      </c>
      <c r="R1145">
        <v>5113.07</v>
      </c>
      <c r="S1145">
        <v>1775.37</v>
      </c>
    </row>
    <row r="1146" spans="1:19" x14ac:dyDescent="0.35">
      <c r="A1146">
        <v>101144</v>
      </c>
      <c r="B1146">
        <v>4492</v>
      </c>
      <c r="C1146" t="s">
        <v>33</v>
      </c>
      <c r="D1146" t="s">
        <v>31</v>
      </c>
      <c r="E1146" t="s">
        <v>34</v>
      </c>
      <c r="F1146" t="s">
        <v>35</v>
      </c>
      <c r="G1146" s="1">
        <v>45231</v>
      </c>
      <c r="H1146" s="1">
        <v>45235</v>
      </c>
      <c r="I1146" s="1">
        <v>45244</v>
      </c>
      <c r="J1146">
        <v>13</v>
      </c>
      <c r="K1146">
        <v>4</v>
      </c>
      <c r="L1146">
        <v>6</v>
      </c>
      <c r="M1146">
        <v>429.26</v>
      </c>
      <c r="N1146">
        <v>2575.56</v>
      </c>
      <c r="O1146">
        <v>0.1</v>
      </c>
      <c r="P1146">
        <v>257.56</v>
      </c>
      <c r="Q1146">
        <v>2318</v>
      </c>
      <c r="R1146">
        <v>1699.87</v>
      </c>
      <c r="S1146">
        <v>618.13</v>
      </c>
    </row>
    <row r="1147" spans="1:19" x14ac:dyDescent="0.35">
      <c r="A1147">
        <v>101145</v>
      </c>
      <c r="B1147">
        <v>4589</v>
      </c>
      <c r="C1147" t="s">
        <v>28</v>
      </c>
      <c r="D1147" t="s">
        <v>20</v>
      </c>
      <c r="E1147" t="s">
        <v>21</v>
      </c>
      <c r="F1147" t="s">
        <v>39</v>
      </c>
      <c r="G1147" s="1">
        <v>44966</v>
      </c>
      <c r="H1147" s="1">
        <v>44969</v>
      </c>
      <c r="I1147" s="1">
        <v>44975</v>
      </c>
      <c r="J1147">
        <v>9</v>
      </c>
      <c r="K1147">
        <v>3</v>
      </c>
      <c r="L1147">
        <v>10</v>
      </c>
      <c r="M1147">
        <v>583.69000000000005</v>
      </c>
      <c r="N1147">
        <v>5836.9</v>
      </c>
      <c r="O1147">
        <v>0.09</v>
      </c>
      <c r="P1147">
        <v>525.32000000000005</v>
      </c>
      <c r="Q1147">
        <v>5311.58</v>
      </c>
      <c r="R1147">
        <v>3502.14</v>
      </c>
      <c r="S1147">
        <v>1809.44</v>
      </c>
    </row>
    <row r="1148" spans="1:19" x14ac:dyDescent="0.35">
      <c r="A1148">
        <v>101146</v>
      </c>
      <c r="B1148">
        <v>1677</v>
      </c>
      <c r="C1148" t="s">
        <v>19</v>
      </c>
      <c r="D1148" t="s">
        <v>20</v>
      </c>
      <c r="E1148" t="s">
        <v>34</v>
      </c>
      <c r="F1148" t="s">
        <v>35</v>
      </c>
      <c r="G1148" s="1">
        <v>45162</v>
      </c>
      <c r="H1148" s="1">
        <v>45167</v>
      </c>
      <c r="I1148" s="1">
        <v>45180</v>
      </c>
      <c r="J1148">
        <v>18</v>
      </c>
      <c r="K1148">
        <v>5</v>
      </c>
      <c r="L1148">
        <v>1</v>
      </c>
      <c r="M1148">
        <v>679.58</v>
      </c>
      <c r="N1148">
        <v>679.58</v>
      </c>
      <c r="O1148">
        <v>0.13</v>
      </c>
      <c r="P1148">
        <v>88.35</v>
      </c>
      <c r="Q1148">
        <v>591.23</v>
      </c>
      <c r="R1148">
        <v>434.93</v>
      </c>
      <c r="S1148">
        <v>156.30000000000001</v>
      </c>
    </row>
    <row r="1149" spans="1:19" x14ac:dyDescent="0.35">
      <c r="A1149">
        <v>101147</v>
      </c>
      <c r="B1149">
        <v>1472</v>
      </c>
      <c r="C1149" t="s">
        <v>28</v>
      </c>
      <c r="D1149" t="s">
        <v>20</v>
      </c>
      <c r="E1149" t="s">
        <v>26</v>
      </c>
      <c r="F1149" t="s">
        <v>37</v>
      </c>
      <c r="G1149" s="1">
        <v>45231</v>
      </c>
      <c r="H1149" s="1">
        <v>45232</v>
      </c>
      <c r="I1149" s="1">
        <v>45253</v>
      </c>
      <c r="J1149">
        <v>22</v>
      </c>
      <c r="K1149">
        <v>1</v>
      </c>
      <c r="L1149">
        <v>3</v>
      </c>
      <c r="M1149">
        <v>47.05</v>
      </c>
      <c r="N1149">
        <v>141.15</v>
      </c>
      <c r="O1149">
        <v>0.03</v>
      </c>
      <c r="P1149">
        <v>4.2300000000000004</v>
      </c>
      <c r="Q1149">
        <v>136.91999999999999</v>
      </c>
      <c r="R1149">
        <v>86.1</v>
      </c>
      <c r="S1149">
        <v>50.82</v>
      </c>
    </row>
    <row r="1150" spans="1:19" x14ac:dyDescent="0.35">
      <c r="A1150">
        <v>101148</v>
      </c>
      <c r="B1150">
        <v>1189</v>
      </c>
      <c r="C1150" t="s">
        <v>33</v>
      </c>
      <c r="D1150" t="s">
        <v>31</v>
      </c>
      <c r="E1150" t="s">
        <v>34</v>
      </c>
      <c r="F1150" t="s">
        <v>40</v>
      </c>
      <c r="G1150" s="1">
        <v>45029</v>
      </c>
      <c r="H1150" s="1">
        <v>45034</v>
      </c>
      <c r="I1150" s="1">
        <v>45037</v>
      </c>
      <c r="J1150">
        <v>8</v>
      </c>
      <c r="K1150">
        <v>5</v>
      </c>
      <c r="L1150">
        <v>12</v>
      </c>
      <c r="M1150">
        <v>140.88</v>
      </c>
      <c r="N1150">
        <v>1690.56</v>
      </c>
      <c r="O1150">
        <v>0.06</v>
      </c>
      <c r="P1150">
        <v>101.43</v>
      </c>
      <c r="Q1150">
        <v>1589.13</v>
      </c>
      <c r="R1150">
        <v>1031.24</v>
      </c>
      <c r="S1150">
        <v>557.89</v>
      </c>
    </row>
    <row r="1151" spans="1:19" x14ac:dyDescent="0.35">
      <c r="A1151">
        <v>101149</v>
      </c>
      <c r="B1151">
        <v>4331</v>
      </c>
      <c r="C1151" t="s">
        <v>28</v>
      </c>
      <c r="D1151" t="s">
        <v>29</v>
      </c>
      <c r="E1151" t="s">
        <v>26</v>
      </c>
      <c r="F1151" t="s">
        <v>44</v>
      </c>
      <c r="G1151" s="1">
        <v>44956</v>
      </c>
      <c r="H1151" s="1">
        <v>44959</v>
      </c>
      <c r="I1151" s="1">
        <v>44985</v>
      </c>
      <c r="J1151">
        <v>29</v>
      </c>
      <c r="K1151">
        <v>3</v>
      </c>
      <c r="L1151">
        <v>5</v>
      </c>
      <c r="M1151">
        <v>490.76</v>
      </c>
      <c r="N1151">
        <v>2453.8000000000002</v>
      </c>
      <c r="O1151">
        <v>0.05</v>
      </c>
      <c r="P1151">
        <v>122.69</v>
      </c>
      <c r="Q1151">
        <v>2331.11</v>
      </c>
      <c r="R1151">
        <v>1693.12</v>
      </c>
      <c r="S1151">
        <v>637.99</v>
      </c>
    </row>
    <row r="1152" spans="1:19" x14ac:dyDescent="0.35">
      <c r="A1152">
        <v>101150</v>
      </c>
      <c r="B1152">
        <v>2852</v>
      </c>
      <c r="C1152" t="s">
        <v>23</v>
      </c>
      <c r="D1152" t="s">
        <v>31</v>
      </c>
      <c r="E1152" t="s">
        <v>24</v>
      </c>
      <c r="F1152" t="s">
        <v>25</v>
      </c>
      <c r="G1152" s="1">
        <v>45152</v>
      </c>
      <c r="H1152" s="1">
        <v>45155</v>
      </c>
      <c r="I1152" s="1">
        <v>45166</v>
      </c>
      <c r="J1152">
        <v>14</v>
      </c>
      <c r="K1152">
        <v>3</v>
      </c>
      <c r="L1152">
        <v>12</v>
      </c>
      <c r="M1152">
        <v>199.62</v>
      </c>
      <c r="N1152">
        <v>2395.44</v>
      </c>
      <c r="O1152">
        <v>0.04</v>
      </c>
      <c r="P1152">
        <v>95.82</v>
      </c>
      <c r="Q1152">
        <v>2299.62</v>
      </c>
      <c r="R1152">
        <v>1461.22</v>
      </c>
      <c r="S1152">
        <v>838.4</v>
      </c>
    </row>
    <row r="1153" spans="1:19" x14ac:dyDescent="0.35">
      <c r="A1153">
        <v>101151</v>
      </c>
      <c r="B1153">
        <v>1667</v>
      </c>
      <c r="C1153" t="s">
        <v>28</v>
      </c>
      <c r="D1153" t="s">
        <v>29</v>
      </c>
      <c r="E1153" t="s">
        <v>24</v>
      </c>
      <c r="F1153" t="s">
        <v>30</v>
      </c>
      <c r="G1153" s="1">
        <v>44939</v>
      </c>
      <c r="H1153" s="1">
        <v>44940</v>
      </c>
      <c r="I1153" s="1">
        <v>44949</v>
      </c>
      <c r="J1153">
        <v>10</v>
      </c>
      <c r="K1153">
        <v>1</v>
      </c>
      <c r="L1153">
        <v>2</v>
      </c>
      <c r="M1153">
        <v>609.48</v>
      </c>
      <c r="N1153">
        <v>1218.96</v>
      </c>
      <c r="O1153">
        <v>0.11</v>
      </c>
      <c r="P1153">
        <v>134.09</v>
      </c>
      <c r="Q1153">
        <v>1084.8699999999999</v>
      </c>
      <c r="R1153">
        <v>780.13</v>
      </c>
      <c r="S1153">
        <v>304.74</v>
      </c>
    </row>
    <row r="1154" spans="1:19" x14ac:dyDescent="0.35">
      <c r="A1154">
        <v>101152</v>
      </c>
      <c r="B1154">
        <v>4236</v>
      </c>
      <c r="C1154" t="s">
        <v>33</v>
      </c>
      <c r="D1154" t="s">
        <v>31</v>
      </c>
      <c r="E1154" t="s">
        <v>34</v>
      </c>
      <c r="F1154" t="s">
        <v>40</v>
      </c>
      <c r="G1154" s="1">
        <v>44984</v>
      </c>
      <c r="H1154" s="1">
        <v>44989</v>
      </c>
      <c r="I1154" s="1">
        <v>45011</v>
      </c>
      <c r="J1154">
        <v>27</v>
      </c>
      <c r="K1154">
        <v>5</v>
      </c>
      <c r="L1154">
        <v>13</v>
      </c>
      <c r="M1154">
        <v>414.7</v>
      </c>
      <c r="N1154">
        <v>5391.1</v>
      </c>
      <c r="O1154">
        <v>7.0000000000000007E-2</v>
      </c>
      <c r="P1154">
        <v>377.38</v>
      </c>
      <c r="Q1154">
        <v>5013.72</v>
      </c>
      <c r="R1154">
        <v>3504.21</v>
      </c>
      <c r="S1154">
        <v>1509.51</v>
      </c>
    </row>
    <row r="1155" spans="1:19" x14ac:dyDescent="0.35">
      <c r="A1155">
        <v>101153</v>
      </c>
      <c r="B1155">
        <v>1422</v>
      </c>
      <c r="C1155" t="s">
        <v>28</v>
      </c>
      <c r="D1155" t="s">
        <v>20</v>
      </c>
      <c r="E1155" t="s">
        <v>34</v>
      </c>
      <c r="F1155" t="s">
        <v>35</v>
      </c>
      <c r="G1155" s="1">
        <v>45095</v>
      </c>
      <c r="H1155" s="1">
        <v>45097</v>
      </c>
      <c r="I1155" s="1">
        <v>45103</v>
      </c>
      <c r="J1155">
        <v>8</v>
      </c>
      <c r="K1155">
        <v>2</v>
      </c>
      <c r="L1155">
        <v>12</v>
      </c>
      <c r="M1155">
        <v>687.12</v>
      </c>
      <c r="N1155">
        <v>8245.44</v>
      </c>
      <c r="O1155">
        <v>0.16</v>
      </c>
      <c r="P1155">
        <v>1319.27</v>
      </c>
      <c r="Q1155">
        <v>6926.17</v>
      </c>
      <c r="R1155">
        <v>5441.99</v>
      </c>
      <c r="S1155">
        <v>1484.18</v>
      </c>
    </row>
    <row r="1156" spans="1:19" x14ac:dyDescent="0.35">
      <c r="A1156">
        <v>101154</v>
      </c>
      <c r="B1156">
        <v>2575</v>
      </c>
      <c r="C1156" t="s">
        <v>33</v>
      </c>
      <c r="D1156" t="s">
        <v>31</v>
      </c>
      <c r="E1156" t="s">
        <v>26</v>
      </c>
      <c r="F1156" t="s">
        <v>27</v>
      </c>
      <c r="G1156" s="1">
        <v>45047</v>
      </c>
      <c r="H1156" s="1">
        <v>45052</v>
      </c>
      <c r="I1156" s="1">
        <v>45067</v>
      </c>
      <c r="J1156">
        <v>20</v>
      </c>
      <c r="K1156">
        <v>5</v>
      </c>
      <c r="L1156">
        <v>12</v>
      </c>
      <c r="M1156">
        <v>203.48</v>
      </c>
      <c r="N1156">
        <v>2441.7600000000002</v>
      </c>
      <c r="O1156">
        <v>0.09</v>
      </c>
      <c r="P1156">
        <v>219.76</v>
      </c>
      <c r="Q1156">
        <v>2222</v>
      </c>
      <c r="R1156">
        <v>1562.73</v>
      </c>
      <c r="S1156">
        <v>659.27</v>
      </c>
    </row>
    <row r="1157" spans="1:19" x14ac:dyDescent="0.35">
      <c r="A1157">
        <v>101155</v>
      </c>
      <c r="B1157">
        <v>3875</v>
      </c>
      <c r="C1157" t="s">
        <v>19</v>
      </c>
      <c r="D1157" t="s">
        <v>20</v>
      </c>
      <c r="E1157" t="s">
        <v>24</v>
      </c>
      <c r="F1157" t="s">
        <v>42</v>
      </c>
      <c r="G1157" s="1">
        <v>44992</v>
      </c>
      <c r="H1157" s="1">
        <v>44996</v>
      </c>
      <c r="I1157" s="1">
        <v>45001</v>
      </c>
      <c r="J1157">
        <v>9</v>
      </c>
      <c r="K1157">
        <v>4</v>
      </c>
      <c r="L1157">
        <v>7</v>
      </c>
      <c r="M1157">
        <v>252.26</v>
      </c>
      <c r="N1157">
        <v>1765.82</v>
      </c>
      <c r="O1157">
        <v>0.17</v>
      </c>
      <c r="P1157">
        <v>300.19</v>
      </c>
      <c r="Q1157">
        <v>1465.63</v>
      </c>
      <c r="R1157">
        <v>988.86</v>
      </c>
      <c r="S1157">
        <v>476.77</v>
      </c>
    </row>
    <row r="1158" spans="1:19" x14ac:dyDescent="0.35">
      <c r="A1158">
        <v>101156</v>
      </c>
      <c r="B1158">
        <v>4595</v>
      </c>
      <c r="C1158" t="s">
        <v>19</v>
      </c>
      <c r="D1158" t="s">
        <v>31</v>
      </c>
      <c r="E1158" t="s">
        <v>34</v>
      </c>
      <c r="F1158" t="s">
        <v>35</v>
      </c>
      <c r="G1158" s="1">
        <v>45012</v>
      </c>
      <c r="H1158" s="1">
        <v>45017</v>
      </c>
      <c r="I1158" s="1">
        <v>45018</v>
      </c>
      <c r="J1158">
        <v>6</v>
      </c>
      <c r="K1158">
        <v>5</v>
      </c>
      <c r="L1158">
        <v>2</v>
      </c>
      <c r="M1158">
        <v>666.38</v>
      </c>
      <c r="N1158">
        <v>1332.76</v>
      </c>
      <c r="O1158">
        <v>0.11</v>
      </c>
      <c r="P1158">
        <v>146.6</v>
      </c>
      <c r="Q1158">
        <v>1186.1600000000001</v>
      </c>
      <c r="R1158">
        <v>852.97</v>
      </c>
      <c r="S1158">
        <v>333.19</v>
      </c>
    </row>
    <row r="1159" spans="1:19" x14ac:dyDescent="0.35">
      <c r="A1159">
        <v>101157</v>
      </c>
      <c r="B1159">
        <v>3120</v>
      </c>
      <c r="C1159" t="s">
        <v>28</v>
      </c>
      <c r="D1159" t="s">
        <v>29</v>
      </c>
      <c r="E1159" t="s">
        <v>26</v>
      </c>
      <c r="F1159" t="s">
        <v>27</v>
      </c>
      <c r="G1159" s="1">
        <v>45146</v>
      </c>
      <c r="H1159" s="1">
        <v>45147</v>
      </c>
      <c r="I1159" s="1">
        <v>45161</v>
      </c>
      <c r="J1159">
        <v>15</v>
      </c>
      <c r="K1159">
        <v>1</v>
      </c>
      <c r="L1159">
        <v>5</v>
      </c>
      <c r="M1159">
        <v>786.09</v>
      </c>
      <c r="N1159">
        <v>3930.45</v>
      </c>
      <c r="O1159">
        <v>7.0000000000000007E-2</v>
      </c>
      <c r="P1159">
        <v>275.13</v>
      </c>
      <c r="Q1159">
        <v>3655.32</v>
      </c>
      <c r="R1159">
        <v>2318.9699999999998</v>
      </c>
      <c r="S1159">
        <v>1336.35</v>
      </c>
    </row>
    <row r="1160" spans="1:19" x14ac:dyDescent="0.35">
      <c r="A1160">
        <v>101158</v>
      </c>
      <c r="B1160">
        <v>4049</v>
      </c>
      <c r="C1160" t="s">
        <v>33</v>
      </c>
      <c r="D1160" t="s">
        <v>31</v>
      </c>
      <c r="E1160" t="s">
        <v>24</v>
      </c>
      <c r="F1160" t="s">
        <v>30</v>
      </c>
      <c r="G1160" s="1">
        <v>44968</v>
      </c>
      <c r="H1160" s="1">
        <v>44969</v>
      </c>
      <c r="I1160" s="1">
        <v>44975</v>
      </c>
      <c r="J1160">
        <v>7</v>
      </c>
      <c r="K1160">
        <v>1</v>
      </c>
      <c r="L1160">
        <v>11</v>
      </c>
      <c r="M1160">
        <v>445.7</v>
      </c>
      <c r="N1160">
        <v>4902.7</v>
      </c>
      <c r="O1160">
        <v>0.12</v>
      </c>
      <c r="P1160">
        <v>588.32000000000005</v>
      </c>
      <c r="Q1160">
        <v>4314.38</v>
      </c>
      <c r="R1160">
        <v>2843.57</v>
      </c>
      <c r="S1160">
        <v>1470.81</v>
      </c>
    </row>
    <row r="1161" spans="1:19" x14ac:dyDescent="0.35">
      <c r="A1161">
        <v>101159</v>
      </c>
      <c r="B1161">
        <v>3244</v>
      </c>
      <c r="C1161" t="s">
        <v>19</v>
      </c>
      <c r="D1161" t="s">
        <v>29</v>
      </c>
      <c r="E1161" t="s">
        <v>26</v>
      </c>
      <c r="F1161" t="s">
        <v>36</v>
      </c>
      <c r="G1161" s="1">
        <v>45147</v>
      </c>
      <c r="H1161" s="1">
        <v>45149</v>
      </c>
      <c r="I1161" s="1">
        <v>45176</v>
      </c>
      <c r="J1161">
        <v>29</v>
      </c>
      <c r="K1161">
        <v>2</v>
      </c>
      <c r="L1161">
        <v>11</v>
      </c>
      <c r="M1161">
        <v>722</v>
      </c>
      <c r="N1161">
        <v>7942</v>
      </c>
      <c r="O1161">
        <v>0.11</v>
      </c>
      <c r="P1161">
        <v>873.62</v>
      </c>
      <c r="Q1161">
        <v>7068.38</v>
      </c>
      <c r="R1161">
        <v>5082.88</v>
      </c>
      <c r="S1161">
        <v>1985.5</v>
      </c>
    </row>
    <row r="1162" spans="1:19" x14ac:dyDescent="0.35">
      <c r="A1162">
        <v>101160</v>
      </c>
      <c r="B1162">
        <v>1181</v>
      </c>
      <c r="C1162" t="s">
        <v>28</v>
      </c>
      <c r="D1162" t="s">
        <v>20</v>
      </c>
      <c r="E1162" t="s">
        <v>21</v>
      </c>
      <c r="F1162" t="s">
        <v>38</v>
      </c>
      <c r="G1162" s="1">
        <v>45024</v>
      </c>
      <c r="H1162" s="1">
        <v>45028</v>
      </c>
      <c r="I1162" s="1">
        <v>45027</v>
      </c>
      <c r="J1162">
        <v>3</v>
      </c>
      <c r="K1162">
        <v>4</v>
      </c>
      <c r="L1162">
        <v>2</v>
      </c>
      <c r="M1162">
        <v>316.91000000000003</v>
      </c>
      <c r="N1162">
        <v>633.82000000000005</v>
      </c>
      <c r="O1162">
        <v>0.05</v>
      </c>
      <c r="P1162">
        <v>31.69</v>
      </c>
      <c r="Q1162">
        <v>602.13</v>
      </c>
      <c r="R1162">
        <v>431</v>
      </c>
      <c r="S1162">
        <v>171.13</v>
      </c>
    </row>
    <row r="1163" spans="1:19" x14ac:dyDescent="0.35">
      <c r="A1163">
        <v>101161</v>
      </c>
      <c r="B1163">
        <v>3699</v>
      </c>
      <c r="C1163" t="s">
        <v>33</v>
      </c>
      <c r="D1163" t="s">
        <v>20</v>
      </c>
      <c r="E1163" t="s">
        <v>24</v>
      </c>
      <c r="F1163" t="s">
        <v>32</v>
      </c>
      <c r="G1163" s="1">
        <v>45195</v>
      </c>
      <c r="H1163" s="1">
        <v>45197</v>
      </c>
      <c r="I1163" s="1">
        <v>45217</v>
      </c>
      <c r="J1163">
        <v>22</v>
      </c>
      <c r="K1163">
        <v>2</v>
      </c>
      <c r="L1163">
        <v>7</v>
      </c>
      <c r="M1163">
        <v>161.13</v>
      </c>
      <c r="N1163">
        <v>1127.9100000000001</v>
      </c>
      <c r="O1163">
        <v>0.08</v>
      </c>
      <c r="P1163">
        <v>90.23</v>
      </c>
      <c r="Q1163">
        <v>1037.68</v>
      </c>
      <c r="R1163">
        <v>710.58</v>
      </c>
      <c r="S1163">
        <v>327.10000000000002</v>
      </c>
    </row>
    <row r="1164" spans="1:19" x14ac:dyDescent="0.35">
      <c r="A1164">
        <v>101162</v>
      </c>
      <c r="B1164">
        <v>3106</v>
      </c>
      <c r="C1164" t="s">
        <v>19</v>
      </c>
      <c r="D1164" t="s">
        <v>31</v>
      </c>
      <c r="E1164" t="s">
        <v>21</v>
      </c>
      <c r="F1164" t="s">
        <v>39</v>
      </c>
      <c r="G1164" s="1">
        <v>45061</v>
      </c>
      <c r="H1164" s="1">
        <v>45064</v>
      </c>
      <c r="I1164" s="1">
        <v>45065</v>
      </c>
      <c r="J1164">
        <v>4</v>
      </c>
      <c r="K1164">
        <v>3</v>
      </c>
      <c r="L1164">
        <v>4</v>
      </c>
      <c r="M1164">
        <v>757.07</v>
      </c>
      <c r="N1164">
        <v>3028.28</v>
      </c>
      <c r="O1164">
        <v>0.17</v>
      </c>
      <c r="P1164">
        <v>514.80999999999995</v>
      </c>
      <c r="Q1164">
        <v>2513.4699999999998</v>
      </c>
      <c r="R1164">
        <v>1635.27</v>
      </c>
      <c r="S1164">
        <v>878.2</v>
      </c>
    </row>
    <row r="1165" spans="1:19" x14ac:dyDescent="0.35">
      <c r="A1165">
        <v>101163</v>
      </c>
      <c r="B1165">
        <v>3807</v>
      </c>
      <c r="C1165" t="s">
        <v>33</v>
      </c>
      <c r="D1165" t="s">
        <v>31</v>
      </c>
      <c r="E1165" t="s">
        <v>24</v>
      </c>
      <c r="F1165" t="s">
        <v>30</v>
      </c>
      <c r="G1165" s="1">
        <v>45282</v>
      </c>
      <c r="H1165" s="1">
        <v>45285</v>
      </c>
      <c r="I1165" s="1">
        <v>45284</v>
      </c>
      <c r="J1165">
        <v>2</v>
      </c>
      <c r="K1165">
        <v>3</v>
      </c>
      <c r="L1165">
        <v>11</v>
      </c>
      <c r="M1165">
        <v>186.18</v>
      </c>
      <c r="N1165">
        <v>2047.98</v>
      </c>
      <c r="O1165">
        <v>0.18</v>
      </c>
      <c r="P1165">
        <v>368.64</v>
      </c>
      <c r="Q1165">
        <v>1679.34</v>
      </c>
      <c r="R1165">
        <v>1208.31</v>
      </c>
      <c r="S1165">
        <v>471.03</v>
      </c>
    </row>
    <row r="1166" spans="1:19" x14ac:dyDescent="0.35">
      <c r="A1166">
        <v>101164</v>
      </c>
      <c r="B1166">
        <v>4402</v>
      </c>
      <c r="C1166" t="s">
        <v>28</v>
      </c>
      <c r="D1166" t="s">
        <v>20</v>
      </c>
      <c r="E1166" t="s">
        <v>34</v>
      </c>
      <c r="F1166" t="s">
        <v>35</v>
      </c>
      <c r="G1166" s="1">
        <v>45050</v>
      </c>
      <c r="H1166" s="1">
        <v>45053</v>
      </c>
      <c r="I1166" s="1">
        <v>45075</v>
      </c>
      <c r="J1166">
        <v>25</v>
      </c>
      <c r="K1166">
        <v>3</v>
      </c>
      <c r="L1166">
        <v>14</v>
      </c>
      <c r="M1166">
        <v>521.9</v>
      </c>
      <c r="N1166">
        <v>7306.6</v>
      </c>
      <c r="O1166">
        <v>0.1</v>
      </c>
      <c r="P1166">
        <v>730.66</v>
      </c>
      <c r="Q1166">
        <v>6575.94</v>
      </c>
      <c r="R1166">
        <v>4749.29</v>
      </c>
      <c r="S1166">
        <v>1826.65</v>
      </c>
    </row>
    <row r="1167" spans="1:19" x14ac:dyDescent="0.35">
      <c r="A1167">
        <v>101165</v>
      </c>
      <c r="B1167">
        <v>2946</v>
      </c>
      <c r="C1167" t="s">
        <v>33</v>
      </c>
      <c r="D1167" t="s">
        <v>31</v>
      </c>
      <c r="E1167" t="s">
        <v>21</v>
      </c>
      <c r="F1167" t="s">
        <v>22</v>
      </c>
      <c r="G1167" s="1">
        <v>44981</v>
      </c>
      <c r="H1167" s="1">
        <v>44982</v>
      </c>
      <c r="I1167" s="1">
        <v>44989</v>
      </c>
      <c r="J1167">
        <v>8</v>
      </c>
      <c r="K1167">
        <v>1</v>
      </c>
      <c r="L1167">
        <v>5</v>
      </c>
      <c r="M1167">
        <v>325.70999999999998</v>
      </c>
      <c r="N1167">
        <v>1628.55</v>
      </c>
      <c r="O1167">
        <v>0.12</v>
      </c>
      <c r="P1167">
        <v>195.43</v>
      </c>
      <c r="Q1167">
        <v>1433.12</v>
      </c>
      <c r="R1167">
        <v>1042.27</v>
      </c>
      <c r="S1167">
        <v>390.85</v>
      </c>
    </row>
    <row r="1168" spans="1:19" x14ac:dyDescent="0.35">
      <c r="A1168">
        <v>101166</v>
      </c>
      <c r="B1168">
        <v>3917</v>
      </c>
      <c r="C1168" t="s">
        <v>19</v>
      </c>
      <c r="D1168" t="s">
        <v>31</v>
      </c>
      <c r="E1168" t="s">
        <v>24</v>
      </c>
      <c r="F1168" t="s">
        <v>42</v>
      </c>
      <c r="G1168" s="1">
        <v>45164</v>
      </c>
      <c r="H1168" s="1">
        <v>45167</v>
      </c>
      <c r="I1168" s="1">
        <v>45171</v>
      </c>
      <c r="J1168">
        <v>7</v>
      </c>
      <c r="K1168">
        <v>3</v>
      </c>
      <c r="L1168">
        <v>2</v>
      </c>
      <c r="M1168">
        <v>103.39</v>
      </c>
      <c r="N1168">
        <v>206.78</v>
      </c>
      <c r="O1168">
        <v>0.08</v>
      </c>
      <c r="P1168">
        <v>16.54</v>
      </c>
      <c r="Q1168">
        <v>190.24</v>
      </c>
      <c r="R1168">
        <v>113.73</v>
      </c>
      <c r="S1168">
        <v>76.510000000000005</v>
      </c>
    </row>
    <row r="1169" spans="1:19" x14ac:dyDescent="0.35">
      <c r="A1169">
        <v>101167</v>
      </c>
      <c r="B1169">
        <v>4955</v>
      </c>
      <c r="C1169" t="s">
        <v>33</v>
      </c>
      <c r="D1169" t="s">
        <v>20</v>
      </c>
      <c r="E1169" t="s">
        <v>21</v>
      </c>
      <c r="F1169" t="s">
        <v>22</v>
      </c>
      <c r="G1169" s="1">
        <v>45080</v>
      </c>
      <c r="H1169" s="1">
        <v>45082</v>
      </c>
      <c r="I1169" s="1">
        <v>45104</v>
      </c>
      <c r="J1169">
        <v>24</v>
      </c>
      <c r="K1169">
        <v>2</v>
      </c>
      <c r="L1169">
        <v>10</v>
      </c>
      <c r="M1169">
        <v>708</v>
      </c>
      <c r="N1169">
        <v>7080</v>
      </c>
      <c r="O1169">
        <v>0.16</v>
      </c>
      <c r="P1169">
        <v>1132.8</v>
      </c>
      <c r="Q1169">
        <v>5947.2</v>
      </c>
      <c r="R1169">
        <v>4389.6000000000004</v>
      </c>
      <c r="S1169">
        <v>1557.6</v>
      </c>
    </row>
    <row r="1170" spans="1:19" x14ac:dyDescent="0.35">
      <c r="A1170">
        <v>101168</v>
      </c>
      <c r="B1170">
        <v>2234</v>
      </c>
      <c r="C1170" t="s">
        <v>33</v>
      </c>
      <c r="D1170" t="s">
        <v>29</v>
      </c>
      <c r="E1170" t="s">
        <v>26</v>
      </c>
      <c r="F1170" t="s">
        <v>44</v>
      </c>
      <c r="G1170" s="1">
        <v>45141</v>
      </c>
      <c r="H1170" s="1">
        <v>45143</v>
      </c>
      <c r="I1170" s="1">
        <v>45164</v>
      </c>
      <c r="J1170">
        <v>23</v>
      </c>
      <c r="K1170">
        <v>2</v>
      </c>
      <c r="L1170">
        <v>14</v>
      </c>
      <c r="M1170">
        <v>743.05</v>
      </c>
      <c r="N1170">
        <v>10402.700000000001</v>
      </c>
      <c r="O1170">
        <v>0.1</v>
      </c>
      <c r="P1170">
        <v>1040.27</v>
      </c>
      <c r="Q1170">
        <v>9362.43</v>
      </c>
      <c r="R1170">
        <v>6241.62</v>
      </c>
      <c r="S1170">
        <v>3120.81</v>
      </c>
    </row>
    <row r="1171" spans="1:19" x14ac:dyDescent="0.35">
      <c r="A1171">
        <v>101169</v>
      </c>
      <c r="B1171">
        <v>2980</v>
      </c>
      <c r="C1171" t="s">
        <v>28</v>
      </c>
      <c r="D1171" t="s">
        <v>31</v>
      </c>
      <c r="E1171" t="s">
        <v>26</v>
      </c>
      <c r="F1171" t="s">
        <v>27</v>
      </c>
      <c r="G1171" s="1">
        <v>45136</v>
      </c>
      <c r="H1171" s="1">
        <v>45140</v>
      </c>
      <c r="I1171" s="1">
        <v>45152</v>
      </c>
      <c r="J1171">
        <v>16</v>
      </c>
      <c r="K1171">
        <v>4</v>
      </c>
      <c r="L1171">
        <v>6</v>
      </c>
      <c r="M1171">
        <v>10.68</v>
      </c>
      <c r="N1171">
        <v>64.08</v>
      </c>
      <c r="O1171">
        <v>0.17</v>
      </c>
      <c r="P1171">
        <v>10.89</v>
      </c>
      <c r="Q1171">
        <v>53.19</v>
      </c>
      <c r="R1171">
        <v>42.93</v>
      </c>
      <c r="S1171">
        <v>10.26</v>
      </c>
    </row>
    <row r="1172" spans="1:19" x14ac:dyDescent="0.35">
      <c r="A1172">
        <v>101170</v>
      </c>
      <c r="B1172">
        <v>3200</v>
      </c>
      <c r="C1172" t="s">
        <v>23</v>
      </c>
      <c r="D1172" t="s">
        <v>20</v>
      </c>
      <c r="E1172" t="s">
        <v>26</v>
      </c>
      <c r="F1172" t="s">
        <v>27</v>
      </c>
      <c r="G1172" s="1">
        <v>44975</v>
      </c>
      <c r="H1172" s="1">
        <v>44976</v>
      </c>
      <c r="I1172" s="1">
        <v>44987</v>
      </c>
      <c r="J1172">
        <v>12</v>
      </c>
      <c r="K1172">
        <v>1</v>
      </c>
      <c r="L1172">
        <v>10</v>
      </c>
      <c r="M1172">
        <v>243.5</v>
      </c>
      <c r="N1172">
        <v>2435</v>
      </c>
      <c r="O1172">
        <v>0.13</v>
      </c>
      <c r="P1172">
        <v>316.55</v>
      </c>
      <c r="Q1172">
        <v>2118.4499999999998</v>
      </c>
      <c r="R1172">
        <v>1607.1</v>
      </c>
      <c r="S1172">
        <v>511.35</v>
      </c>
    </row>
    <row r="1173" spans="1:19" x14ac:dyDescent="0.35">
      <c r="A1173">
        <v>101171</v>
      </c>
      <c r="B1173">
        <v>4263</v>
      </c>
      <c r="C1173" t="s">
        <v>23</v>
      </c>
      <c r="D1173" t="s">
        <v>31</v>
      </c>
      <c r="E1173" t="s">
        <v>34</v>
      </c>
      <c r="F1173" t="s">
        <v>40</v>
      </c>
      <c r="G1173" s="1">
        <v>45093</v>
      </c>
      <c r="H1173" s="1">
        <v>45094</v>
      </c>
      <c r="I1173" s="1">
        <v>45122</v>
      </c>
      <c r="J1173">
        <v>29</v>
      </c>
      <c r="K1173">
        <v>1</v>
      </c>
      <c r="L1173">
        <v>10</v>
      </c>
      <c r="M1173">
        <v>518.04</v>
      </c>
      <c r="N1173">
        <v>5180.3999999999996</v>
      </c>
      <c r="O1173">
        <v>0.06</v>
      </c>
      <c r="P1173">
        <v>310.82</v>
      </c>
      <c r="Q1173">
        <v>4869.58</v>
      </c>
      <c r="R1173">
        <v>3211.85</v>
      </c>
      <c r="S1173">
        <v>1657.73</v>
      </c>
    </row>
    <row r="1174" spans="1:19" x14ac:dyDescent="0.35">
      <c r="A1174">
        <v>101172</v>
      </c>
      <c r="B1174">
        <v>2927</v>
      </c>
      <c r="C1174" t="s">
        <v>33</v>
      </c>
      <c r="D1174" t="s">
        <v>31</v>
      </c>
      <c r="E1174" t="s">
        <v>34</v>
      </c>
      <c r="F1174" t="s">
        <v>45</v>
      </c>
      <c r="G1174" s="1">
        <v>45109</v>
      </c>
      <c r="H1174" s="1">
        <v>45114</v>
      </c>
      <c r="I1174" s="1">
        <v>45134</v>
      </c>
      <c r="J1174">
        <v>25</v>
      </c>
      <c r="K1174">
        <v>5</v>
      </c>
      <c r="L1174">
        <v>12</v>
      </c>
      <c r="M1174">
        <v>412</v>
      </c>
      <c r="N1174">
        <v>4944</v>
      </c>
      <c r="O1174">
        <v>0</v>
      </c>
      <c r="P1174">
        <v>0</v>
      </c>
      <c r="Q1174">
        <v>4944</v>
      </c>
      <c r="R1174">
        <v>2916.96</v>
      </c>
      <c r="S1174">
        <v>2027.04</v>
      </c>
    </row>
    <row r="1175" spans="1:19" x14ac:dyDescent="0.35">
      <c r="A1175">
        <v>101173</v>
      </c>
      <c r="B1175">
        <v>1215</v>
      </c>
      <c r="C1175" t="s">
        <v>23</v>
      </c>
      <c r="D1175" t="s">
        <v>29</v>
      </c>
      <c r="E1175" t="s">
        <v>26</v>
      </c>
      <c r="F1175" t="s">
        <v>37</v>
      </c>
      <c r="G1175" s="1">
        <v>45148</v>
      </c>
      <c r="H1175" s="1">
        <v>45151</v>
      </c>
      <c r="I1175" s="1">
        <v>45168</v>
      </c>
      <c r="J1175">
        <v>20</v>
      </c>
      <c r="K1175">
        <v>3</v>
      </c>
      <c r="L1175">
        <v>5</v>
      </c>
      <c r="M1175">
        <v>438.4</v>
      </c>
      <c r="N1175">
        <v>2192</v>
      </c>
      <c r="O1175">
        <v>0.2</v>
      </c>
      <c r="P1175">
        <v>438.4</v>
      </c>
      <c r="Q1175">
        <v>1753.6</v>
      </c>
      <c r="R1175">
        <v>1293.28</v>
      </c>
      <c r="S1175">
        <v>460.32</v>
      </c>
    </row>
    <row r="1176" spans="1:19" x14ac:dyDescent="0.35">
      <c r="A1176">
        <v>101174</v>
      </c>
      <c r="B1176">
        <v>1513</v>
      </c>
      <c r="C1176" t="s">
        <v>28</v>
      </c>
      <c r="D1176" t="s">
        <v>20</v>
      </c>
      <c r="E1176" t="s">
        <v>21</v>
      </c>
      <c r="F1176" t="s">
        <v>39</v>
      </c>
      <c r="G1176" s="1">
        <v>45023</v>
      </c>
      <c r="H1176" s="1">
        <v>45028</v>
      </c>
      <c r="I1176" s="1">
        <v>45041</v>
      </c>
      <c r="J1176">
        <v>18</v>
      </c>
      <c r="K1176">
        <v>5</v>
      </c>
      <c r="L1176">
        <v>5</v>
      </c>
      <c r="M1176">
        <v>615.02</v>
      </c>
      <c r="N1176">
        <v>3075.1</v>
      </c>
      <c r="O1176">
        <v>0.13</v>
      </c>
      <c r="P1176">
        <v>399.76</v>
      </c>
      <c r="Q1176">
        <v>2675.34</v>
      </c>
      <c r="R1176">
        <v>1783.56</v>
      </c>
      <c r="S1176">
        <v>891.78</v>
      </c>
    </row>
    <row r="1177" spans="1:19" x14ac:dyDescent="0.35">
      <c r="A1177">
        <v>101175</v>
      </c>
      <c r="B1177">
        <v>1150</v>
      </c>
      <c r="C1177" t="s">
        <v>23</v>
      </c>
      <c r="D1177" t="s">
        <v>31</v>
      </c>
      <c r="E1177" t="s">
        <v>21</v>
      </c>
      <c r="F1177" t="s">
        <v>39</v>
      </c>
      <c r="G1177" s="1">
        <v>44997</v>
      </c>
      <c r="H1177" s="1">
        <v>44998</v>
      </c>
      <c r="I1177" s="1">
        <v>45019</v>
      </c>
      <c r="J1177">
        <v>22</v>
      </c>
      <c r="K1177">
        <v>1</v>
      </c>
      <c r="L1177">
        <v>5</v>
      </c>
      <c r="M1177">
        <v>612.39</v>
      </c>
      <c r="N1177">
        <v>3061.95</v>
      </c>
      <c r="O1177">
        <v>0.11</v>
      </c>
      <c r="P1177">
        <v>336.81</v>
      </c>
      <c r="Q1177">
        <v>2725.14</v>
      </c>
      <c r="R1177">
        <v>1837.17</v>
      </c>
      <c r="S1177">
        <v>887.97</v>
      </c>
    </row>
    <row r="1178" spans="1:19" x14ac:dyDescent="0.35">
      <c r="A1178">
        <v>101176</v>
      </c>
      <c r="B1178">
        <v>4025</v>
      </c>
      <c r="C1178" t="s">
        <v>33</v>
      </c>
      <c r="D1178" t="s">
        <v>29</v>
      </c>
      <c r="E1178" t="s">
        <v>34</v>
      </c>
      <c r="F1178" t="s">
        <v>35</v>
      </c>
      <c r="G1178" s="1">
        <v>45051</v>
      </c>
      <c r="H1178" s="1">
        <v>45053</v>
      </c>
      <c r="I1178" s="1">
        <v>45074</v>
      </c>
      <c r="J1178">
        <v>23</v>
      </c>
      <c r="K1178">
        <v>2</v>
      </c>
      <c r="L1178">
        <v>10</v>
      </c>
      <c r="M1178">
        <v>644.01</v>
      </c>
      <c r="N1178">
        <v>6440.1</v>
      </c>
      <c r="O1178">
        <v>0.12</v>
      </c>
      <c r="P1178">
        <v>772.81</v>
      </c>
      <c r="Q1178">
        <v>5667.29</v>
      </c>
      <c r="R1178">
        <v>4250.47</v>
      </c>
      <c r="S1178">
        <v>1416.82</v>
      </c>
    </row>
    <row r="1179" spans="1:19" x14ac:dyDescent="0.35">
      <c r="A1179">
        <v>101177</v>
      </c>
      <c r="B1179">
        <v>2781</v>
      </c>
      <c r="C1179" t="s">
        <v>19</v>
      </c>
      <c r="D1179" t="s">
        <v>29</v>
      </c>
      <c r="E1179" t="s">
        <v>26</v>
      </c>
      <c r="F1179" t="s">
        <v>37</v>
      </c>
      <c r="G1179" s="1">
        <v>45135</v>
      </c>
      <c r="H1179" s="1">
        <v>45137</v>
      </c>
      <c r="I1179" s="1">
        <v>45141</v>
      </c>
      <c r="J1179">
        <v>6</v>
      </c>
      <c r="K1179">
        <v>2</v>
      </c>
      <c r="L1179">
        <v>12</v>
      </c>
      <c r="M1179">
        <v>115.55</v>
      </c>
      <c r="N1179">
        <v>1386.6</v>
      </c>
      <c r="O1179">
        <v>0.15</v>
      </c>
      <c r="P1179">
        <v>207.99</v>
      </c>
      <c r="Q1179">
        <v>1178.6099999999999</v>
      </c>
      <c r="R1179">
        <v>956.75</v>
      </c>
      <c r="S1179">
        <v>221.86</v>
      </c>
    </row>
    <row r="1180" spans="1:19" x14ac:dyDescent="0.35">
      <c r="A1180">
        <v>101178</v>
      </c>
      <c r="B1180">
        <v>3501</v>
      </c>
      <c r="C1180" t="s">
        <v>23</v>
      </c>
      <c r="D1180" t="s">
        <v>29</v>
      </c>
      <c r="E1180" t="s">
        <v>34</v>
      </c>
      <c r="F1180" t="s">
        <v>43</v>
      </c>
      <c r="G1180" s="1">
        <v>45111</v>
      </c>
      <c r="H1180" s="1">
        <v>45115</v>
      </c>
      <c r="I1180" s="1">
        <v>45138</v>
      </c>
      <c r="J1180">
        <v>27</v>
      </c>
      <c r="K1180">
        <v>4</v>
      </c>
      <c r="L1180">
        <v>11</v>
      </c>
      <c r="M1180">
        <v>546.58000000000004</v>
      </c>
      <c r="N1180">
        <v>6012.38</v>
      </c>
      <c r="O1180">
        <v>0.06</v>
      </c>
      <c r="P1180">
        <v>360.74</v>
      </c>
      <c r="Q1180">
        <v>5651.64</v>
      </c>
      <c r="R1180">
        <v>4028.29</v>
      </c>
      <c r="S1180">
        <v>1623.35</v>
      </c>
    </row>
    <row r="1181" spans="1:19" x14ac:dyDescent="0.35">
      <c r="A1181">
        <v>101179</v>
      </c>
      <c r="B1181">
        <v>4957</v>
      </c>
      <c r="C1181" t="s">
        <v>28</v>
      </c>
      <c r="D1181" t="s">
        <v>29</v>
      </c>
      <c r="E1181" t="s">
        <v>34</v>
      </c>
      <c r="F1181" t="s">
        <v>40</v>
      </c>
      <c r="G1181" s="1">
        <v>45260</v>
      </c>
      <c r="H1181" s="1">
        <v>45261</v>
      </c>
      <c r="I1181" s="1">
        <v>45276</v>
      </c>
      <c r="J1181">
        <v>16</v>
      </c>
      <c r="K1181">
        <v>1</v>
      </c>
      <c r="L1181">
        <v>5</v>
      </c>
      <c r="M1181">
        <v>759.64</v>
      </c>
      <c r="N1181">
        <v>3798.2</v>
      </c>
      <c r="O1181">
        <v>0.13</v>
      </c>
      <c r="P1181">
        <v>493.77</v>
      </c>
      <c r="Q1181">
        <v>3304.43</v>
      </c>
      <c r="R1181">
        <v>2620.7600000000002</v>
      </c>
      <c r="S1181">
        <v>683.67</v>
      </c>
    </row>
    <row r="1182" spans="1:19" x14ac:dyDescent="0.35">
      <c r="A1182">
        <v>101180</v>
      </c>
      <c r="B1182">
        <v>1180</v>
      </c>
      <c r="C1182" t="s">
        <v>33</v>
      </c>
      <c r="D1182" t="s">
        <v>29</v>
      </c>
      <c r="E1182" t="s">
        <v>26</v>
      </c>
      <c r="F1182" t="s">
        <v>27</v>
      </c>
      <c r="G1182" s="1">
        <v>45197</v>
      </c>
      <c r="H1182" s="1">
        <v>45199</v>
      </c>
      <c r="I1182" s="1">
        <v>45215</v>
      </c>
      <c r="J1182">
        <v>18</v>
      </c>
      <c r="K1182">
        <v>2</v>
      </c>
      <c r="L1182">
        <v>7</v>
      </c>
      <c r="M1182">
        <v>134.57</v>
      </c>
      <c r="N1182">
        <v>941.99</v>
      </c>
      <c r="O1182">
        <v>0.1</v>
      </c>
      <c r="P1182">
        <v>94.2</v>
      </c>
      <c r="Q1182">
        <v>847.79</v>
      </c>
      <c r="R1182">
        <v>565.19000000000005</v>
      </c>
      <c r="S1182">
        <v>282.60000000000002</v>
      </c>
    </row>
    <row r="1183" spans="1:19" x14ac:dyDescent="0.35">
      <c r="A1183">
        <v>101181</v>
      </c>
      <c r="B1183">
        <v>3483</v>
      </c>
      <c r="C1183" t="s">
        <v>23</v>
      </c>
      <c r="D1183" t="s">
        <v>20</v>
      </c>
      <c r="E1183" t="s">
        <v>26</v>
      </c>
      <c r="F1183" t="s">
        <v>36</v>
      </c>
      <c r="G1183" s="1">
        <v>44928</v>
      </c>
      <c r="H1183" s="1">
        <v>44932</v>
      </c>
      <c r="I1183" s="1">
        <v>44932</v>
      </c>
      <c r="J1183">
        <v>4</v>
      </c>
      <c r="K1183">
        <v>4</v>
      </c>
      <c r="L1183">
        <v>10</v>
      </c>
      <c r="M1183">
        <v>226.93</v>
      </c>
      <c r="N1183">
        <v>2269.3000000000002</v>
      </c>
      <c r="O1183">
        <v>0.06</v>
      </c>
      <c r="P1183">
        <v>136.16</v>
      </c>
      <c r="Q1183">
        <v>2133.14</v>
      </c>
      <c r="R1183">
        <v>1384.27</v>
      </c>
      <c r="S1183">
        <v>748.87</v>
      </c>
    </row>
    <row r="1184" spans="1:19" x14ac:dyDescent="0.35">
      <c r="A1184">
        <v>101182</v>
      </c>
      <c r="B1184">
        <v>4692</v>
      </c>
      <c r="C1184" t="s">
        <v>23</v>
      </c>
      <c r="D1184" t="s">
        <v>29</v>
      </c>
      <c r="E1184" t="s">
        <v>24</v>
      </c>
      <c r="F1184" t="s">
        <v>32</v>
      </c>
      <c r="G1184" s="1">
        <v>44957</v>
      </c>
      <c r="H1184" s="1">
        <v>44960</v>
      </c>
      <c r="I1184" s="1">
        <v>44961</v>
      </c>
      <c r="J1184">
        <v>4</v>
      </c>
      <c r="K1184">
        <v>3</v>
      </c>
      <c r="L1184">
        <v>8</v>
      </c>
      <c r="M1184">
        <v>308.86</v>
      </c>
      <c r="N1184">
        <v>2470.88</v>
      </c>
      <c r="O1184">
        <v>0</v>
      </c>
      <c r="P1184">
        <v>0</v>
      </c>
      <c r="Q1184">
        <v>2470.88</v>
      </c>
      <c r="R1184">
        <v>1556.65</v>
      </c>
      <c r="S1184">
        <v>914.23</v>
      </c>
    </row>
    <row r="1185" spans="1:19" x14ac:dyDescent="0.35">
      <c r="A1185">
        <v>101183</v>
      </c>
      <c r="B1185">
        <v>1566</v>
      </c>
      <c r="C1185" t="s">
        <v>23</v>
      </c>
      <c r="D1185" t="s">
        <v>20</v>
      </c>
      <c r="E1185" t="s">
        <v>34</v>
      </c>
      <c r="F1185" t="s">
        <v>40</v>
      </c>
      <c r="G1185" s="1">
        <v>45136</v>
      </c>
      <c r="H1185" s="1">
        <v>45141</v>
      </c>
      <c r="I1185" s="1">
        <v>45146</v>
      </c>
      <c r="J1185">
        <v>10</v>
      </c>
      <c r="K1185">
        <v>5</v>
      </c>
      <c r="L1185">
        <v>9</v>
      </c>
      <c r="M1185">
        <v>719.24</v>
      </c>
      <c r="N1185">
        <v>6473.16</v>
      </c>
      <c r="O1185">
        <v>0.1</v>
      </c>
      <c r="P1185">
        <v>647.32000000000005</v>
      </c>
      <c r="Q1185">
        <v>5825.84</v>
      </c>
      <c r="R1185">
        <v>4531.21</v>
      </c>
      <c r="S1185">
        <v>1294.6300000000001</v>
      </c>
    </row>
    <row r="1186" spans="1:19" x14ac:dyDescent="0.35">
      <c r="A1186">
        <v>101184</v>
      </c>
      <c r="B1186">
        <v>1175</v>
      </c>
      <c r="C1186" t="s">
        <v>28</v>
      </c>
      <c r="D1186" t="s">
        <v>29</v>
      </c>
      <c r="E1186" t="s">
        <v>21</v>
      </c>
      <c r="F1186" t="s">
        <v>22</v>
      </c>
      <c r="G1186" s="1">
        <v>45280</v>
      </c>
      <c r="H1186" s="1">
        <v>45283</v>
      </c>
      <c r="I1186" s="1">
        <v>45291</v>
      </c>
      <c r="J1186">
        <v>11</v>
      </c>
      <c r="K1186">
        <v>3</v>
      </c>
      <c r="L1186">
        <v>3</v>
      </c>
      <c r="M1186">
        <v>227.78</v>
      </c>
      <c r="N1186">
        <v>683.34</v>
      </c>
      <c r="O1186">
        <v>7.0000000000000007E-2</v>
      </c>
      <c r="P1186">
        <v>47.83</v>
      </c>
      <c r="Q1186">
        <v>635.51</v>
      </c>
      <c r="R1186">
        <v>471.5</v>
      </c>
      <c r="S1186">
        <v>164.01</v>
      </c>
    </row>
    <row r="1187" spans="1:19" x14ac:dyDescent="0.35">
      <c r="A1187">
        <v>101185</v>
      </c>
      <c r="B1187">
        <v>3169</v>
      </c>
      <c r="C1187" t="s">
        <v>33</v>
      </c>
      <c r="D1187" t="s">
        <v>29</v>
      </c>
      <c r="E1187" t="s">
        <v>26</v>
      </c>
      <c r="F1187" t="s">
        <v>37</v>
      </c>
      <c r="G1187" s="1">
        <v>44986</v>
      </c>
      <c r="H1187" s="1">
        <v>44991</v>
      </c>
      <c r="I1187" s="1">
        <v>45016</v>
      </c>
      <c r="J1187">
        <v>30</v>
      </c>
      <c r="K1187">
        <v>5</v>
      </c>
      <c r="L1187">
        <v>12</v>
      </c>
      <c r="M1187">
        <v>548.13</v>
      </c>
      <c r="N1187">
        <v>6577.56</v>
      </c>
      <c r="O1187">
        <v>0.11</v>
      </c>
      <c r="P1187">
        <v>723.53</v>
      </c>
      <c r="Q1187">
        <v>5854.03</v>
      </c>
      <c r="R1187">
        <v>3814.98</v>
      </c>
      <c r="S1187">
        <v>2039.05</v>
      </c>
    </row>
    <row r="1188" spans="1:19" x14ac:dyDescent="0.35">
      <c r="A1188">
        <v>101186</v>
      </c>
      <c r="B1188">
        <v>3571</v>
      </c>
      <c r="C1188" t="s">
        <v>19</v>
      </c>
      <c r="D1188" t="s">
        <v>20</v>
      </c>
      <c r="E1188" t="s">
        <v>21</v>
      </c>
      <c r="F1188" t="s">
        <v>41</v>
      </c>
      <c r="G1188" s="1">
        <v>45042</v>
      </c>
      <c r="H1188" s="1">
        <v>45044</v>
      </c>
      <c r="I1188" s="1">
        <v>45066</v>
      </c>
      <c r="J1188">
        <v>24</v>
      </c>
      <c r="K1188">
        <v>2</v>
      </c>
      <c r="L1188">
        <v>9</v>
      </c>
      <c r="M1188">
        <v>476.01</v>
      </c>
      <c r="N1188">
        <v>4284.09</v>
      </c>
      <c r="O1188">
        <v>0.09</v>
      </c>
      <c r="P1188">
        <v>385.57</v>
      </c>
      <c r="Q1188">
        <v>3898.52</v>
      </c>
      <c r="R1188">
        <v>2956.02</v>
      </c>
      <c r="S1188">
        <v>942.5</v>
      </c>
    </row>
    <row r="1189" spans="1:19" x14ac:dyDescent="0.35">
      <c r="A1189">
        <v>101187</v>
      </c>
      <c r="B1189">
        <v>1460</v>
      </c>
      <c r="C1189" t="s">
        <v>23</v>
      </c>
      <c r="D1189" t="s">
        <v>29</v>
      </c>
      <c r="E1189" t="s">
        <v>26</v>
      </c>
      <c r="F1189" t="s">
        <v>37</v>
      </c>
      <c r="G1189" s="1">
        <v>45010</v>
      </c>
      <c r="H1189" s="1">
        <v>45014</v>
      </c>
      <c r="I1189" s="1">
        <v>45026</v>
      </c>
      <c r="J1189">
        <v>16</v>
      </c>
      <c r="K1189">
        <v>4</v>
      </c>
      <c r="L1189">
        <v>11</v>
      </c>
      <c r="M1189">
        <v>284.25</v>
      </c>
      <c r="N1189">
        <v>3126.75</v>
      </c>
      <c r="O1189">
        <v>0.08</v>
      </c>
      <c r="P1189">
        <v>250.14</v>
      </c>
      <c r="Q1189">
        <v>2876.61</v>
      </c>
      <c r="R1189">
        <v>2251.2600000000002</v>
      </c>
      <c r="S1189">
        <v>625.35</v>
      </c>
    </row>
    <row r="1190" spans="1:19" x14ac:dyDescent="0.35">
      <c r="A1190">
        <v>101188</v>
      </c>
      <c r="B1190">
        <v>2776</v>
      </c>
      <c r="C1190" t="s">
        <v>19</v>
      </c>
      <c r="D1190" t="s">
        <v>31</v>
      </c>
      <c r="E1190" t="s">
        <v>26</v>
      </c>
      <c r="F1190" t="s">
        <v>36</v>
      </c>
      <c r="G1190" s="1">
        <v>45033</v>
      </c>
      <c r="H1190" s="1">
        <v>45036</v>
      </c>
      <c r="I1190" s="1">
        <v>45059</v>
      </c>
      <c r="J1190">
        <v>26</v>
      </c>
      <c r="K1190">
        <v>3</v>
      </c>
      <c r="L1190">
        <v>4</v>
      </c>
      <c r="M1190">
        <v>199.92</v>
      </c>
      <c r="N1190">
        <v>799.68</v>
      </c>
      <c r="O1190">
        <v>0.06</v>
      </c>
      <c r="P1190">
        <v>47.98</v>
      </c>
      <c r="Q1190">
        <v>751.7</v>
      </c>
      <c r="R1190">
        <v>519.79</v>
      </c>
      <c r="S1190">
        <v>231.91</v>
      </c>
    </row>
    <row r="1191" spans="1:19" x14ac:dyDescent="0.35">
      <c r="A1191">
        <v>101189</v>
      </c>
      <c r="B1191">
        <v>1498</v>
      </c>
      <c r="C1191" t="s">
        <v>23</v>
      </c>
      <c r="D1191" t="s">
        <v>20</v>
      </c>
      <c r="E1191" t="s">
        <v>21</v>
      </c>
      <c r="F1191" t="s">
        <v>38</v>
      </c>
      <c r="G1191" s="1">
        <v>45083</v>
      </c>
      <c r="H1191" s="1">
        <v>45086</v>
      </c>
      <c r="I1191" s="1">
        <v>45101</v>
      </c>
      <c r="J1191">
        <v>18</v>
      </c>
      <c r="K1191">
        <v>3</v>
      </c>
      <c r="L1191">
        <v>3</v>
      </c>
      <c r="M1191">
        <v>425.59</v>
      </c>
      <c r="N1191">
        <v>1276.77</v>
      </c>
      <c r="O1191">
        <v>0.11</v>
      </c>
      <c r="P1191">
        <v>140.44</v>
      </c>
      <c r="Q1191">
        <v>1136.33</v>
      </c>
      <c r="R1191">
        <v>817.13</v>
      </c>
      <c r="S1191">
        <v>319.2</v>
      </c>
    </row>
    <row r="1192" spans="1:19" x14ac:dyDescent="0.35">
      <c r="A1192">
        <v>101190</v>
      </c>
      <c r="B1192">
        <v>3191</v>
      </c>
      <c r="C1192" t="s">
        <v>19</v>
      </c>
      <c r="D1192" t="s">
        <v>20</v>
      </c>
      <c r="E1192" t="s">
        <v>26</v>
      </c>
      <c r="F1192" t="s">
        <v>27</v>
      </c>
      <c r="G1192" s="1">
        <v>45188</v>
      </c>
      <c r="H1192" s="1">
        <v>45190</v>
      </c>
      <c r="I1192" s="1">
        <v>45208</v>
      </c>
      <c r="J1192">
        <v>20</v>
      </c>
      <c r="K1192">
        <v>2</v>
      </c>
      <c r="L1192">
        <v>8</v>
      </c>
      <c r="M1192">
        <v>647.33000000000004</v>
      </c>
      <c r="N1192">
        <v>5178.6400000000003</v>
      </c>
      <c r="O1192">
        <v>0.13</v>
      </c>
      <c r="P1192">
        <v>673.22</v>
      </c>
      <c r="Q1192">
        <v>4505.42</v>
      </c>
      <c r="R1192">
        <v>3107.18</v>
      </c>
      <c r="S1192">
        <v>1398.24</v>
      </c>
    </row>
    <row r="1193" spans="1:19" x14ac:dyDescent="0.35">
      <c r="A1193">
        <v>101191</v>
      </c>
      <c r="B1193">
        <v>2787</v>
      </c>
      <c r="C1193" t="s">
        <v>23</v>
      </c>
      <c r="D1193" t="s">
        <v>29</v>
      </c>
      <c r="E1193" t="s">
        <v>26</v>
      </c>
      <c r="F1193" t="s">
        <v>27</v>
      </c>
      <c r="G1193" s="1">
        <v>45075</v>
      </c>
      <c r="H1193" s="1">
        <v>45079</v>
      </c>
      <c r="I1193" s="1">
        <v>45084</v>
      </c>
      <c r="J1193">
        <v>9</v>
      </c>
      <c r="K1193">
        <v>4</v>
      </c>
      <c r="L1193">
        <v>10</v>
      </c>
      <c r="M1193">
        <v>105.62</v>
      </c>
      <c r="N1193">
        <v>1056.2</v>
      </c>
      <c r="O1193">
        <v>0.12</v>
      </c>
      <c r="P1193">
        <v>126.74</v>
      </c>
      <c r="Q1193">
        <v>929.46</v>
      </c>
      <c r="R1193">
        <v>633.72</v>
      </c>
      <c r="S1193">
        <v>295.74</v>
      </c>
    </row>
    <row r="1194" spans="1:19" x14ac:dyDescent="0.35">
      <c r="A1194">
        <v>101192</v>
      </c>
      <c r="B1194">
        <v>3686</v>
      </c>
      <c r="C1194" t="s">
        <v>28</v>
      </c>
      <c r="D1194" t="s">
        <v>29</v>
      </c>
      <c r="E1194" t="s">
        <v>24</v>
      </c>
      <c r="F1194" t="s">
        <v>42</v>
      </c>
      <c r="G1194" s="1">
        <v>45266</v>
      </c>
      <c r="H1194" s="1">
        <v>45271</v>
      </c>
      <c r="I1194" s="1">
        <v>45282</v>
      </c>
      <c r="J1194">
        <v>16</v>
      </c>
      <c r="K1194">
        <v>5</v>
      </c>
      <c r="L1194">
        <v>14</v>
      </c>
      <c r="M1194">
        <v>10.43</v>
      </c>
      <c r="N1194">
        <v>146.02000000000001</v>
      </c>
      <c r="O1194">
        <v>0.02</v>
      </c>
      <c r="P1194">
        <v>2.92</v>
      </c>
      <c r="Q1194">
        <v>143.1</v>
      </c>
      <c r="R1194">
        <v>86.15</v>
      </c>
      <c r="S1194">
        <v>56.95</v>
      </c>
    </row>
    <row r="1195" spans="1:19" x14ac:dyDescent="0.35">
      <c r="A1195">
        <v>101193</v>
      </c>
      <c r="B1195">
        <v>2086</v>
      </c>
      <c r="C1195" t="s">
        <v>33</v>
      </c>
      <c r="D1195" t="s">
        <v>29</v>
      </c>
      <c r="E1195" t="s">
        <v>26</v>
      </c>
      <c r="F1195" t="s">
        <v>37</v>
      </c>
      <c r="G1195" s="1">
        <v>44967</v>
      </c>
      <c r="H1195" s="1">
        <v>44971</v>
      </c>
      <c r="I1195" s="1">
        <v>44984</v>
      </c>
      <c r="J1195">
        <v>17</v>
      </c>
      <c r="K1195">
        <v>4</v>
      </c>
      <c r="L1195">
        <v>9</v>
      </c>
      <c r="M1195">
        <v>544.92999999999995</v>
      </c>
      <c r="N1195">
        <v>4904.37</v>
      </c>
      <c r="O1195">
        <v>0.05</v>
      </c>
      <c r="P1195">
        <v>245.22</v>
      </c>
      <c r="Q1195">
        <v>4659.1499999999996</v>
      </c>
      <c r="R1195">
        <v>3040.71</v>
      </c>
      <c r="S1195">
        <v>1618.44</v>
      </c>
    </row>
    <row r="1196" spans="1:19" x14ac:dyDescent="0.35">
      <c r="A1196">
        <v>101194</v>
      </c>
      <c r="B1196">
        <v>1664</v>
      </c>
      <c r="C1196" t="s">
        <v>23</v>
      </c>
      <c r="D1196" t="s">
        <v>29</v>
      </c>
      <c r="E1196" t="s">
        <v>26</v>
      </c>
      <c r="F1196" t="s">
        <v>36</v>
      </c>
      <c r="G1196" s="1">
        <v>45241</v>
      </c>
      <c r="H1196" s="1">
        <v>45242</v>
      </c>
      <c r="I1196" s="1">
        <v>45245</v>
      </c>
      <c r="J1196">
        <v>4</v>
      </c>
      <c r="K1196">
        <v>1</v>
      </c>
      <c r="L1196">
        <v>1</v>
      </c>
      <c r="M1196">
        <v>94.08</v>
      </c>
      <c r="N1196">
        <v>94.08</v>
      </c>
      <c r="O1196">
        <v>0.03</v>
      </c>
      <c r="P1196">
        <v>2.82</v>
      </c>
      <c r="Q1196">
        <v>91.26</v>
      </c>
      <c r="R1196">
        <v>59.27</v>
      </c>
      <c r="S1196">
        <v>31.99</v>
      </c>
    </row>
    <row r="1197" spans="1:19" x14ac:dyDescent="0.35">
      <c r="A1197">
        <v>101195</v>
      </c>
      <c r="B1197">
        <v>2808</v>
      </c>
      <c r="C1197" t="s">
        <v>19</v>
      </c>
      <c r="D1197" t="s">
        <v>20</v>
      </c>
      <c r="E1197" t="s">
        <v>21</v>
      </c>
      <c r="F1197" t="s">
        <v>41</v>
      </c>
      <c r="G1197" s="1">
        <v>44972</v>
      </c>
      <c r="H1197" s="1">
        <v>44975</v>
      </c>
      <c r="I1197" s="1">
        <v>44992</v>
      </c>
      <c r="J1197">
        <v>20</v>
      </c>
      <c r="K1197">
        <v>3</v>
      </c>
      <c r="L1197">
        <v>8</v>
      </c>
      <c r="M1197">
        <v>159.04</v>
      </c>
      <c r="N1197">
        <v>1272.32</v>
      </c>
      <c r="O1197">
        <v>7.0000000000000007E-2</v>
      </c>
      <c r="P1197">
        <v>89.06</v>
      </c>
      <c r="Q1197">
        <v>1183.26</v>
      </c>
      <c r="R1197">
        <v>877.9</v>
      </c>
      <c r="S1197">
        <v>305.36</v>
      </c>
    </row>
    <row r="1198" spans="1:19" x14ac:dyDescent="0.35">
      <c r="A1198">
        <v>101196</v>
      </c>
      <c r="B1198">
        <v>4626</v>
      </c>
      <c r="C1198" t="s">
        <v>33</v>
      </c>
      <c r="D1198" t="s">
        <v>29</v>
      </c>
      <c r="E1198" t="s">
        <v>21</v>
      </c>
      <c r="F1198" t="s">
        <v>39</v>
      </c>
      <c r="G1198" s="1">
        <v>45262</v>
      </c>
      <c r="H1198" s="1">
        <v>45264</v>
      </c>
      <c r="I1198" s="1">
        <v>45275</v>
      </c>
      <c r="J1198">
        <v>13</v>
      </c>
      <c r="K1198">
        <v>2</v>
      </c>
      <c r="L1198">
        <v>2</v>
      </c>
      <c r="M1198">
        <v>720.91</v>
      </c>
      <c r="N1198">
        <v>1441.82</v>
      </c>
      <c r="O1198">
        <v>0.11</v>
      </c>
      <c r="P1198">
        <v>158.6</v>
      </c>
      <c r="Q1198">
        <v>1283.22</v>
      </c>
      <c r="R1198">
        <v>749.75</v>
      </c>
      <c r="S1198">
        <v>533.47</v>
      </c>
    </row>
    <row r="1199" spans="1:19" x14ac:dyDescent="0.35">
      <c r="A1199">
        <v>101197</v>
      </c>
      <c r="B1199">
        <v>2675</v>
      </c>
      <c r="C1199" t="s">
        <v>33</v>
      </c>
      <c r="D1199" t="s">
        <v>29</v>
      </c>
      <c r="E1199" t="s">
        <v>26</v>
      </c>
      <c r="F1199" t="s">
        <v>36</v>
      </c>
      <c r="G1199" s="1">
        <v>45198</v>
      </c>
      <c r="H1199" s="1">
        <v>45200</v>
      </c>
      <c r="I1199" s="1">
        <v>45203</v>
      </c>
      <c r="J1199">
        <v>5</v>
      </c>
      <c r="K1199">
        <v>2</v>
      </c>
      <c r="L1199">
        <v>1</v>
      </c>
      <c r="M1199">
        <v>24.35</v>
      </c>
      <c r="N1199">
        <v>24.35</v>
      </c>
      <c r="O1199">
        <v>0.08</v>
      </c>
      <c r="P1199">
        <v>1.95</v>
      </c>
      <c r="Q1199">
        <v>22.4</v>
      </c>
      <c r="R1199">
        <v>15.83</v>
      </c>
      <c r="S1199">
        <v>6.57</v>
      </c>
    </row>
    <row r="1200" spans="1:19" x14ac:dyDescent="0.35">
      <c r="A1200">
        <v>101198</v>
      </c>
      <c r="B1200">
        <v>1888</v>
      </c>
      <c r="C1200" t="s">
        <v>33</v>
      </c>
      <c r="D1200" t="s">
        <v>29</v>
      </c>
      <c r="E1200" t="s">
        <v>24</v>
      </c>
      <c r="F1200" t="s">
        <v>42</v>
      </c>
      <c r="G1200" s="1">
        <v>44980</v>
      </c>
      <c r="H1200" s="1">
        <v>44982</v>
      </c>
      <c r="I1200" s="1">
        <v>44990</v>
      </c>
      <c r="J1200">
        <v>10</v>
      </c>
      <c r="K1200">
        <v>2</v>
      </c>
      <c r="L1200">
        <v>11</v>
      </c>
      <c r="M1200">
        <v>521.88</v>
      </c>
      <c r="N1200">
        <v>5740.68</v>
      </c>
      <c r="O1200">
        <v>0.09</v>
      </c>
      <c r="P1200">
        <v>516.66</v>
      </c>
      <c r="Q1200">
        <v>5224.0200000000004</v>
      </c>
      <c r="R1200">
        <v>3616.63</v>
      </c>
      <c r="S1200">
        <v>1607.39</v>
      </c>
    </row>
    <row r="1201" spans="1:19" x14ac:dyDescent="0.35">
      <c r="A1201">
        <v>101199</v>
      </c>
      <c r="B1201">
        <v>1909</v>
      </c>
      <c r="C1201" t="s">
        <v>19</v>
      </c>
      <c r="D1201" t="s">
        <v>29</v>
      </c>
      <c r="E1201" t="s">
        <v>21</v>
      </c>
      <c r="F1201" t="s">
        <v>41</v>
      </c>
      <c r="G1201" s="1">
        <v>45008</v>
      </c>
      <c r="H1201" s="1">
        <v>45009</v>
      </c>
      <c r="I1201" s="1">
        <v>45024</v>
      </c>
      <c r="J1201">
        <v>16</v>
      </c>
      <c r="K1201">
        <v>1</v>
      </c>
      <c r="L1201">
        <v>13</v>
      </c>
      <c r="M1201">
        <v>356.68</v>
      </c>
      <c r="N1201">
        <v>4636.84</v>
      </c>
      <c r="O1201">
        <v>0.13</v>
      </c>
      <c r="P1201">
        <v>602.79</v>
      </c>
      <c r="Q1201">
        <v>4034.05</v>
      </c>
      <c r="R1201">
        <v>2689.37</v>
      </c>
      <c r="S1201">
        <v>1344.68</v>
      </c>
    </row>
    <row r="1202" spans="1:19" x14ac:dyDescent="0.35">
      <c r="A1202">
        <v>101200</v>
      </c>
      <c r="B1202">
        <v>2105</v>
      </c>
      <c r="C1202" t="s">
        <v>19</v>
      </c>
      <c r="D1202" t="s">
        <v>31</v>
      </c>
      <c r="E1202" t="s">
        <v>21</v>
      </c>
      <c r="F1202" t="s">
        <v>22</v>
      </c>
      <c r="G1202" s="1">
        <v>45076</v>
      </c>
      <c r="H1202" s="1">
        <v>45077</v>
      </c>
      <c r="I1202" s="1">
        <v>45101</v>
      </c>
      <c r="J1202">
        <v>25</v>
      </c>
      <c r="K1202">
        <v>1</v>
      </c>
      <c r="L1202">
        <v>2</v>
      </c>
      <c r="M1202">
        <v>520.57000000000005</v>
      </c>
      <c r="N1202">
        <v>1041.1400000000001</v>
      </c>
      <c r="O1202">
        <v>0.08</v>
      </c>
      <c r="P1202">
        <v>83.29</v>
      </c>
      <c r="Q1202">
        <v>957.85</v>
      </c>
      <c r="R1202">
        <v>707.98</v>
      </c>
      <c r="S1202">
        <v>249.87</v>
      </c>
    </row>
    <row r="1203" spans="1:19" x14ac:dyDescent="0.35">
      <c r="A1203">
        <v>101201</v>
      </c>
      <c r="B1203">
        <v>1598</v>
      </c>
      <c r="C1203" t="s">
        <v>28</v>
      </c>
      <c r="D1203" t="s">
        <v>29</v>
      </c>
      <c r="E1203" t="s">
        <v>21</v>
      </c>
      <c r="F1203" t="s">
        <v>39</v>
      </c>
      <c r="G1203" s="1">
        <v>45103</v>
      </c>
      <c r="H1203" s="1">
        <v>45107</v>
      </c>
      <c r="I1203" s="1">
        <v>45119</v>
      </c>
      <c r="J1203">
        <v>16</v>
      </c>
      <c r="K1203">
        <v>4</v>
      </c>
      <c r="L1203">
        <v>1</v>
      </c>
      <c r="M1203">
        <v>737.41</v>
      </c>
      <c r="N1203">
        <v>737.41</v>
      </c>
      <c r="O1203">
        <v>0.13</v>
      </c>
      <c r="P1203">
        <v>95.86</v>
      </c>
      <c r="Q1203">
        <v>641.54999999999995</v>
      </c>
      <c r="R1203">
        <v>508.81</v>
      </c>
      <c r="S1203">
        <v>132.74</v>
      </c>
    </row>
    <row r="1204" spans="1:19" x14ac:dyDescent="0.35">
      <c r="A1204">
        <v>101202</v>
      </c>
      <c r="B1204">
        <v>4921</v>
      </c>
      <c r="C1204" t="s">
        <v>33</v>
      </c>
      <c r="D1204" t="s">
        <v>29</v>
      </c>
      <c r="E1204" t="s">
        <v>21</v>
      </c>
      <c r="F1204" t="s">
        <v>38</v>
      </c>
      <c r="G1204" s="1">
        <v>44995</v>
      </c>
      <c r="H1204" s="1">
        <v>44997</v>
      </c>
      <c r="I1204" s="1">
        <v>45007</v>
      </c>
      <c r="J1204">
        <v>12</v>
      </c>
      <c r="K1204">
        <v>2</v>
      </c>
      <c r="L1204">
        <v>1</v>
      </c>
      <c r="M1204">
        <v>257.95</v>
      </c>
      <c r="N1204">
        <v>257.95</v>
      </c>
      <c r="O1204">
        <v>0.03</v>
      </c>
      <c r="P1204">
        <v>7.74</v>
      </c>
      <c r="Q1204">
        <v>250.21</v>
      </c>
      <c r="R1204">
        <v>180.56</v>
      </c>
      <c r="S1204">
        <v>69.650000000000006</v>
      </c>
    </row>
    <row r="1205" spans="1:19" x14ac:dyDescent="0.35">
      <c r="A1205">
        <v>101203</v>
      </c>
      <c r="B1205">
        <v>4830</v>
      </c>
      <c r="C1205" t="s">
        <v>19</v>
      </c>
      <c r="D1205" t="s">
        <v>20</v>
      </c>
      <c r="E1205" t="s">
        <v>26</v>
      </c>
      <c r="F1205" t="s">
        <v>27</v>
      </c>
      <c r="G1205" s="1">
        <v>45090</v>
      </c>
      <c r="H1205" s="1">
        <v>45091</v>
      </c>
      <c r="I1205" s="1">
        <v>45103</v>
      </c>
      <c r="J1205">
        <v>13</v>
      </c>
      <c r="K1205">
        <v>1</v>
      </c>
      <c r="L1205">
        <v>12</v>
      </c>
      <c r="M1205">
        <v>250.41</v>
      </c>
      <c r="N1205">
        <v>3004.92</v>
      </c>
      <c r="O1205">
        <v>7.0000000000000007E-2</v>
      </c>
      <c r="P1205">
        <v>210.34</v>
      </c>
      <c r="Q1205">
        <v>2794.58</v>
      </c>
      <c r="R1205">
        <v>1802.95</v>
      </c>
      <c r="S1205">
        <v>991.63</v>
      </c>
    </row>
    <row r="1206" spans="1:19" x14ac:dyDescent="0.35">
      <c r="A1206">
        <v>101204</v>
      </c>
      <c r="B1206">
        <v>1557</v>
      </c>
      <c r="C1206" t="s">
        <v>33</v>
      </c>
      <c r="D1206" t="s">
        <v>20</v>
      </c>
      <c r="E1206" t="s">
        <v>24</v>
      </c>
      <c r="F1206" t="s">
        <v>42</v>
      </c>
      <c r="G1206" s="1">
        <v>45051</v>
      </c>
      <c r="H1206" s="1">
        <v>45055</v>
      </c>
      <c r="I1206" s="1">
        <v>45060</v>
      </c>
      <c r="J1206">
        <v>9</v>
      </c>
      <c r="K1206">
        <v>4</v>
      </c>
      <c r="L1206">
        <v>8</v>
      </c>
      <c r="M1206">
        <v>146.66999999999999</v>
      </c>
      <c r="N1206">
        <v>1173.3599999999999</v>
      </c>
      <c r="O1206">
        <v>0.04</v>
      </c>
      <c r="P1206">
        <v>46.93</v>
      </c>
      <c r="Q1206">
        <v>1126.43</v>
      </c>
      <c r="R1206">
        <v>774.42</v>
      </c>
      <c r="S1206">
        <v>352.01</v>
      </c>
    </row>
    <row r="1207" spans="1:19" x14ac:dyDescent="0.35">
      <c r="A1207">
        <v>101205</v>
      </c>
      <c r="B1207">
        <v>3655</v>
      </c>
      <c r="C1207" t="s">
        <v>28</v>
      </c>
      <c r="D1207" t="s">
        <v>20</v>
      </c>
      <c r="E1207" t="s">
        <v>24</v>
      </c>
      <c r="F1207" t="s">
        <v>42</v>
      </c>
      <c r="G1207" s="1">
        <v>45259</v>
      </c>
      <c r="H1207" s="1">
        <v>45264</v>
      </c>
      <c r="I1207" s="1">
        <v>45268</v>
      </c>
      <c r="J1207">
        <v>9</v>
      </c>
      <c r="K1207">
        <v>5</v>
      </c>
      <c r="L1207">
        <v>2</v>
      </c>
      <c r="M1207">
        <v>259.24</v>
      </c>
      <c r="N1207">
        <v>518.48</v>
      </c>
      <c r="O1207">
        <v>0.06</v>
      </c>
      <c r="P1207">
        <v>31.11</v>
      </c>
      <c r="Q1207">
        <v>487.37</v>
      </c>
      <c r="R1207">
        <v>342.2</v>
      </c>
      <c r="S1207">
        <v>145.16999999999999</v>
      </c>
    </row>
    <row r="1208" spans="1:19" x14ac:dyDescent="0.35">
      <c r="A1208">
        <v>101206</v>
      </c>
      <c r="B1208">
        <v>2270</v>
      </c>
      <c r="C1208" t="s">
        <v>28</v>
      </c>
      <c r="D1208" t="s">
        <v>31</v>
      </c>
      <c r="E1208" t="s">
        <v>34</v>
      </c>
      <c r="F1208" t="s">
        <v>40</v>
      </c>
      <c r="G1208" s="1">
        <v>45148</v>
      </c>
      <c r="H1208" s="1">
        <v>45151</v>
      </c>
      <c r="I1208" s="1">
        <v>45169</v>
      </c>
      <c r="J1208">
        <v>21</v>
      </c>
      <c r="K1208">
        <v>3</v>
      </c>
      <c r="L1208">
        <v>4</v>
      </c>
      <c r="M1208">
        <v>650.75</v>
      </c>
      <c r="N1208">
        <v>2603</v>
      </c>
      <c r="O1208">
        <v>0.04</v>
      </c>
      <c r="P1208">
        <v>104.12</v>
      </c>
      <c r="Q1208">
        <v>2498.88</v>
      </c>
      <c r="R1208">
        <v>1770.04</v>
      </c>
      <c r="S1208">
        <v>728.84</v>
      </c>
    </row>
    <row r="1209" spans="1:19" x14ac:dyDescent="0.35">
      <c r="A1209">
        <v>101207</v>
      </c>
      <c r="B1209">
        <v>4561</v>
      </c>
      <c r="C1209" t="s">
        <v>28</v>
      </c>
      <c r="D1209" t="s">
        <v>20</v>
      </c>
      <c r="E1209" t="s">
        <v>34</v>
      </c>
      <c r="F1209" t="s">
        <v>35</v>
      </c>
      <c r="G1209" s="1">
        <v>45226</v>
      </c>
      <c r="H1209" s="1">
        <v>45231</v>
      </c>
      <c r="I1209" s="1">
        <v>45234</v>
      </c>
      <c r="J1209">
        <v>8</v>
      </c>
      <c r="K1209">
        <v>5</v>
      </c>
      <c r="L1209">
        <v>3</v>
      </c>
      <c r="M1209">
        <v>55.16</v>
      </c>
      <c r="N1209">
        <v>165.48</v>
      </c>
      <c r="O1209">
        <v>0.04</v>
      </c>
      <c r="P1209">
        <v>6.62</v>
      </c>
      <c r="Q1209">
        <v>158.86000000000001</v>
      </c>
      <c r="R1209">
        <v>105.91</v>
      </c>
      <c r="S1209">
        <v>52.95</v>
      </c>
    </row>
    <row r="1210" spans="1:19" x14ac:dyDescent="0.35">
      <c r="A1210">
        <v>101208</v>
      </c>
      <c r="B1210">
        <v>2262</v>
      </c>
      <c r="C1210" t="s">
        <v>28</v>
      </c>
      <c r="D1210" t="s">
        <v>20</v>
      </c>
      <c r="E1210" t="s">
        <v>24</v>
      </c>
      <c r="F1210" t="s">
        <v>25</v>
      </c>
      <c r="G1210" s="1">
        <v>45109</v>
      </c>
      <c r="H1210" s="1">
        <v>45111</v>
      </c>
      <c r="I1210" s="1">
        <v>45124</v>
      </c>
      <c r="J1210">
        <v>15</v>
      </c>
      <c r="K1210">
        <v>2</v>
      </c>
      <c r="L1210">
        <v>4</v>
      </c>
      <c r="M1210">
        <v>356.89</v>
      </c>
      <c r="N1210">
        <v>1427.56</v>
      </c>
      <c r="O1210">
        <v>0</v>
      </c>
      <c r="P1210">
        <v>0</v>
      </c>
      <c r="Q1210">
        <v>1427.56</v>
      </c>
      <c r="R1210">
        <v>813.71</v>
      </c>
      <c r="S1210">
        <v>613.85</v>
      </c>
    </row>
    <row r="1211" spans="1:19" x14ac:dyDescent="0.35">
      <c r="A1211">
        <v>101209</v>
      </c>
      <c r="B1211">
        <v>1180</v>
      </c>
      <c r="C1211" t="s">
        <v>33</v>
      </c>
      <c r="D1211" t="s">
        <v>29</v>
      </c>
      <c r="E1211" t="s">
        <v>26</v>
      </c>
      <c r="F1211" t="s">
        <v>27</v>
      </c>
      <c r="G1211" s="1">
        <v>45197</v>
      </c>
      <c r="H1211" s="1">
        <v>45199</v>
      </c>
      <c r="I1211" s="1">
        <v>45215</v>
      </c>
      <c r="J1211">
        <v>18</v>
      </c>
      <c r="K1211">
        <v>2</v>
      </c>
      <c r="L1211">
        <v>7</v>
      </c>
      <c r="M1211">
        <v>134.57</v>
      </c>
      <c r="N1211">
        <v>941.99</v>
      </c>
      <c r="O1211">
        <v>0.1</v>
      </c>
      <c r="P1211">
        <v>94.2</v>
      </c>
      <c r="Q1211">
        <v>847.79</v>
      </c>
      <c r="R1211">
        <v>565.19000000000005</v>
      </c>
      <c r="S1211">
        <v>282.60000000000002</v>
      </c>
    </row>
    <row r="1212" spans="1:19" x14ac:dyDescent="0.35">
      <c r="A1212">
        <v>101210</v>
      </c>
      <c r="B1212">
        <v>4825</v>
      </c>
      <c r="C1212" t="s">
        <v>23</v>
      </c>
      <c r="D1212" t="s">
        <v>29</v>
      </c>
      <c r="E1212" t="s">
        <v>24</v>
      </c>
      <c r="F1212" t="s">
        <v>42</v>
      </c>
      <c r="G1212" s="1">
        <v>45210</v>
      </c>
      <c r="H1212" s="1">
        <v>45213</v>
      </c>
      <c r="I1212" s="1">
        <v>45237</v>
      </c>
      <c r="J1212">
        <v>27</v>
      </c>
      <c r="K1212">
        <v>3</v>
      </c>
      <c r="L1212">
        <v>14</v>
      </c>
      <c r="M1212">
        <v>643.38</v>
      </c>
      <c r="N1212">
        <v>9007.32</v>
      </c>
      <c r="O1212">
        <v>0.08</v>
      </c>
      <c r="P1212">
        <v>720.59</v>
      </c>
      <c r="Q1212">
        <v>8286.73</v>
      </c>
      <c r="R1212">
        <v>5314.32</v>
      </c>
      <c r="S1212">
        <v>2972.41</v>
      </c>
    </row>
    <row r="1213" spans="1:19" x14ac:dyDescent="0.35">
      <c r="A1213">
        <v>101211</v>
      </c>
      <c r="B1213">
        <v>1495</v>
      </c>
      <c r="C1213" t="s">
        <v>28</v>
      </c>
      <c r="D1213" t="s">
        <v>20</v>
      </c>
      <c r="E1213" t="s">
        <v>34</v>
      </c>
      <c r="F1213" t="s">
        <v>40</v>
      </c>
      <c r="G1213" s="1">
        <v>45165</v>
      </c>
      <c r="H1213" s="1">
        <v>45168</v>
      </c>
      <c r="I1213" s="1">
        <v>45194</v>
      </c>
      <c r="J1213">
        <v>29</v>
      </c>
      <c r="K1213">
        <v>3</v>
      </c>
      <c r="L1213">
        <v>4</v>
      </c>
      <c r="M1213">
        <v>499.53</v>
      </c>
      <c r="N1213">
        <v>1998.12</v>
      </c>
      <c r="O1213">
        <v>0.13</v>
      </c>
      <c r="P1213">
        <v>259.76</v>
      </c>
      <c r="Q1213">
        <v>1738.36</v>
      </c>
      <c r="R1213">
        <v>1298.78</v>
      </c>
      <c r="S1213">
        <v>439.58</v>
      </c>
    </row>
    <row r="1214" spans="1:19" x14ac:dyDescent="0.35">
      <c r="A1214">
        <v>101212</v>
      </c>
      <c r="B1214">
        <v>2620</v>
      </c>
      <c r="C1214" t="s">
        <v>23</v>
      </c>
      <c r="D1214" t="s">
        <v>31</v>
      </c>
      <c r="E1214" t="s">
        <v>21</v>
      </c>
      <c r="F1214" t="s">
        <v>39</v>
      </c>
      <c r="G1214" s="1">
        <v>45150</v>
      </c>
      <c r="H1214" s="1">
        <v>45154</v>
      </c>
      <c r="I1214" s="1">
        <v>45179</v>
      </c>
      <c r="J1214">
        <v>29</v>
      </c>
      <c r="K1214">
        <v>4</v>
      </c>
      <c r="L1214">
        <v>14</v>
      </c>
      <c r="M1214">
        <v>512.02</v>
      </c>
      <c r="N1214">
        <v>7168.28</v>
      </c>
      <c r="O1214">
        <v>0.11</v>
      </c>
      <c r="P1214">
        <v>788.51</v>
      </c>
      <c r="Q1214">
        <v>6379.77</v>
      </c>
      <c r="R1214">
        <v>4731.0600000000004</v>
      </c>
      <c r="S1214">
        <v>1648.71</v>
      </c>
    </row>
    <row r="1215" spans="1:19" x14ac:dyDescent="0.35">
      <c r="A1215">
        <v>101213</v>
      </c>
      <c r="B1215">
        <v>1460</v>
      </c>
      <c r="C1215" t="s">
        <v>28</v>
      </c>
      <c r="D1215" t="s">
        <v>20</v>
      </c>
      <c r="E1215" t="s">
        <v>26</v>
      </c>
      <c r="F1215" t="s">
        <v>36</v>
      </c>
      <c r="G1215" s="1">
        <v>45161</v>
      </c>
      <c r="H1215" s="1">
        <v>45162</v>
      </c>
      <c r="I1215" s="1">
        <v>45165</v>
      </c>
      <c r="J1215">
        <v>4</v>
      </c>
      <c r="K1215">
        <v>1</v>
      </c>
      <c r="L1215">
        <v>5</v>
      </c>
      <c r="M1215">
        <v>529.26</v>
      </c>
      <c r="N1215">
        <v>2646.3</v>
      </c>
      <c r="O1215">
        <v>0.15</v>
      </c>
      <c r="P1215">
        <v>396.94</v>
      </c>
      <c r="Q1215">
        <v>2249.36</v>
      </c>
      <c r="R1215">
        <v>1561.32</v>
      </c>
      <c r="S1215">
        <v>688.04</v>
      </c>
    </row>
    <row r="1216" spans="1:19" x14ac:dyDescent="0.35">
      <c r="A1216">
        <v>101214</v>
      </c>
      <c r="B1216">
        <v>4462</v>
      </c>
      <c r="C1216" t="s">
        <v>23</v>
      </c>
      <c r="D1216" t="s">
        <v>31</v>
      </c>
      <c r="E1216" t="s">
        <v>24</v>
      </c>
      <c r="F1216" t="s">
        <v>42</v>
      </c>
      <c r="G1216" s="1">
        <v>45249</v>
      </c>
      <c r="H1216" s="1">
        <v>45252</v>
      </c>
      <c r="I1216" s="1">
        <v>45254</v>
      </c>
      <c r="J1216">
        <v>5</v>
      </c>
      <c r="K1216">
        <v>3</v>
      </c>
      <c r="L1216">
        <v>1</v>
      </c>
      <c r="M1216">
        <v>395.27</v>
      </c>
      <c r="N1216">
        <v>395.27</v>
      </c>
      <c r="O1216">
        <v>0.03</v>
      </c>
      <c r="P1216">
        <v>11.86</v>
      </c>
      <c r="Q1216">
        <v>383.41</v>
      </c>
      <c r="R1216">
        <v>241.11</v>
      </c>
      <c r="S1216">
        <v>142.30000000000001</v>
      </c>
    </row>
    <row r="1217" spans="1:19" x14ac:dyDescent="0.35">
      <c r="A1217">
        <v>101215</v>
      </c>
      <c r="B1217">
        <v>4463</v>
      </c>
      <c r="C1217" t="s">
        <v>28</v>
      </c>
      <c r="D1217" t="s">
        <v>31</v>
      </c>
      <c r="E1217" t="s">
        <v>21</v>
      </c>
      <c r="F1217" t="s">
        <v>38</v>
      </c>
      <c r="G1217" s="1">
        <v>45027</v>
      </c>
      <c r="H1217" s="1">
        <v>45032</v>
      </c>
      <c r="I1217" s="1">
        <v>45054</v>
      </c>
      <c r="J1217">
        <v>27</v>
      </c>
      <c r="K1217">
        <v>5</v>
      </c>
      <c r="L1217">
        <v>11</v>
      </c>
      <c r="M1217">
        <v>313.62</v>
      </c>
      <c r="N1217">
        <v>3449.82</v>
      </c>
      <c r="O1217">
        <v>0.03</v>
      </c>
      <c r="P1217">
        <v>103.49</v>
      </c>
      <c r="Q1217">
        <v>3346.33</v>
      </c>
      <c r="R1217">
        <v>2104.39</v>
      </c>
      <c r="S1217">
        <v>1241.94</v>
      </c>
    </row>
    <row r="1218" spans="1:19" x14ac:dyDescent="0.35">
      <c r="A1218">
        <v>101216</v>
      </c>
      <c r="B1218">
        <v>3562</v>
      </c>
      <c r="C1218" t="s">
        <v>19</v>
      </c>
      <c r="D1218" t="s">
        <v>29</v>
      </c>
      <c r="E1218" t="s">
        <v>34</v>
      </c>
      <c r="F1218" t="s">
        <v>45</v>
      </c>
      <c r="G1218" s="1">
        <v>45143</v>
      </c>
      <c r="H1218" s="1">
        <v>45144</v>
      </c>
      <c r="I1218" s="1">
        <v>45162</v>
      </c>
      <c r="J1218">
        <v>19</v>
      </c>
      <c r="K1218">
        <v>1</v>
      </c>
      <c r="L1218">
        <v>11</v>
      </c>
      <c r="M1218">
        <v>250.04</v>
      </c>
      <c r="N1218">
        <v>2750.44</v>
      </c>
      <c r="O1218">
        <v>0.08</v>
      </c>
      <c r="P1218">
        <v>220.04</v>
      </c>
      <c r="Q1218">
        <v>2530.4</v>
      </c>
      <c r="R1218">
        <v>1787.79</v>
      </c>
      <c r="S1218">
        <v>742.61</v>
      </c>
    </row>
    <row r="1219" spans="1:19" x14ac:dyDescent="0.35">
      <c r="A1219">
        <v>101217</v>
      </c>
      <c r="B1219">
        <v>3606</v>
      </c>
      <c r="C1219" t="s">
        <v>33</v>
      </c>
      <c r="D1219" t="s">
        <v>20</v>
      </c>
      <c r="E1219" t="s">
        <v>21</v>
      </c>
      <c r="F1219" t="s">
        <v>22</v>
      </c>
      <c r="G1219" s="1">
        <v>45267</v>
      </c>
      <c r="H1219" s="1">
        <v>45269</v>
      </c>
      <c r="I1219" s="1">
        <v>45284</v>
      </c>
      <c r="J1219">
        <v>17</v>
      </c>
      <c r="K1219">
        <v>2</v>
      </c>
      <c r="L1219">
        <v>14</v>
      </c>
      <c r="M1219">
        <v>707.51</v>
      </c>
      <c r="N1219">
        <v>9905.14</v>
      </c>
      <c r="O1219">
        <v>0.08</v>
      </c>
      <c r="P1219">
        <v>792.41</v>
      </c>
      <c r="Q1219">
        <v>9112.73</v>
      </c>
      <c r="R1219">
        <v>5249.72</v>
      </c>
      <c r="S1219">
        <v>3863.01</v>
      </c>
    </row>
    <row r="1220" spans="1:19" x14ac:dyDescent="0.35">
      <c r="A1220">
        <v>101218</v>
      </c>
      <c r="B1220">
        <v>4551</v>
      </c>
      <c r="C1220" t="s">
        <v>23</v>
      </c>
      <c r="D1220" t="s">
        <v>29</v>
      </c>
      <c r="E1220" t="s">
        <v>26</v>
      </c>
      <c r="F1220" t="s">
        <v>44</v>
      </c>
      <c r="G1220" s="1">
        <v>45279</v>
      </c>
      <c r="H1220" s="1">
        <v>45281</v>
      </c>
      <c r="I1220" s="1">
        <v>45309</v>
      </c>
      <c r="J1220">
        <v>30</v>
      </c>
      <c r="K1220">
        <v>2</v>
      </c>
      <c r="L1220">
        <v>12</v>
      </c>
      <c r="M1220">
        <v>736.7</v>
      </c>
      <c r="N1220">
        <v>8840.4</v>
      </c>
      <c r="O1220">
        <v>0</v>
      </c>
      <c r="P1220">
        <v>0</v>
      </c>
      <c r="Q1220">
        <v>8840.4</v>
      </c>
      <c r="R1220">
        <v>5746.26</v>
      </c>
      <c r="S1220">
        <v>3094.14</v>
      </c>
    </row>
    <row r="1221" spans="1:19" x14ac:dyDescent="0.35">
      <c r="A1221">
        <v>101219</v>
      </c>
      <c r="B1221">
        <v>1498</v>
      </c>
      <c r="C1221" t="s">
        <v>23</v>
      </c>
      <c r="D1221" t="s">
        <v>29</v>
      </c>
      <c r="E1221" t="s">
        <v>24</v>
      </c>
      <c r="F1221" t="s">
        <v>25</v>
      </c>
      <c r="G1221" s="1">
        <v>45030</v>
      </c>
      <c r="H1221" s="1">
        <v>45031</v>
      </c>
      <c r="I1221" s="1">
        <v>45053</v>
      </c>
      <c r="J1221">
        <v>23</v>
      </c>
      <c r="K1221">
        <v>1</v>
      </c>
      <c r="L1221">
        <v>14</v>
      </c>
      <c r="M1221">
        <v>691.36</v>
      </c>
      <c r="N1221">
        <v>9679.0400000000009</v>
      </c>
      <c r="O1221">
        <v>7.0000000000000007E-2</v>
      </c>
      <c r="P1221">
        <v>677.53</v>
      </c>
      <c r="Q1221">
        <v>9001.51</v>
      </c>
      <c r="R1221">
        <v>5807.42</v>
      </c>
      <c r="S1221">
        <v>3194.09</v>
      </c>
    </row>
    <row r="1222" spans="1:19" x14ac:dyDescent="0.35">
      <c r="A1222">
        <v>101220</v>
      </c>
      <c r="B1222">
        <v>1168</v>
      </c>
      <c r="C1222" t="s">
        <v>19</v>
      </c>
      <c r="D1222" t="s">
        <v>31</v>
      </c>
      <c r="E1222" t="s">
        <v>26</v>
      </c>
      <c r="F1222" t="s">
        <v>27</v>
      </c>
      <c r="G1222" s="1">
        <v>45156</v>
      </c>
      <c r="H1222" s="1">
        <v>45159</v>
      </c>
      <c r="I1222" s="1">
        <v>45162</v>
      </c>
      <c r="J1222">
        <v>6</v>
      </c>
      <c r="K1222">
        <v>3</v>
      </c>
      <c r="L1222">
        <v>11</v>
      </c>
      <c r="M1222">
        <v>556.58000000000004</v>
      </c>
      <c r="N1222">
        <v>6122.38</v>
      </c>
      <c r="O1222">
        <v>0.06</v>
      </c>
      <c r="P1222">
        <v>367.34</v>
      </c>
      <c r="Q1222">
        <v>5755.04</v>
      </c>
      <c r="R1222">
        <v>4163.22</v>
      </c>
      <c r="S1222">
        <v>1591.82</v>
      </c>
    </row>
    <row r="1223" spans="1:19" x14ac:dyDescent="0.35">
      <c r="A1223">
        <v>101221</v>
      </c>
      <c r="B1223">
        <v>4518</v>
      </c>
      <c r="C1223" t="s">
        <v>23</v>
      </c>
      <c r="D1223" t="s">
        <v>20</v>
      </c>
      <c r="E1223" t="s">
        <v>26</v>
      </c>
      <c r="F1223" t="s">
        <v>27</v>
      </c>
      <c r="G1223" s="1">
        <v>44972</v>
      </c>
      <c r="H1223" s="1">
        <v>44977</v>
      </c>
      <c r="I1223" s="1">
        <v>44992</v>
      </c>
      <c r="J1223">
        <v>20</v>
      </c>
      <c r="K1223">
        <v>5</v>
      </c>
      <c r="L1223">
        <v>7</v>
      </c>
      <c r="M1223">
        <v>64</v>
      </c>
      <c r="N1223">
        <v>448</v>
      </c>
      <c r="O1223">
        <v>0.13</v>
      </c>
      <c r="P1223">
        <v>58.24</v>
      </c>
      <c r="Q1223">
        <v>389.76</v>
      </c>
      <c r="R1223">
        <v>255.36</v>
      </c>
      <c r="S1223">
        <v>134.4</v>
      </c>
    </row>
    <row r="1224" spans="1:19" x14ac:dyDescent="0.35">
      <c r="A1224">
        <v>101222</v>
      </c>
      <c r="B1224">
        <v>1643</v>
      </c>
      <c r="C1224" t="s">
        <v>33</v>
      </c>
      <c r="D1224" t="s">
        <v>31</v>
      </c>
      <c r="E1224" t="s">
        <v>24</v>
      </c>
      <c r="F1224" t="s">
        <v>32</v>
      </c>
      <c r="G1224" s="1">
        <v>45004</v>
      </c>
      <c r="H1224" s="1">
        <v>45008</v>
      </c>
      <c r="I1224" s="1">
        <v>45012</v>
      </c>
      <c r="J1224">
        <v>8</v>
      </c>
      <c r="K1224">
        <v>4</v>
      </c>
      <c r="L1224">
        <v>2</v>
      </c>
      <c r="M1224">
        <v>54.17</v>
      </c>
      <c r="N1224">
        <v>108.34</v>
      </c>
      <c r="O1224">
        <v>0.08</v>
      </c>
      <c r="P1224">
        <v>8.67</v>
      </c>
      <c r="Q1224">
        <v>99.67</v>
      </c>
      <c r="R1224">
        <v>66.09</v>
      </c>
      <c r="S1224">
        <v>33.58</v>
      </c>
    </row>
    <row r="1225" spans="1:19" x14ac:dyDescent="0.35">
      <c r="A1225">
        <v>101223</v>
      </c>
      <c r="B1225">
        <v>3737</v>
      </c>
      <c r="C1225" t="s">
        <v>19</v>
      </c>
      <c r="D1225" t="s">
        <v>20</v>
      </c>
      <c r="E1225" t="s">
        <v>26</v>
      </c>
      <c r="F1225" t="s">
        <v>44</v>
      </c>
      <c r="G1225" s="1">
        <v>45214</v>
      </c>
      <c r="H1225" s="1">
        <v>45217</v>
      </c>
      <c r="I1225" s="1">
        <v>45234</v>
      </c>
      <c r="J1225">
        <v>20</v>
      </c>
      <c r="K1225">
        <v>3</v>
      </c>
      <c r="L1225">
        <v>13</v>
      </c>
      <c r="M1225">
        <v>713.48</v>
      </c>
      <c r="N1225">
        <v>9275.24</v>
      </c>
      <c r="O1225">
        <v>0.01</v>
      </c>
      <c r="P1225">
        <v>92.75</v>
      </c>
      <c r="Q1225">
        <v>9182.49</v>
      </c>
      <c r="R1225">
        <v>5750.65</v>
      </c>
      <c r="S1225">
        <v>3431.84</v>
      </c>
    </row>
    <row r="1226" spans="1:19" x14ac:dyDescent="0.35">
      <c r="A1226">
        <v>101224</v>
      </c>
      <c r="B1226">
        <v>1328</v>
      </c>
      <c r="C1226" t="s">
        <v>23</v>
      </c>
      <c r="D1226" t="s">
        <v>29</v>
      </c>
      <c r="E1226" t="s">
        <v>24</v>
      </c>
      <c r="F1226" t="s">
        <v>42</v>
      </c>
      <c r="G1226" s="1">
        <v>44958</v>
      </c>
      <c r="H1226" s="1">
        <v>44961</v>
      </c>
      <c r="I1226" s="1">
        <v>44979</v>
      </c>
      <c r="J1226">
        <v>21</v>
      </c>
      <c r="K1226">
        <v>3</v>
      </c>
      <c r="L1226">
        <v>1</v>
      </c>
      <c r="M1226">
        <v>420.46</v>
      </c>
      <c r="N1226">
        <v>420.46</v>
      </c>
      <c r="O1226">
        <v>0.13</v>
      </c>
      <c r="P1226">
        <v>54.66</v>
      </c>
      <c r="Q1226">
        <v>365.8</v>
      </c>
      <c r="R1226">
        <v>197.62</v>
      </c>
      <c r="S1226">
        <v>168.18</v>
      </c>
    </row>
    <row r="1227" spans="1:19" x14ac:dyDescent="0.35">
      <c r="A1227">
        <v>101225</v>
      </c>
      <c r="B1227">
        <v>3855</v>
      </c>
      <c r="C1227" t="s">
        <v>33</v>
      </c>
      <c r="D1227" t="s">
        <v>31</v>
      </c>
      <c r="E1227" t="s">
        <v>26</v>
      </c>
      <c r="F1227" t="s">
        <v>27</v>
      </c>
      <c r="G1227" s="1">
        <v>45181</v>
      </c>
      <c r="H1227" s="1">
        <v>45182</v>
      </c>
      <c r="I1227" s="1">
        <v>45209</v>
      </c>
      <c r="J1227">
        <v>28</v>
      </c>
      <c r="K1227">
        <v>1</v>
      </c>
      <c r="L1227">
        <v>14</v>
      </c>
      <c r="M1227">
        <v>694.82</v>
      </c>
      <c r="N1227">
        <v>9727.48</v>
      </c>
      <c r="O1227">
        <v>0.01</v>
      </c>
      <c r="P1227">
        <v>97.27</v>
      </c>
      <c r="Q1227">
        <v>9630.2099999999991</v>
      </c>
      <c r="R1227">
        <v>5933.76</v>
      </c>
      <c r="S1227">
        <v>3696.45</v>
      </c>
    </row>
    <row r="1228" spans="1:19" x14ac:dyDescent="0.35">
      <c r="A1228">
        <v>101226</v>
      </c>
      <c r="B1228">
        <v>4079</v>
      </c>
      <c r="C1228" t="s">
        <v>23</v>
      </c>
      <c r="D1228" t="s">
        <v>20</v>
      </c>
      <c r="E1228" t="s">
        <v>24</v>
      </c>
      <c r="F1228" t="s">
        <v>25</v>
      </c>
      <c r="G1228" s="1">
        <v>45282</v>
      </c>
      <c r="H1228" s="1">
        <v>45285</v>
      </c>
      <c r="I1228" s="1">
        <v>45304</v>
      </c>
      <c r="J1228">
        <v>22</v>
      </c>
      <c r="K1228">
        <v>3</v>
      </c>
      <c r="L1228">
        <v>5</v>
      </c>
      <c r="M1228">
        <v>290.33999999999997</v>
      </c>
      <c r="N1228">
        <v>1451.7</v>
      </c>
      <c r="O1228">
        <v>0.04</v>
      </c>
      <c r="P1228">
        <v>58.07</v>
      </c>
      <c r="Q1228">
        <v>1393.63</v>
      </c>
      <c r="R1228">
        <v>885.54</v>
      </c>
      <c r="S1228">
        <v>508.09</v>
      </c>
    </row>
    <row r="1229" spans="1:19" x14ac:dyDescent="0.35">
      <c r="A1229">
        <v>101227</v>
      </c>
      <c r="B1229">
        <v>2678</v>
      </c>
      <c r="C1229" t="s">
        <v>23</v>
      </c>
      <c r="D1229" t="s">
        <v>20</v>
      </c>
      <c r="E1229" t="s">
        <v>34</v>
      </c>
      <c r="F1229" t="s">
        <v>40</v>
      </c>
      <c r="G1229" s="1">
        <v>45139</v>
      </c>
      <c r="H1229" s="1">
        <v>45140</v>
      </c>
      <c r="I1229" s="1">
        <v>45165</v>
      </c>
      <c r="J1229">
        <v>26</v>
      </c>
      <c r="K1229">
        <v>1</v>
      </c>
      <c r="L1229">
        <v>13</v>
      </c>
      <c r="M1229">
        <v>636.9</v>
      </c>
      <c r="N1229">
        <v>8279.7000000000007</v>
      </c>
      <c r="O1229">
        <v>0.08</v>
      </c>
      <c r="P1229">
        <v>662.38</v>
      </c>
      <c r="Q1229">
        <v>7617.32</v>
      </c>
      <c r="R1229">
        <v>5795.79</v>
      </c>
      <c r="S1229">
        <v>1821.53</v>
      </c>
    </row>
    <row r="1230" spans="1:19" x14ac:dyDescent="0.35">
      <c r="A1230">
        <v>101228</v>
      </c>
      <c r="B1230">
        <v>3785</v>
      </c>
      <c r="C1230" t="s">
        <v>33</v>
      </c>
      <c r="D1230" t="s">
        <v>20</v>
      </c>
      <c r="E1230" t="s">
        <v>24</v>
      </c>
      <c r="F1230" t="s">
        <v>42</v>
      </c>
      <c r="G1230" s="1">
        <v>45112</v>
      </c>
      <c r="H1230" s="1">
        <v>45117</v>
      </c>
      <c r="I1230" s="1">
        <v>45126</v>
      </c>
      <c r="J1230">
        <v>14</v>
      </c>
      <c r="K1230">
        <v>5</v>
      </c>
      <c r="L1230">
        <v>9</v>
      </c>
      <c r="M1230">
        <v>464.46</v>
      </c>
      <c r="N1230">
        <v>4180.1400000000003</v>
      </c>
      <c r="O1230">
        <v>0.14000000000000001</v>
      </c>
      <c r="P1230">
        <v>585.22</v>
      </c>
      <c r="Q1230">
        <v>3594.92</v>
      </c>
      <c r="R1230">
        <v>2633.49</v>
      </c>
      <c r="S1230">
        <v>961.43</v>
      </c>
    </row>
    <row r="1231" spans="1:19" x14ac:dyDescent="0.35">
      <c r="A1231">
        <v>101229</v>
      </c>
      <c r="B1231">
        <v>1950</v>
      </c>
      <c r="C1231" t="s">
        <v>28</v>
      </c>
      <c r="D1231" t="s">
        <v>20</v>
      </c>
      <c r="E1231" t="s">
        <v>24</v>
      </c>
      <c r="F1231" t="s">
        <v>32</v>
      </c>
      <c r="G1231" s="1">
        <v>45079</v>
      </c>
      <c r="H1231" s="1">
        <v>45084</v>
      </c>
      <c r="I1231" s="1">
        <v>45085</v>
      </c>
      <c r="J1231">
        <v>6</v>
      </c>
      <c r="K1231">
        <v>5</v>
      </c>
      <c r="L1231">
        <v>2</v>
      </c>
      <c r="M1231">
        <v>674.4</v>
      </c>
      <c r="N1231">
        <v>1348.8</v>
      </c>
      <c r="O1231">
        <v>0.14000000000000001</v>
      </c>
      <c r="P1231">
        <v>188.83</v>
      </c>
      <c r="Q1231">
        <v>1159.97</v>
      </c>
      <c r="R1231">
        <v>822.77</v>
      </c>
      <c r="S1231">
        <v>337.2</v>
      </c>
    </row>
    <row r="1232" spans="1:19" x14ac:dyDescent="0.35">
      <c r="A1232">
        <v>101230</v>
      </c>
      <c r="B1232">
        <v>3324</v>
      </c>
      <c r="C1232" t="s">
        <v>28</v>
      </c>
      <c r="D1232" t="s">
        <v>20</v>
      </c>
      <c r="E1232" t="s">
        <v>34</v>
      </c>
      <c r="F1232" t="s">
        <v>35</v>
      </c>
      <c r="G1232" s="1">
        <v>45274</v>
      </c>
      <c r="H1232" s="1">
        <v>45277</v>
      </c>
      <c r="I1232" s="1">
        <v>45284</v>
      </c>
      <c r="J1232">
        <v>10</v>
      </c>
      <c r="K1232">
        <v>3</v>
      </c>
      <c r="L1232">
        <v>13</v>
      </c>
      <c r="M1232">
        <v>615.41</v>
      </c>
      <c r="N1232">
        <v>8000.33</v>
      </c>
      <c r="O1232">
        <v>0.1</v>
      </c>
      <c r="P1232">
        <v>800.03</v>
      </c>
      <c r="Q1232">
        <v>7200.3</v>
      </c>
      <c r="R1232">
        <v>4720.1899999999996</v>
      </c>
      <c r="S1232">
        <v>2480.11</v>
      </c>
    </row>
    <row r="1233" spans="1:19" x14ac:dyDescent="0.35">
      <c r="A1233">
        <v>101231</v>
      </c>
      <c r="B1233">
        <v>3110</v>
      </c>
      <c r="C1233" t="s">
        <v>19</v>
      </c>
      <c r="D1233" t="s">
        <v>29</v>
      </c>
      <c r="E1233" t="s">
        <v>21</v>
      </c>
      <c r="F1233" t="s">
        <v>39</v>
      </c>
      <c r="G1233" s="1">
        <v>45234</v>
      </c>
      <c r="H1233" s="1">
        <v>45237</v>
      </c>
      <c r="I1233" s="1">
        <v>45254</v>
      </c>
      <c r="J1233">
        <v>20</v>
      </c>
      <c r="K1233">
        <v>3</v>
      </c>
      <c r="L1233">
        <v>14</v>
      </c>
      <c r="M1233">
        <v>673.03</v>
      </c>
      <c r="N1233">
        <v>9422.42</v>
      </c>
      <c r="O1233">
        <v>0.04</v>
      </c>
      <c r="P1233">
        <v>376.9</v>
      </c>
      <c r="Q1233">
        <v>9045.52</v>
      </c>
      <c r="R1233">
        <v>5841.9</v>
      </c>
      <c r="S1233">
        <v>3203.62</v>
      </c>
    </row>
    <row r="1234" spans="1:19" x14ac:dyDescent="0.35">
      <c r="A1234">
        <v>101232</v>
      </c>
      <c r="B1234">
        <v>2842</v>
      </c>
      <c r="C1234" t="s">
        <v>28</v>
      </c>
      <c r="D1234" t="s">
        <v>31</v>
      </c>
      <c r="E1234" t="s">
        <v>34</v>
      </c>
      <c r="F1234" t="s">
        <v>40</v>
      </c>
      <c r="G1234" s="1">
        <v>44928</v>
      </c>
      <c r="H1234" s="1">
        <v>44929</v>
      </c>
      <c r="I1234" s="1">
        <v>44945</v>
      </c>
      <c r="J1234">
        <v>17</v>
      </c>
      <c r="K1234">
        <v>1</v>
      </c>
      <c r="L1234">
        <v>4</v>
      </c>
      <c r="M1234">
        <v>662.64</v>
      </c>
      <c r="N1234">
        <v>2650.56</v>
      </c>
      <c r="O1234">
        <v>0.05</v>
      </c>
      <c r="P1234">
        <v>132.53</v>
      </c>
      <c r="Q1234">
        <v>2518.0300000000002</v>
      </c>
      <c r="R1234">
        <v>1934.91</v>
      </c>
      <c r="S1234">
        <v>583.12</v>
      </c>
    </row>
    <row r="1235" spans="1:19" x14ac:dyDescent="0.35">
      <c r="A1235">
        <v>101233</v>
      </c>
      <c r="B1235">
        <v>4047</v>
      </c>
      <c r="C1235" t="s">
        <v>23</v>
      </c>
      <c r="D1235" t="s">
        <v>29</v>
      </c>
      <c r="E1235" t="s">
        <v>21</v>
      </c>
      <c r="F1235" t="s">
        <v>22</v>
      </c>
      <c r="G1235" s="1">
        <v>45104</v>
      </c>
      <c r="H1235" s="1">
        <v>45108</v>
      </c>
      <c r="I1235" s="1">
        <v>45132</v>
      </c>
      <c r="J1235">
        <v>28</v>
      </c>
      <c r="K1235">
        <v>4</v>
      </c>
      <c r="L1235">
        <v>5</v>
      </c>
      <c r="M1235">
        <v>795.45</v>
      </c>
      <c r="N1235">
        <v>3977.25</v>
      </c>
      <c r="O1235">
        <v>0.02</v>
      </c>
      <c r="P1235">
        <v>79.540000000000006</v>
      </c>
      <c r="Q1235">
        <v>3897.7</v>
      </c>
      <c r="R1235">
        <v>2386.35</v>
      </c>
      <c r="S1235">
        <v>1511.35</v>
      </c>
    </row>
    <row r="1236" spans="1:19" x14ac:dyDescent="0.35">
      <c r="A1236">
        <v>101234</v>
      </c>
      <c r="B1236">
        <v>3419</v>
      </c>
      <c r="C1236" t="s">
        <v>19</v>
      </c>
      <c r="D1236" t="s">
        <v>31</v>
      </c>
      <c r="E1236" t="s">
        <v>21</v>
      </c>
      <c r="F1236" t="s">
        <v>22</v>
      </c>
      <c r="G1236" s="1">
        <v>45124</v>
      </c>
      <c r="H1236" s="1">
        <v>45126</v>
      </c>
      <c r="I1236" s="1">
        <v>45147</v>
      </c>
      <c r="J1236">
        <v>23</v>
      </c>
      <c r="K1236">
        <v>2</v>
      </c>
      <c r="L1236">
        <v>9</v>
      </c>
      <c r="M1236">
        <v>348.75</v>
      </c>
      <c r="N1236">
        <v>3138.75</v>
      </c>
      <c r="O1236">
        <v>0</v>
      </c>
      <c r="P1236">
        <v>0</v>
      </c>
      <c r="Q1236">
        <v>3138.75</v>
      </c>
      <c r="R1236">
        <v>1977.41</v>
      </c>
      <c r="S1236">
        <v>1161.3399999999999</v>
      </c>
    </row>
    <row r="1237" spans="1:19" x14ac:dyDescent="0.35">
      <c r="A1237">
        <v>101235</v>
      </c>
      <c r="B1237">
        <v>1213</v>
      </c>
      <c r="C1237" t="s">
        <v>33</v>
      </c>
      <c r="D1237" t="s">
        <v>31</v>
      </c>
      <c r="E1237" t="s">
        <v>24</v>
      </c>
      <c r="F1237" t="s">
        <v>30</v>
      </c>
      <c r="G1237" s="1">
        <v>44938</v>
      </c>
      <c r="H1237" s="1">
        <v>44942</v>
      </c>
      <c r="I1237" s="1">
        <v>44958</v>
      </c>
      <c r="J1237">
        <v>20</v>
      </c>
      <c r="K1237">
        <v>4</v>
      </c>
      <c r="L1237">
        <v>14</v>
      </c>
      <c r="M1237">
        <v>502.06</v>
      </c>
      <c r="N1237">
        <v>7028.84</v>
      </c>
      <c r="O1237">
        <v>0.12</v>
      </c>
      <c r="P1237">
        <v>843.46</v>
      </c>
      <c r="Q1237">
        <v>6185.38</v>
      </c>
      <c r="R1237">
        <v>4779.6099999999997</v>
      </c>
      <c r="S1237">
        <v>1405.77</v>
      </c>
    </row>
    <row r="1238" spans="1:19" x14ac:dyDescent="0.35">
      <c r="A1238">
        <v>101236</v>
      </c>
      <c r="B1238">
        <v>3209</v>
      </c>
      <c r="C1238" t="s">
        <v>28</v>
      </c>
      <c r="D1238" t="s">
        <v>29</v>
      </c>
      <c r="E1238" t="s">
        <v>34</v>
      </c>
      <c r="F1238" t="s">
        <v>45</v>
      </c>
      <c r="G1238" s="1">
        <v>44932</v>
      </c>
      <c r="H1238" s="1">
        <v>44934</v>
      </c>
      <c r="I1238" s="1">
        <v>44960</v>
      </c>
      <c r="J1238">
        <v>28</v>
      </c>
      <c r="K1238">
        <v>2</v>
      </c>
      <c r="L1238">
        <v>5</v>
      </c>
      <c r="M1238">
        <v>629.17999999999995</v>
      </c>
      <c r="N1238">
        <v>3145.9</v>
      </c>
      <c r="O1238">
        <v>0.06</v>
      </c>
      <c r="P1238">
        <v>188.75</v>
      </c>
      <c r="Q1238">
        <v>2957.15</v>
      </c>
      <c r="R1238">
        <v>2233.59</v>
      </c>
      <c r="S1238">
        <v>723.56</v>
      </c>
    </row>
    <row r="1239" spans="1:19" x14ac:dyDescent="0.35">
      <c r="A1239">
        <v>101237</v>
      </c>
      <c r="B1239">
        <v>3383</v>
      </c>
      <c r="C1239" t="s">
        <v>28</v>
      </c>
      <c r="D1239" t="s">
        <v>31</v>
      </c>
      <c r="E1239" t="s">
        <v>24</v>
      </c>
      <c r="F1239" t="s">
        <v>32</v>
      </c>
      <c r="G1239" s="1">
        <v>45134</v>
      </c>
      <c r="H1239" s="1">
        <v>45139</v>
      </c>
      <c r="I1239" s="1">
        <v>45147</v>
      </c>
      <c r="J1239">
        <v>13</v>
      </c>
      <c r="K1239">
        <v>5</v>
      </c>
      <c r="L1239">
        <v>5</v>
      </c>
      <c r="M1239">
        <v>604.54</v>
      </c>
      <c r="N1239">
        <v>3022.7</v>
      </c>
      <c r="O1239">
        <v>0.14000000000000001</v>
      </c>
      <c r="P1239">
        <v>423.18</v>
      </c>
      <c r="Q1239">
        <v>2599.52</v>
      </c>
      <c r="R1239">
        <v>1813.62</v>
      </c>
      <c r="S1239">
        <v>785.9</v>
      </c>
    </row>
    <row r="1240" spans="1:19" x14ac:dyDescent="0.35">
      <c r="A1240">
        <v>101238</v>
      </c>
      <c r="B1240">
        <v>4065</v>
      </c>
      <c r="C1240" t="s">
        <v>19</v>
      </c>
      <c r="D1240" t="s">
        <v>31</v>
      </c>
      <c r="E1240" t="s">
        <v>21</v>
      </c>
      <c r="F1240" t="s">
        <v>22</v>
      </c>
      <c r="G1240" s="1">
        <v>45069</v>
      </c>
      <c r="H1240" s="1">
        <v>45070</v>
      </c>
      <c r="I1240" s="1">
        <v>45088</v>
      </c>
      <c r="J1240">
        <v>19</v>
      </c>
      <c r="K1240">
        <v>1</v>
      </c>
      <c r="L1240">
        <v>11</v>
      </c>
      <c r="M1240">
        <v>195.73</v>
      </c>
      <c r="N1240">
        <v>2153.0300000000002</v>
      </c>
      <c r="O1240">
        <v>0.12</v>
      </c>
      <c r="P1240">
        <v>258.36</v>
      </c>
      <c r="Q1240">
        <v>1894.67</v>
      </c>
      <c r="R1240">
        <v>1356.41</v>
      </c>
      <c r="S1240">
        <v>538.26</v>
      </c>
    </row>
    <row r="1241" spans="1:19" x14ac:dyDescent="0.35">
      <c r="A1241">
        <v>101239</v>
      </c>
      <c r="B1241">
        <v>3784</v>
      </c>
      <c r="C1241" t="s">
        <v>23</v>
      </c>
      <c r="D1241" t="s">
        <v>20</v>
      </c>
      <c r="E1241" t="s">
        <v>34</v>
      </c>
      <c r="F1241" t="s">
        <v>45</v>
      </c>
      <c r="G1241" s="1">
        <v>45218</v>
      </c>
      <c r="H1241" s="1">
        <v>45223</v>
      </c>
      <c r="I1241" s="1">
        <v>45242</v>
      </c>
      <c r="J1241">
        <v>24</v>
      </c>
      <c r="K1241">
        <v>5</v>
      </c>
      <c r="L1241">
        <v>13</v>
      </c>
      <c r="M1241">
        <v>265.12</v>
      </c>
      <c r="N1241">
        <v>3446.56</v>
      </c>
      <c r="O1241">
        <v>0.02</v>
      </c>
      <c r="P1241">
        <v>68.930000000000007</v>
      </c>
      <c r="Q1241">
        <v>3377.63</v>
      </c>
      <c r="R1241">
        <v>2309.1999999999998</v>
      </c>
      <c r="S1241">
        <v>1068.43</v>
      </c>
    </row>
    <row r="1242" spans="1:19" x14ac:dyDescent="0.35">
      <c r="A1242">
        <v>101240</v>
      </c>
      <c r="B1242">
        <v>4477</v>
      </c>
      <c r="C1242" t="s">
        <v>33</v>
      </c>
      <c r="D1242" t="s">
        <v>20</v>
      </c>
      <c r="E1242" t="s">
        <v>21</v>
      </c>
      <c r="F1242" t="s">
        <v>22</v>
      </c>
      <c r="G1242" s="1">
        <v>45158</v>
      </c>
      <c r="H1242" s="1">
        <v>45163</v>
      </c>
      <c r="I1242" s="1">
        <v>45177</v>
      </c>
      <c r="J1242">
        <v>19</v>
      </c>
      <c r="K1242">
        <v>5</v>
      </c>
      <c r="L1242">
        <v>12</v>
      </c>
      <c r="M1242">
        <v>356.91</v>
      </c>
      <c r="N1242">
        <v>4282.92</v>
      </c>
      <c r="O1242">
        <v>0.04</v>
      </c>
      <c r="P1242">
        <v>171.32</v>
      </c>
      <c r="Q1242">
        <v>4111.6000000000004</v>
      </c>
      <c r="R1242">
        <v>2912.39</v>
      </c>
      <c r="S1242">
        <v>1199.21</v>
      </c>
    </row>
    <row r="1243" spans="1:19" x14ac:dyDescent="0.35">
      <c r="A1243">
        <v>101241</v>
      </c>
      <c r="B1243">
        <v>3102</v>
      </c>
      <c r="C1243" t="s">
        <v>28</v>
      </c>
      <c r="D1243" t="s">
        <v>29</v>
      </c>
      <c r="E1243" t="s">
        <v>34</v>
      </c>
      <c r="F1243" t="s">
        <v>35</v>
      </c>
      <c r="G1243" s="1">
        <v>45113</v>
      </c>
      <c r="H1243" s="1">
        <v>45116</v>
      </c>
      <c r="I1243" s="1">
        <v>45136</v>
      </c>
      <c r="J1243">
        <v>23</v>
      </c>
      <c r="K1243">
        <v>3</v>
      </c>
      <c r="L1243">
        <v>10</v>
      </c>
      <c r="M1243">
        <v>745.43</v>
      </c>
      <c r="N1243">
        <v>7454.3</v>
      </c>
      <c r="O1243">
        <v>0.17</v>
      </c>
      <c r="P1243">
        <v>1267.23</v>
      </c>
      <c r="Q1243">
        <v>6187.07</v>
      </c>
      <c r="R1243">
        <v>4248.95</v>
      </c>
      <c r="S1243">
        <v>1938.12</v>
      </c>
    </row>
    <row r="1244" spans="1:19" x14ac:dyDescent="0.35">
      <c r="A1244">
        <v>101242</v>
      </c>
      <c r="B1244">
        <v>2123</v>
      </c>
      <c r="C1244" t="s">
        <v>19</v>
      </c>
      <c r="D1244" t="s">
        <v>29</v>
      </c>
      <c r="E1244" t="s">
        <v>26</v>
      </c>
      <c r="F1244" t="s">
        <v>37</v>
      </c>
      <c r="G1244" s="1">
        <v>45199</v>
      </c>
      <c r="H1244" s="1">
        <v>45201</v>
      </c>
      <c r="I1244" s="1">
        <v>45227</v>
      </c>
      <c r="J1244">
        <v>28</v>
      </c>
      <c r="K1244">
        <v>2</v>
      </c>
      <c r="L1244">
        <v>11</v>
      </c>
      <c r="M1244">
        <v>674.74</v>
      </c>
      <c r="N1244">
        <v>7422.14</v>
      </c>
      <c r="O1244">
        <v>0.1</v>
      </c>
      <c r="P1244">
        <v>742.21</v>
      </c>
      <c r="Q1244">
        <v>6679.93</v>
      </c>
      <c r="R1244">
        <v>4304.84</v>
      </c>
      <c r="S1244">
        <v>2375.09</v>
      </c>
    </row>
    <row r="1245" spans="1:19" x14ac:dyDescent="0.35">
      <c r="A1245">
        <v>101243</v>
      </c>
      <c r="B1245">
        <v>2353</v>
      </c>
      <c r="C1245" t="s">
        <v>28</v>
      </c>
      <c r="D1245" t="s">
        <v>20</v>
      </c>
      <c r="E1245" t="s">
        <v>34</v>
      </c>
      <c r="F1245" t="s">
        <v>35</v>
      </c>
      <c r="G1245" s="1">
        <v>45048</v>
      </c>
      <c r="H1245" s="1">
        <v>45052</v>
      </c>
      <c r="I1245" s="1">
        <v>45070</v>
      </c>
      <c r="J1245">
        <v>22</v>
      </c>
      <c r="K1245">
        <v>4</v>
      </c>
      <c r="L1245">
        <v>7</v>
      </c>
      <c r="M1245">
        <v>604.73</v>
      </c>
      <c r="N1245">
        <v>4233.1099999999997</v>
      </c>
      <c r="O1245">
        <v>0.12</v>
      </c>
      <c r="P1245">
        <v>507.97</v>
      </c>
      <c r="Q1245">
        <v>3725.14</v>
      </c>
      <c r="R1245">
        <v>2793.85</v>
      </c>
      <c r="S1245">
        <v>931.29</v>
      </c>
    </row>
    <row r="1246" spans="1:19" x14ac:dyDescent="0.35">
      <c r="A1246">
        <v>101244</v>
      </c>
      <c r="B1246">
        <v>1382</v>
      </c>
      <c r="C1246" t="s">
        <v>28</v>
      </c>
      <c r="D1246" t="s">
        <v>20</v>
      </c>
      <c r="E1246" t="s">
        <v>34</v>
      </c>
      <c r="F1246" t="s">
        <v>43</v>
      </c>
      <c r="G1246" s="1">
        <v>45100</v>
      </c>
      <c r="H1246" s="1">
        <v>45104</v>
      </c>
      <c r="I1246" s="1">
        <v>45118</v>
      </c>
      <c r="J1246">
        <v>18</v>
      </c>
      <c r="K1246">
        <v>4</v>
      </c>
      <c r="L1246">
        <v>2</v>
      </c>
      <c r="M1246">
        <v>722.61</v>
      </c>
      <c r="N1246">
        <v>1445.22</v>
      </c>
      <c r="O1246">
        <v>0.12</v>
      </c>
      <c r="P1246">
        <v>173.43</v>
      </c>
      <c r="Q1246">
        <v>1271.79</v>
      </c>
      <c r="R1246">
        <v>838.23</v>
      </c>
      <c r="S1246">
        <v>433.56</v>
      </c>
    </row>
    <row r="1247" spans="1:19" x14ac:dyDescent="0.35">
      <c r="A1247">
        <v>101245</v>
      </c>
      <c r="B1247">
        <v>3764</v>
      </c>
      <c r="C1247" t="s">
        <v>28</v>
      </c>
      <c r="D1247" t="s">
        <v>29</v>
      </c>
      <c r="E1247" t="s">
        <v>26</v>
      </c>
      <c r="F1247" t="s">
        <v>27</v>
      </c>
      <c r="G1247" s="1">
        <v>45220</v>
      </c>
      <c r="H1247" s="1">
        <v>45224</v>
      </c>
      <c r="I1247" s="1">
        <v>45223</v>
      </c>
      <c r="J1247">
        <v>3</v>
      </c>
      <c r="K1247">
        <v>4</v>
      </c>
      <c r="L1247">
        <v>7</v>
      </c>
      <c r="M1247">
        <v>128.31</v>
      </c>
      <c r="N1247">
        <v>898.17</v>
      </c>
      <c r="O1247">
        <v>0.08</v>
      </c>
      <c r="P1247">
        <v>71.849999999999994</v>
      </c>
      <c r="Q1247">
        <v>826.32</v>
      </c>
      <c r="R1247">
        <v>601.77</v>
      </c>
      <c r="S1247">
        <v>224.55</v>
      </c>
    </row>
    <row r="1248" spans="1:19" x14ac:dyDescent="0.35">
      <c r="A1248">
        <v>101246</v>
      </c>
      <c r="B1248">
        <v>3511</v>
      </c>
      <c r="C1248" t="s">
        <v>33</v>
      </c>
      <c r="D1248" t="s">
        <v>31</v>
      </c>
      <c r="E1248" t="s">
        <v>34</v>
      </c>
      <c r="F1248" t="s">
        <v>35</v>
      </c>
      <c r="G1248" s="1">
        <v>45262</v>
      </c>
      <c r="H1248" s="1">
        <v>45266</v>
      </c>
      <c r="I1248" s="1">
        <v>45279</v>
      </c>
      <c r="J1248">
        <v>17</v>
      </c>
      <c r="K1248">
        <v>4</v>
      </c>
      <c r="L1248">
        <v>8</v>
      </c>
      <c r="M1248">
        <v>83.25</v>
      </c>
      <c r="N1248">
        <v>666</v>
      </c>
      <c r="O1248">
        <v>0.12</v>
      </c>
      <c r="P1248">
        <v>79.92</v>
      </c>
      <c r="Q1248">
        <v>586.08000000000004</v>
      </c>
      <c r="R1248">
        <v>392.94</v>
      </c>
      <c r="S1248">
        <v>193.14</v>
      </c>
    </row>
    <row r="1249" spans="1:19" x14ac:dyDescent="0.35">
      <c r="A1249">
        <v>101247</v>
      </c>
      <c r="B1249">
        <v>3233</v>
      </c>
      <c r="C1249" t="s">
        <v>23</v>
      </c>
      <c r="D1249" t="s">
        <v>29</v>
      </c>
      <c r="E1249" t="s">
        <v>34</v>
      </c>
      <c r="F1249" t="s">
        <v>43</v>
      </c>
      <c r="G1249" s="1">
        <v>45039</v>
      </c>
      <c r="H1249" s="1">
        <v>45040</v>
      </c>
      <c r="I1249" s="1">
        <v>45066</v>
      </c>
      <c r="J1249">
        <v>27</v>
      </c>
      <c r="K1249">
        <v>1</v>
      </c>
      <c r="L1249">
        <v>3</v>
      </c>
      <c r="M1249">
        <v>539.55999999999995</v>
      </c>
      <c r="N1249">
        <v>1618.68</v>
      </c>
      <c r="O1249">
        <v>0</v>
      </c>
      <c r="P1249">
        <v>0</v>
      </c>
      <c r="Q1249">
        <v>1618.68</v>
      </c>
      <c r="R1249">
        <v>1084.52</v>
      </c>
      <c r="S1249">
        <v>534.16</v>
      </c>
    </row>
    <row r="1250" spans="1:19" x14ac:dyDescent="0.35">
      <c r="A1250">
        <v>101248</v>
      </c>
      <c r="B1250">
        <v>3825</v>
      </c>
      <c r="C1250" t="s">
        <v>23</v>
      </c>
      <c r="D1250" t="s">
        <v>29</v>
      </c>
      <c r="E1250" t="s">
        <v>34</v>
      </c>
      <c r="F1250" t="s">
        <v>43</v>
      </c>
      <c r="G1250" s="1">
        <v>44927</v>
      </c>
      <c r="H1250" s="1">
        <v>44928</v>
      </c>
      <c r="I1250" s="1">
        <v>44936</v>
      </c>
      <c r="J1250">
        <v>9</v>
      </c>
      <c r="K1250">
        <v>1</v>
      </c>
      <c r="L1250">
        <v>12</v>
      </c>
      <c r="M1250">
        <v>268.39999999999998</v>
      </c>
      <c r="N1250">
        <v>3220.8</v>
      </c>
      <c r="O1250">
        <v>0.04</v>
      </c>
      <c r="P1250">
        <v>128.83000000000001</v>
      </c>
      <c r="Q1250">
        <v>3091.97</v>
      </c>
      <c r="R1250">
        <v>2061.31</v>
      </c>
      <c r="S1250">
        <v>1030.6600000000001</v>
      </c>
    </row>
    <row r="1251" spans="1:19" x14ac:dyDescent="0.35">
      <c r="A1251">
        <v>101249</v>
      </c>
      <c r="B1251">
        <v>4193</v>
      </c>
      <c r="C1251" t="s">
        <v>23</v>
      </c>
      <c r="D1251" t="s">
        <v>20</v>
      </c>
      <c r="E1251" t="s">
        <v>21</v>
      </c>
      <c r="F1251" t="s">
        <v>39</v>
      </c>
      <c r="G1251" s="1">
        <v>45182</v>
      </c>
      <c r="H1251" s="1">
        <v>45187</v>
      </c>
      <c r="I1251" s="1">
        <v>45189</v>
      </c>
      <c r="J1251">
        <v>7</v>
      </c>
      <c r="K1251">
        <v>5</v>
      </c>
      <c r="L1251">
        <v>8</v>
      </c>
      <c r="M1251">
        <v>440.38</v>
      </c>
      <c r="N1251">
        <v>3523.04</v>
      </c>
      <c r="O1251">
        <v>7.0000000000000007E-2</v>
      </c>
      <c r="P1251">
        <v>246.61</v>
      </c>
      <c r="Q1251">
        <v>3276.43</v>
      </c>
      <c r="R1251">
        <v>2289.98</v>
      </c>
      <c r="S1251">
        <v>986.45</v>
      </c>
    </row>
    <row r="1252" spans="1:19" x14ac:dyDescent="0.35">
      <c r="A1252">
        <v>101250</v>
      </c>
      <c r="B1252">
        <v>3895</v>
      </c>
      <c r="C1252" t="s">
        <v>28</v>
      </c>
      <c r="D1252" t="s">
        <v>20</v>
      </c>
      <c r="E1252" t="s">
        <v>26</v>
      </c>
      <c r="F1252" t="s">
        <v>37</v>
      </c>
      <c r="G1252" s="1">
        <v>44944</v>
      </c>
      <c r="H1252" s="1">
        <v>44946</v>
      </c>
      <c r="I1252" s="1">
        <v>44965</v>
      </c>
      <c r="J1252">
        <v>21</v>
      </c>
      <c r="K1252">
        <v>2</v>
      </c>
      <c r="L1252">
        <v>3</v>
      </c>
      <c r="M1252">
        <v>153.66</v>
      </c>
      <c r="N1252">
        <v>460.98</v>
      </c>
      <c r="O1252">
        <v>0.15</v>
      </c>
      <c r="P1252">
        <v>69.150000000000006</v>
      </c>
      <c r="Q1252">
        <v>391.83</v>
      </c>
      <c r="R1252">
        <v>295.02999999999997</v>
      </c>
      <c r="S1252">
        <v>96.8</v>
      </c>
    </row>
    <row r="1253" spans="1:19" x14ac:dyDescent="0.35">
      <c r="A1253">
        <v>101251</v>
      </c>
      <c r="B1253">
        <v>4714</v>
      </c>
      <c r="C1253" t="s">
        <v>19</v>
      </c>
      <c r="D1253" t="s">
        <v>31</v>
      </c>
      <c r="E1253" t="s">
        <v>21</v>
      </c>
      <c r="F1253" t="s">
        <v>41</v>
      </c>
      <c r="G1253" s="1">
        <v>45174</v>
      </c>
      <c r="H1253" s="1">
        <v>45175</v>
      </c>
      <c r="I1253" s="1">
        <v>45194</v>
      </c>
      <c r="J1253">
        <v>20</v>
      </c>
      <c r="K1253">
        <v>1</v>
      </c>
      <c r="L1253">
        <v>9</v>
      </c>
      <c r="M1253">
        <v>679.64</v>
      </c>
      <c r="N1253">
        <v>6116.76</v>
      </c>
      <c r="O1253">
        <v>0.11</v>
      </c>
      <c r="P1253">
        <v>672.84</v>
      </c>
      <c r="Q1253">
        <v>5443.92</v>
      </c>
      <c r="R1253">
        <v>3486.55</v>
      </c>
      <c r="S1253">
        <v>1957.37</v>
      </c>
    </row>
    <row r="1254" spans="1:19" x14ac:dyDescent="0.35">
      <c r="A1254">
        <v>101252</v>
      </c>
      <c r="B1254">
        <v>4263</v>
      </c>
      <c r="C1254" t="s">
        <v>23</v>
      </c>
      <c r="D1254" t="s">
        <v>31</v>
      </c>
      <c r="E1254" t="s">
        <v>34</v>
      </c>
      <c r="F1254" t="s">
        <v>40</v>
      </c>
      <c r="G1254" s="1">
        <v>45093</v>
      </c>
      <c r="H1254" s="1">
        <v>45094</v>
      </c>
      <c r="I1254" s="1">
        <v>45122</v>
      </c>
      <c r="J1254">
        <v>29</v>
      </c>
      <c r="K1254">
        <v>1</v>
      </c>
      <c r="L1254">
        <v>10</v>
      </c>
      <c r="M1254">
        <v>518.04</v>
      </c>
      <c r="N1254">
        <v>5180.3999999999996</v>
      </c>
      <c r="O1254">
        <v>0.06</v>
      </c>
      <c r="P1254">
        <v>310.82</v>
      </c>
      <c r="Q1254">
        <v>4869.58</v>
      </c>
      <c r="R1254">
        <v>3211.85</v>
      </c>
      <c r="S1254">
        <v>1657.73</v>
      </c>
    </row>
    <row r="1255" spans="1:19" x14ac:dyDescent="0.35">
      <c r="A1255">
        <v>101253</v>
      </c>
      <c r="B1255">
        <v>4313</v>
      </c>
      <c r="C1255" t="s">
        <v>23</v>
      </c>
      <c r="D1255" t="s">
        <v>20</v>
      </c>
      <c r="E1255" t="s">
        <v>34</v>
      </c>
      <c r="F1255" t="s">
        <v>43</v>
      </c>
      <c r="G1255" s="1">
        <v>44942</v>
      </c>
      <c r="H1255" s="1">
        <v>44943</v>
      </c>
      <c r="I1255" s="1">
        <v>44960</v>
      </c>
      <c r="J1255">
        <v>18</v>
      </c>
      <c r="K1255">
        <v>1</v>
      </c>
      <c r="L1255">
        <v>3</v>
      </c>
      <c r="M1255">
        <v>409.73</v>
      </c>
      <c r="N1255">
        <v>1229.19</v>
      </c>
      <c r="O1255">
        <v>0.08</v>
      </c>
      <c r="P1255">
        <v>98.34</v>
      </c>
      <c r="Q1255">
        <v>1130.8499999999999</v>
      </c>
      <c r="R1255">
        <v>700.64</v>
      </c>
      <c r="S1255">
        <v>430.21</v>
      </c>
    </row>
    <row r="1256" spans="1:19" x14ac:dyDescent="0.35">
      <c r="A1256">
        <v>101254</v>
      </c>
      <c r="B1256">
        <v>3028</v>
      </c>
      <c r="C1256" t="s">
        <v>19</v>
      </c>
      <c r="D1256" t="s">
        <v>31</v>
      </c>
      <c r="E1256" t="s">
        <v>21</v>
      </c>
      <c r="F1256" t="s">
        <v>41</v>
      </c>
      <c r="G1256" s="1">
        <v>45275</v>
      </c>
      <c r="H1256" s="1">
        <v>45280</v>
      </c>
      <c r="I1256" s="1">
        <v>45292</v>
      </c>
      <c r="J1256">
        <v>17</v>
      </c>
      <c r="K1256">
        <v>5</v>
      </c>
      <c r="L1256">
        <v>7</v>
      </c>
      <c r="M1256">
        <v>43.75</v>
      </c>
      <c r="N1256">
        <v>306.25</v>
      </c>
      <c r="O1256">
        <v>0.04</v>
      </c>
      <c r="P1256">
        <v>12.25</v>
      </c>
      <c r="Q1256">
        <v>294</v>
      </c>
      <c r="R1256">
        <v>199.06</v>
      </c>
      <c r="S1256">
        <v>94.94</v>
      </c>
    </row>
    <row r="1257" spans="1:19" x14ac:dyDescent="0.35">
      <c r="A1257">
        <v>101255</v>
      </c>
      <c r="B1257">
        <v>2280</v>
      </c>
      <c r="C1257" t="s">
        <v>19</v>
      </c>
      <c r="D1257" t="s">
        <v>29</v>
      </c>
      <c r="E1257" t="s">
        <v>34</v>
      </c>
      <c r="F1257" t="s">
        <v>43</v>
      </c>
      <c r="G1257" s="1">
        <v>44953</v>
      </c>
      <c r="H1257" s="1">
        <v>44955</v>
      </c>
      <c r="I1257" s="1">
        <v>44969</v>
      </c>
      <c r="J1257">
        <v>16</v>
      </c>
      <c r="K1257">
        <v>2</v>
      </c>
      <c r="L1257">
        <v>10</v>
      </c>
      <c r="M1257">
        <v>103.12</v>
      </c>
      <c r="N1257">
        <v>1031.2</v>
      </c>
      <c r="O1257">
        <v>0.12</v>
      </c>
      <c r="P1257">
        <v>123.74</v>
      </c>
      <c r="Q1257">
        <v>907.46</v>
      </c>
      <c r="R1257">
        <v>618.72</v>
      </c>
      <c r="S1257">
        <v>288.74</v>
      </c>
    </row>
    <row r="1258" spans="1:19" x14ac:dyDescent="0.35">
      <c r="A1258">
        <v>101256</v>
      </c>
      <c r="B1258">
        <v>4606</v>
      </c>
      <c r="C1258" t="s">
        <v>23</v>
      </c>
      <c r="D1258" t="s">
        <v>29</v>
      </c>
      <c r="E1258" t="s">
        <v>21</v>
      </c>
      <c r="F1258" t="s">
        <v>41</v>
      </c>
      <c r="G1258" s="1">
        <v>45201</v>
      </c>
      <c r="H1258" s="1">
        <v>45205</v>
      </c>
      <c r="I1258" s="1">
        <v>45203</v>
      </c>
      <c r="J1258">
        <v>2</v>
      </c>
      <c r="K1258">
        <v>4</v>
      </c>
      <c r="L1258">
        <v>11</v>
      </c>
      <c r="M1258">
        <v>558.46</v>
      </c>
      <c r="N1258">
        <v>6143.06</v>
      </c>
      <c r="O1258">
        <v>0.06</v>
      </c>
      <c r="P1258">
        <v>368.58</v>
      </c>
      <c r="Q1258">
        <v>5774.48</v>
      </c>
      <c r="R1258">
        <v>3685.84</v>
      </c>
      <c r="S1258">
        <v>2088.64</v>
      </c>
    </row>
    <row r="1259" spans="1:19" x14ac:dyDescent="0.35">
      <c r="A1259">
        <v>101257</v>
      </c>
      <c r="B1259">
        <v>4457</v>
      </c>
      <c r="C1259" t="s">
        <v>33</v>
      </c>
      <c r="D1259" t="s">
        <v>29</v>
      </c>
      <c r="E1259" t="s">
        <v>24</v>
      </c>
      <c r="F1259" t="s">
        <v>32</v>
      </c>
      <c r="G1259" s="1">
        <v>45151</v>
      </c>
      <c r="H1259" s="1">
        <v>45156</v>
      </c>
      <c r="I1259" s="1">
        <v>45164</v>
      </c>
      <c r="J1259">
        <v>13</v>
      </c>
      <c r="K1259">
        <v>5</v>
      </c>
      <c r="L1259">
        <v>7</v>
      </c>
      <c r="M1259">
        <v>231.77</v>
      </c>
      <c r="N1259">
        <v>1622.39</v>
      </c>
      <c r="O1259">
        <v>0.06</v>
      </c>
      <c r="P1259">
        <v>97.34</v>
      </c>
      <c r="Q1259">
        <v>1525.05</v>
      </c>
      <c r="R1259">
        <v>989.66</v>
      </c>
      <c r="S1259">
        <v>535.39</v>
      </c>
    </row>
    <row r="1260" spans="1:19" x14ac:dyDescent="0.35">
      <c r="A1260">
        <v>101258</v>
      </c>
      <c r="B1260">
        <v>3746</v>
      </c>
      <c r="C1260" t="s">
        <v>33</v>
      </c>
      <c r="D1260" t="s">
        <v>31</v>
      </c>
      <c r="E1260" t="s">
        <v>21</v>
      </c>
      <c r="F1260" t="s">
        <v>22</v>
      </c>
      <c r="G1260" s="1">
        <v>45188</v>
      </c>
      <c r="H1260" s="1">
        <v>45189</v>
      </c>
      <c r="I1260" s="1">
        <v>45207</v>
      </c>
      <c r="J1260">
        <v>19</v>
      </c>
      <c r="K1260">
        <v>1</v>
      </c>
      <c r="L1260">
        <v>9</v>
      </c>
      <c r="M1260">
        <v>246.41</v>
      </c>
      <c r="N1260">
        <v>2217.69</v>
      </c>
      <c r="O1260">
        <v>0.03</v>
      </c>
      <c r="P1260">
        <v>66.53</v>
      </c>
      <c r="Q1260">
        <v>2151.16</v>
      </c>
      <c r="R1260">
        <v>1153.2</v>
      </c>
      <c r="S1260">
        <v>997.96</v>
      </c>
    </row>
    <row r="1261" spans="1:19" x14ac:dyDescent="0.35">
      <c r="A1261">
        <v>101259</v>
      </c>
      <c r="B1261">
        <v>2118</v>
      </c>
      <c r="C1261" t="s">
        <v>19</v>
      </c>
      <c r="D1261" t="s">
        <v>31</v>
      </c>
      <c r="E1261" t="s">
        <v>34</v>
      </c>
      <c r="F1261" t="s">
        <v>43</v>
      </c>
      <c r="G1261" s="1">
        <v>45134</v>
      </c>
      <c r="H1261" s="1">
        <v>45135</v>
      </c>
      <c r="I1261" s="1">
        <v>45160</v>
      </c>
      <c r="J1261">
        <v>26</v>
      </c>
      <c r="K1261">
        <v>1</v>
      </c>
      <c r="L1261">
        <v>14</v>
      </c>
      <c r="M1261">
        <v>366.38</v>
      </c>
      <c r="N1261">
        <v>5129.32</v>
      </c>
      <c r="O1261">
        <v>0.06</v>
      </c>
      <c r="P1261">
        <v>307.76</v>
      </c>
      <c r="Q1261">
        <v>4821.5600000000004</v>
      </c>
      <c r="R1261">
        <v>2975.01</v>
      </c>
      <c r="S1261">
        <v>1846.55</v>
      </c>
    </row>
    <row r="1262" spans="1:19" x14ac:dyDescent="0.35">
      <c r="A1262">
        <v>200000</v>
      </c>
      <c r="B1262">
        <v>1992</v>
      </c>
      <c r="C1262" t="s">
        <v>28</v>
      </c>
      <c r="D1262" t="s">
        <v>29</v>
      </c>
      <c r="E1262" t="s">
        <v>26</v>
      </c>
      <c r="F1262" t="s">
        <v>44</v>
      </c>
      <c r="G1262" s="1">
        <v>45438</v>
      </c>
      <c r="H1262" s="1">
        <v>45443</v>
      </c>
      <c r="I1262" s="1">
        <v>45443</v>
      </c>
      <c r="J1262">
        <v>5</v>
      </c>
      <c r="K1262">
        <v>5</v>
      </c>
      <c r="L1262">
        <v>1</v>
      </c>
      <c r="M1262">
        <v>482.09</v>
      </c>
      <c r="N1262">
        <v>482.09</v>
      </c>
      <c r="O1262">
        <v>0.14000000000000001</v>
      </c>
      <c r="P1262">
        <v>67.489999999999995</v>
      </c>
      <c r="Q1262">
        <v>414.6</v>
      </c>
      <c r="R1262">
        <v>303.72000000000003</v>
      </c>
      <c r="S1262">
        <v>110.88</v>
      </c>
    </row>
    <row r="1263" spans="1:19" x14ac:dyDescent="0.35">
      <c r="A1263">
        <v>200001</v>
      </c>
      <c r="B1263">
        <v>3246</v>
      </c>
      <c r="C1263" t="s">
        <v>33</v>
      </c>
      <c r="D1263" t="s">
        <v>29</v>
      </c>
      <c r="E1263" t="s">
        <v>24</v>
      </c>
      <c r="F1263" t="s">
        <v>30</v>
      </c>
      <c r="G1263" s="1">
        <v>45578</v>
      </c>
      <c r="H1263" s="1">
        <v>45579</v>
      </c>
      <c r="I1263" s="1">
        <v>45608</v>
      </c>
      <c r="J1263">
        <v>30</v>
      </c>
      <c r="K1263">
        <v>1</v>
      </c>
      <c r="L1263">
        <v>7</v>
      </c>
      <c r="M1263">
        <v>497.52</v>
      </c>
      <c r="N1263">
        <v>3482.64</v>
      </c>
      <c r="O1263">
        <v>0.14000000000000001</v>
      </c>
      <c r="P1263">
        <v>487.57</v>
      </c>
      <c r="Q1263">
        <v>2995.07</v>
      </c>
      <c r="R1263">
        <v>2194.06</v>
      </c>
      <c r="S1263">
        <v>801.01</v>
      </c>
    </row>
    <row r="1264" spans="1:19" x14ac:dyDescent="0.35">
      <c r="A1264">
        <v>200002</v>
      </c>
      <c r="B1264">
        <v>2245</v>
      </c>
      <c r="C1264" t="s">
        <v>28</v>
      </c>
      <c r="D1264" t="s">
        <v>29</v>
      </c>
      <c r="E1264" t="s">
        <v>26</v>
      </c>
      <c r="F1264" t="s">
        <v>36</v>
      </c>
      <c r="G1264" s="1">
        <v>45319</v>
      </c>
      <c r="H1264" s="1">
        <v>45324</v>
      </c>
      <c r="I1264" s="1">
        <v>45335</v>
      </c>
      <c r="J1264">
        <v>16</v>
      </c>
      <c r="K1264">
        <v>5</v>
      </c>
      <c r="L1264">
        <v>3</v>
      </c>
      <c r="M1264">
        <v>329.54</v>
      </c>
      <c r="N1264">
        <v>988.62</v>
      </c>
      <c r="O1264">
        <v>0.06</v>
      </c>
      <c r="P1264">
        <v>59.32</v>
      </c>
      <c r="Q1264">
        <v>929.3</v>
      </c>
      <c r="R1264">
        <v>603.05999999999995</v>
      </c>
      <c r="S1264">
        <v>326.24</v>
      </c>
    </row>
    <row r="1265" spans="1:19" x14ac:dyDescent="0.35">
      <c r="A1265">
        <v>200003</v>
      </c>
      <c r="B1265">
        <v>1637</v>
      </c>
      <c r="C1265" t="s">
        <v>19</v>
      </c>
      <c r="D1265" t="s">
        <v>20</v>
      </c>
      <c r="E1265" t="s">
        <v>26</v>
      </c>
      <c r="F1265" t="s">
        <v>37</v>
      </c>
      <c r="G1265" s="1">
        <v>45612</v>
      </c>
      <c r="H1265" s="1">
        <v>45613</v>
      </c>
      <c r="I1265" s="1">
        <v>45622</v>
      </c>
      <c r="J1265">
        <v>10</v>
      </c>
      <c r="K1265">
        <v>1</v>
      </c>
      <c r="L1265">
        <v>7</v>
      </c>
      <c r="M1265">
        <v>791.39</v>
      </c>
      <c r="N1265">
        <v>5539.73</v>
      </c>
      <c r="O1265">
        <v>7.0000000000000007E-2</v>
      </c>
      <c r="P1265">
        <v>387.78</v>
      </c>
      <c r="Q1265">
        <v>5151.95</v>
      </c>
      <c r="R1265">
        <v>3213.04</v>
      </c>
      <c r="S1265">
        <v>1938.91</v>
      </c>
    </row>
    <row r="1266" spans="1:19" x14ac:dyDescent="0.35">
      <c r="A1266">
        <v>200004</v>
      </c>
      <c r="B1266">
        <v>2707</v>
      </c>
      <c r="C1266" t="s">
        <v>33</v>
      </c>
      <c r="D1266" t="s">
        <v>31</v>
      </c>
      <c r="E1266" t="s">
        <v>26</v>
      </c>
      <c r="F1266" t="s">
        <v>44</v>
      </c>
      <c r="G1266" s="1">
        <v>45319</v>
      </c>
      <c r="H1266" s="1">
        <v>45323</v>
      </c>
      <c r="I1266" s="1">
        <v>45321</v>
      </c>
      <c r="J1266">
        <v>2</v>
      </c>
      <c r="K1266">
        <v>4</v>
      </c>
      <c r="L1266">
        <v>7</v>
      </c>
      <c r="M1266">
        <v>318.72000000000003</v>
      </c>
      <c r="N1266">
        <v>2231.04</v>
      </c>
      <c r="O1266">
        <v>0.09</v>
      </c>
      <c r="P1266">
        <v>200.79</v>
      </c>
      <c r="Q1266">
        <v>2030.25</v>
      </c>
      <c r="R1266">
        <v>1494.8</v>
      </c>
      <c r="S1266">
        <v>535.45000000000005</v>
      </c>
    </row>
    <row r="1267" spans="1:19" x14ac:dyDescent="0.35">
      <c r="A1267">
        <v>200005</v>
      </c>
      <c r="B1267">
        <v>3297</v>
      </c>
      <c r="C1267" t="s">
        <v>28</v>
      </c>
      <c r="D1267" t="s">
        <v>20</v>
      </c>
      <c r="E1267" t="s">
        <v>21</v>
      </c>
      <c r="F1267" t="s">
        <v>41</v>
      </c>
      <c r="G1267" s="1">
        <v>45433</v>
      </c>
      <c r="H1267" s="1">
        <v>45434</v>
      </c>
      <c r="I1267" s="1">
        <v>45449</v>
      </c>
      <c r="J1267">
        <v>16</v>
      </c>
      <c r="K1267">
        <v>1</v>
      </c>
      <c r="L1267">
        <v>14</v>
      </c>
      <c r="M1267">
        <v>86.18</v>
      </c>
      <c r="N1267">
        <v>1206.52</v>
      </c>
      <c r="O1267">
        <v>0.15</v>
      </c>
      <c r="P1267">
        <v>180.98</v>
      </c>
      <c r="Q1267">
        <v>1025.54</v>
      </c>
      <c r="R1267">
        <v>663.59</v>
      </c>
      <c r="S1267">
        <v>361.95</v>
      </c>
    </row>
    <row r="1268" spans="1:19" x14ac:dyDescent="0.35">
      <c r="A1268">
        <v>200006</v>
      </c>
      <c r="B1268">
        <v>3425</v>
      </c>
      <c r="C1268" t="s">
        <v>19</v>
      </c>
      <c r="D1268" t="s">
        <v>20</v>
      </c>
      <c r="E1268" t="s">
        <v>34</v>
      </c>
      <c r="F1268" t="s">
        <v>40</v>
      </c>
      <c r="G1268" s="1">
        <v>45408</v>
      </c>
      <c r="H1268" s="1">
        <v>45410</v>
      </c>
      <c r="I1268" s="1">
        <v>45429</v>
      </c>
      <c r="J1268">
        <v>21</v>
      </c>
      <c r="K1268">
        <v>2</v>
      </c>
      <c r="L1268">
        <v>3</v>
      </c>
      <c r="M1268">
        <v>81.239999999999995</v>
      </c>
      <c r="N1268">
        <v>243.72</v>
      </c>
      <c r="O1268">
        <v>7.0000000000000007E-2</v>
      </c>
      <c r="P1268">
        <v>17.059999999999999</v>
      </c>
      <c r="Q1268">
        <v>226.66</v>
      </c>
      <c r="R1268">
        <v>168.17</v>
      </c>
      <c r="S1268">
        <v>58.49</v>
      </c>
    </row>
    <row r="1269" spans="1:19" x14ac:dyDescent="0.35">
      <c r="A1269">
        <v>200007</v>
      </c>
      <c r="B1269">
        <v>1149</v>
      </c>
      <c r="C1269" t="s">
        <v>28</v>
      </c>
      <c r="D1269" t="s">
        <v>31</v>
      </c>
      <c r="E1269" t="s">
        <v>34</v>
      </c>
      <c r="F1269" t="s">
        <v>40</v>
      </c>
      <c r="G1269" s="1">
        <v>45615</v>
      </c>
      <c r="H1269" s="1">
        <v>45620</v>
      </c>
      <c r="I1269" s="1">
        <v>45621</v>
      </c>
      <c r="J1269">
        <v>6</v>
      </c>
      <c r="K1269">
        <v>5</v>
      </c>
      <c r="L1269">
        <v>3</v>
      </c>
      <c r="M1269">
        <v>546.41999999999996</v>
      </c>
      <c r="N1269">
        <v>1639.26</v>
      </c>
      <c r="O1269">
        <v>0.11</v>
      </c>
      <c r="P1269">
        <v>180.32</v>
      </c>
      <c r="Q1269">
        <v>1458.94</v>
      </c>
      <c r="R1269">
        <v>1114.7</v>
      </c>
      <c r="S1269">
        <v>344.24</v>
      </c>
    </row>
    <row r="1270" spans="1:19" x14ac:dyDescent="0.35">
      <c r="A1270">
        <v>200008</v>
      </c>
      <c r="B1270">
        <v>2670</v>
      </c>
      <c r="C1270" t="s">
        <v>19</v>
      </c>
      <c r="D1270" t="s">
        <v>31</v>
      </c>
      <c r="E1270" t="s">
        <v>24</v>
      </c>
      <c r="F1270" t="s">
        <v>32</v>
      </c>
      <c r="G1270" s="1">
        <v>45544</v>
      </c>
      <c r="H1270" s="1">
        <v>45547</v>
      </c>
      <c r="I1270" s="1">
        <v>45554</v>
      </c>
      <c r="J1270">
        <v>10</v>
      </c>
      <c r="K1270">
        <v>3</v>
      </c>
      <c r="L1270">
        <v>2</v>
      </c>
      <c r="M1270">
        <v>573.80999999999995</v>
      </c>
      <c r="N1270">
        <v>1147.6199999999999</v>
      </c>
      <c r="O1270">
        <v>7.0000000000000007E-2</v>
      </c>
      <c r="P1270">
        <v>80.33</v>
      </c>
      <c r="Q1270">
        <v>1067.29</v>
      </c>
      <c r="R1270">
        <v>562.33000000000004</v>
      </c>
      <c r="S1270">
        <v>504.96</v>
      </c>
    </row>
    <row r="1271" spans="1:19" x14ac:dyDescent="0.35">
      <c r="A1271">
        <v>200009</v>
      </c>
      <c r="B1271">
        <v>1695</v>
      </c>
      <c r="C1271" t="s">
        <v>33</v>
      </c>
      <c r="D1271" t="s">
        <v>20</v>
      </c>
      <c r="E1271" t="s">
        <v>34</v>
      </c>
      <c r="F1271" t="s">
        <v>45</v>
      </c>
      <c r="G1271" s="1">
        <v>45412</v>
      </c>
      <c r="H1271" s="1">
        <v>45415</v>
      </c>
      <c r="I1271" s="1">
        <v>45429</v>
      </c>
      <c r="J1271">
        <v>17</v>
      </c>
      <c r="K1271">
        <v>3</v>
      </c>
      <c r="L1271">
        <v>13</v>
      </c>
      <c r="M1271">
        <v>72.5</v>
      </c>
      <c r="N1271">
        <v>942.5</v>
      </c>
      <c r="O1271">
        <v>0.06</v>
      </c>
      <c r="P1271">
        <v>56.55</v>
      </c>
      <c r="Q1271">
        <v>885.95</v>
      </c>
      <c r="R1271">
        <v>678.6</v>
      </c>
      <c r="S1271">
        <v>207.35</v>
      </c>
    </row>
    <row r="1272" spans="1:19" x14ac:dyDescent="0.35">
      <c r="A1272">
        <v>200010</v>
      </c>
      <c r="B1272">
        <v>1583</v>
      </c>
      <c r="C1272" t="s">
        <v>28</v>
      </c>
      <c r="D1272" t="s">
        <v>20</v>
      </c>
      <c r="E1272" t="s">
        <v>34</v>
      </c>
      <c r="F1272" t="s">
        <v>43</v>
      </c>
      <c r="G1272" s="1">
        <v>45345</v>
      </c>
      <c r="H1272" s="1">
        <v>45348</v>
      </c>
      <c r="I1272" s="1">
        <v>45363</v>
      </c>
      <c r="J1272">
        <v>18</v>
      </c>
      <c r="K1272">
        <v>3</v>
      </c>
      <c r="L1272">
        <v>6</v>
      </c>
      <c r="M1272">
        <v>160.15</v>
      </c>
      <c r="N1272">
        <v>960.9</v>
      </c>
      <c r="O1272">
        <v>0.04</v>
      </c>
      <c r="P1272">
        <v>38.44</v>
      </c>
      <c r="Q1272">
        <v>922.46</v>
      </c>
      <c r="R1272">
        <v>605.37</v>
      </c>
      <c r="S1272">
        <v>317.08999999999997</v>
      </c>
    </row>
    <row r="1273" spans="1:19" x14ac:dyDescent="0.35">
      <c r="A1273">
        <v>200011</v>
      </c>
      <c r="B1273">
        <v>1438</v>
      </c>
      <c r="C1273" t="s">
        <v>23</v>
      </c>
      <c r="D1273" t="s">
        <v>31</v>
      </c>
      <c r="E1273" t="s">
        <v>34</v>
      </c>
      <c r="F1273" t="s">
        <v>43</v>
      </c>
      <c r="G1273" s="1">
        <v>45538</v>
      </c>
      <c r="H1273" s="1">
        <v>45540</v>
      </c>
      <c r="I1273" s="1">
        <v>45558</v>
      </c>
      <c r="J1273">
        <v>20</v>
      </c>
      <c r="K1273">
        <v>2</v>
      </c>
      <c r="L1273">
        <v>5</v>
      </c>
      <c r="M1273">
        <v>189.28</v>
      </c>
      <c r="N1273">
        <v>946.4</v>
      </c>
      <c r="O1273">
        <v>0.05</v>
      </c>
      <c r="P1273">
        <v>47.32</v>
      </c>
      <c r="Q1273">
        <v>899.08</v>
      </c>
      <c r="R1273">
        <v>615.16</v>
      </c>
      <c r="S1273">
        <v>283.92</v>
      </c>
    </row>
    <row r="1274" spans="1:19" x14ac:dyDescent="0.35">
      <c r="A1274">
        <v>200012</v>
      </c>
      <c r="B1274">
        <v>3995</v>
      </c>
      <c r="C1274" t="s">
        <v>19</v>
      </c>
      <c r="D1274" t="s">
        <v>20</v>
      </c>
      <c r="E1274" t="s">
        <v>24</v>
      </c>
      <c r="F1274" t="s">
        <v>42</v>
      </c>
      <c r="G1274" s="1">
        <v>45550</v>
      </c>
      <c r="H1274" s="1">
        <v>45555</v>
      </c>
      <c r="I1274" s="1">
        <v>45558</v>
      </c>
      <c r="J1274">
        <v>8</v>
      </c>
      <c r="K1274">
        <v>5</v>
      </c>
      <c r="L1274">
        <v>11</v>
      </c>
      <c r="M1274">
        <v>31.86</v>
      </c>
      <c r="N1274">
        <v>350.46</v>
      </c>
      <c r="O1274">
        <v>0.09</v>
      </c>
      <c r="P1274">
        <v>31.54</v>
      </c>
      <c r="Q1274">
        <v>318.92</v>
      </c>
      <c r="R1274">
        <v>220.79</v>
      </c>
      <c r="S1274">
        <v>98.13</v>
      </c>
    </row>
    <row r="1275" spans="1:19" x14ac:dyDescent="0.35">
      <c r="A1275">
        <v>200013</v>
      </c>
      <c r="B1275">
        <v>4084</v>
      </c>
      <c r="C1275" t="s">
        <v>23</v>
      </c>
      <c r="D1275" t="s">
        <v>31</v>
      </c>
      <c r="E1275" t="s">
        <v>24</v>
      </c>
      <c r="F1275" t="s">
        <v>30</v>
      </c>
      <c r="G1275" s="1">
        <v>45334</v>
      </c>
      <c r="H1275" s="1">
        <v>45335</v>
      </c>
      <c r="I1275" s="1">
        <v>45339</v>
      </c>
      <c r="J1275">
        <v>5</v>
      </c>
      <c r="K1275">
        <v>1</v>
      </c>
      <c r="L1275">
        <v>8</v>
      </c>
      <c r="M1275">
        <v>596.39</v>
      </c>
      <c r="N1275">
        <v>4771.12</v>
      </c>
      <c r="O1275">
        <v>0.08</v>
      </c>
      <c r="P1275">
        <v>381.69</v>
      </c>
      <c r="Q1275">
        <v>4389.43</v>
      </c>
      <c r="R1275">
        <v>3339.78</v>
      </c>
      <c r="S1275">
        <v>1049.6500000000001</v>
      </c>
    </row>
    <row r="1276" spans="1:19" x14ac:dyDescent="0.35">
      <c r="A1276">
        <v>200014</v>
      </c>
      <c r="B1276">
        <v>1870</v>
      </c>
      <c r="C1276" t="s">
        <v>23</v>
      </c>
      <c r="D1276" t="s">
        <v>29</v>
      </c>
      <c r="E1276" t="s">
        <v>21</v>
      </c>
      <c r="F1276" t="s">
        <v>39</v>
      </c>
      <c r="G1276" s="1">
        <v>45334</v>
      </c>
      <c r="H1276" s="1">
        <v>45337</v>
      </c>
      <c r="I1276" s="1">
        <v>45348</v>
      </c>
      <c r="J1276">
        <v>14</v>
      </c>
      <c r="K1276">
        <v>3</v>
      </c>
      <c r="L1276">
        <v>3</v>
      </c>
      <c r="M1276">
        <v>380.52</v>
      </c>
      <c r="N1276">
        <v>1141.56</v>
      </c>
      <c r="O1276">
        <v>0.01</v>
      </c>
      <c r="P1276">
        <v>11.42</v>
      </c>
      <c r="Q1276">
        <v>1130.1400000000001</v>
      </c>
      <c r="R1276">
        <v>764.85</v>
      </c>
      <c r="S1276">
        <v>365.29</v>
      </c>
    </row>
    <row r="1277" spans="1:19" x14ac:dyDescent="0.35">
      <c r="A1277">
        <v>200015</v>
      </c>
      <c r="B1277">
        <v>1197</v>
      </c>
      <c r="C1277" t="s">
        <v>23</v>
      </c>
      <c r="D1277" t="s">
        <v>29</v>
      </c>
      <c r="E1277" t="s">
        <v>34</v>
      </c>
      <c r="F1277" t="s">
        <v>35</v>
      </c>
      <c r="G1277" s="1">
        <v>45364</v>
      </c>
      <c r="H1277" s="1">
        <v>45368</v>
      </c>
      <c r="I1277" s="1">
        <v>45373</v>
      </c>
      <c r="J1277">
        <v>9</v>
      </c>
      <c r="K1277">
        <v>4</v>
      </c>
      <c r="L1277">
        <v>10</v>
      </c>
      <c r="M1277">
        <v>719.65</v>
      </c>
      <c r="N1277">
        <v>7196.5</v>
      </c>
      <c r="O1277">
        <v>0.15</v>
      </c>
      <c r="P1277">
        <v>1079.47</v>
      </c>
      <c r="Q1277">
        <v>6117.02</v>
      </c>
      <c r="R1277">
        <v>4677.7299999999996</v>
      </c>
      <c r="S1277">
        <v>1439.29</v>
      </c>
    </row>
    <row r="1278" spans="1:19" x14ac:dyDescent="0.35">
      <c r="A1278">
        <v>200016</v>
      </c>
      <c r="B1278">
        <v>4121</v>
      </c>
      <c r="C1278" t="s">
        <v>33</v>
      </c>
      <c r="D1278" t="s">
        <v>20</v>
      </c>
      <c r="E1278" t="s">
        <v>24</v>
      </c>
      <c r="F1278" t="s">
        <v>25</v>
      </c>
      <c r="G1278" s="1">
        <v>45413</v>
      </c>
      <c r="H1278" s="1">
        <v>45418</v>
      </c>
      <c r="I1278" s="1">
        <v>45438</v>
      </c>
      <c r="J1278">
        <v>25</v>
      </c>
      <c r="K1278">
        <v>5</v>
      </c>
      <c r="L1278">
        <v>4</v>
      </c>
      <c r="M1278">
        <v>238.6</v>
      </c>
      <c r="N1278">
        <v>954.4</v>
      </c>
      <c r="O1278">
        <v>0.17</v>
      </c>
      <c r="P1278">
        <v>162.25</v>
      </c>
      <c r="Q1278">
        <v>792.15</v>
      </c>
      <c r="R1278">
        <v>601.27</v>
      </c>
      <c r="S1278">
        <v>190.88</v>
      </c>
    </row>
    <row r="1279" spans="1:19" x14ac:dyDescent="0.35">
      <c r="A1279">
        <v>200017</v>
      </c>
      <c r="B1279">
        <v>2056</v>
      </c>
      <c r="C1279" t="s">
        <v>19</v>
      </c>
      <c r="D1279" t="s">
        <v>20</v>
      </c>
      <c r="E1279" t="s">
        <v>26</v>
      </c>
      <c r="F1279" t="s">
        <v>37</v>
      </c>
      <c r="G1279" s="1">
        <v>45372</v>
      </c>
      <c r="H1279" s="1">
        <v>45377</v>
      </c>
      <c r="I1279" s="1">
        <v>45380</v>
      </c>
      <c r="J1279">
        <v>8</v>
      </c>
      <c r="K1279">
        <v>5</v>
      </c>
      <c r="L1279">
        <v>3</v>
      </c>
      <c r="M1279">
        <v>183.45</v>
      </c>
      <c r="N1279">
        <v>550.35</v>
      </c>
      <c r="O1279">
        <v>0.14000000000000001</v>
      </c>
      <c r="P1279">
        <v>77.05</v>
      </c>
      <c r="Q1279">
        <v>473.3</v>
      </c>
      <c r="R1279">
        <v>385.24</v>
      </c>
      <c r="S1279">
        <v>88.06</v>
      </c>
    </row>
    <row r="1280" spans="1:19" x14ac:dyDescent="0.35">
      <c r="A1280">
        <v>200018</v>
      </c>
      <c r="B1280">
        <v>4075</v>
      </c>
      <c r="C1280" t="s">
        <v>33</v>
      </c>
      <c r="D1280" t="s">
        <v>31</v>
      </c>
      <c r="E1280" t="s">
        <v>34</v>
      </c>
      <c r="F1280" t="s">
        <v>40</v>
      </c>
      <c r="G1280" s="1">
        <v>45475</v>
      </c>
      <c r="H1280" s="1">
        <v>45476</v>
      </c>
      <c r="I1280" s="1">
        <v>45499</v>
      </c>
      <c r="J1280">
        <v>24</v>
      </c>
      <c r="K1280">
        <v>1</v>
      </c>
      <c r="L1280">
        <v>10</v>
      </c>
      <c r="M1280">
        <v>306.41000000000003</v>
      </c>
      <c r="N1280">
        <v>3064.1</v>
      </c>
      <c r="O1280">
        <v>0.09</v>
      </c>
      <c r="P1280">
        <v>275.77</v>
      </c>
      <c r="Q1280">
        <v>2788.33</v>
      </c>
      <c r="R1280">
        <v>2175.5100000000002</v>
      </c>
      <c r="S1280">
        <v>612.82000000000005</v>
      </c>
    </row>
    <row r="1281" spans="1:19" x14ac:dyDescent="0.35">
      <c r="A1281">
        <v>200019</v>
      </c>
      <c r="B1281">
        <v>3501</v>
      </c>
      <c r="C1281" t="s">
        <v>19</v>
      </c>
      <c r="D1281" t="s">
        <v>29</v>
      </c>
      <c r="E1281" t="s">
        <v>24</v>
      </c>
      <c r="F1281" t="s">
        <v>42</v>
      </c>
      <c r="G1281" s="1">
        <v>45402</v>
      </c>
      <c r="H1281" s="1">
        <v>45403</v>
      </c>
      <c r="I1281" s="1">
        <v>45431</v>
      </c>
      <c r="J1281">
        <v>29</v>
      </c>
      <c r="K1281">
        <v>1</v>
      </c>
      <c r="L1281">
        <v>5</v>
      </c>
      <c r="M1281">
        <v>613.32000000000005</v>
      </c>
      <c r="N1281">
        <v>3066.6</v>
      </c>
      <c r="O1281">
        <v>7.0000000000000007E-2</v>
      </c>
      <c r="P1281">
        <v>214.66</v>
      </c>
      <c r="Q1281">
        <v>2851.94</v>
      </c>
      <c r="R1281">
        <v>1809.29</v>
      </c>
      <c r="S1281">
        <v>1042.6500000000001</v>
      </c>
    </row>
    <row r="1282" spans="1:19" x14ac:dyDescent="0.35">
      <c r="A1282">
        <v>200020</v>
      </c>
      <c r="B1282">
        <v>4084</v>
      </c>
      <c r="C1282" t="s">
        <v>28</v>
      </c>
      <c r="D1282" t="s">
        <v>31</v>
      </c>
      <c r="E1282" t="s">
        <v>26</v>
      </c>
      <c r="F1282" t="s">
        <v>27</v>
      </c>
      <c r="G1282" s="1">
        <v>45549</v>
      </c>
      <c r="H1282" s="1">
        <v>45551</v>
      </c>
      <c r="I1282" s="1">
        <v>45578</v>
      </c>
      <c r="J1282">
        <v>29</v>
      </c>
      <c r="K1282">
        <v>2</v>
      </c>
      <c r="L1282">
        <v>3</v>
      </c>
      <c r="M1282">
        <v>497.21</v>
      </c>
      <c r="N1282">
        <v>1491.63</v>
      </c>
      <c r="O1282">
        <v>0.19</v>
      </c>
      <c r="P1282">
        <v>283.41000000000003</v>
      </c>
      <c r="Q1282">
        <v>1208.22</v>
      </c>
      <c r="R1282">
        <v>954.64</v>
      </c>
      <c r="S1282">
        <v>253.58</v>
      </c>
    </row>
    <row r="1283" spans="1:19" x14ac:dyDescent="0.35">
      <c r="A1283">
        <v>200021</v>
      </c>
      <c r="B1283">
        <v>1685</v>
      </c>
      <c r="C1283" t="s">
        <v>19</v>
      </c>
      <c r="D1283" t="s">
        <v>29</v>
      </c>
      <c r="E1283" t="s">
        <v>24</v>
      </c>
      <c r="F1283" t="s">
        <v>30</v>
      </c>
      <c r="G1283" s="1">
        <v>45515</v>
      </c>
      <c r="H1283" s="1">
        <v>45520</v>
      </c>
      <c r="I1283" s="1">
        <v>45538</v>
      </c>
      <c r="J1283">
        <v>23</v>
      </c>
      <c r="K1283">
        <v>5</v>
      </c>
      <c r="L1283">
        <v>4</v>
      </c>
      <c r="M1283">
        <v>389.46</v>
      </c>
      <c r="N1283">
        <v>1557.84</v>
      </c>
      <c r="O1283">
        <v>0.08</v>
      </c>
      <c r="P1283">
        <v>124.63</v>
      </c>
      <c r="Q1283">
        <v>1433.21</v>
      </c>
      <c r="R1283">
        <v>1090.49</v>
      </c>
      <c r="S1283">
        <v>342.72</v>
      </c>
    </row>
    <row r="1284" spans="1:19" x14ac:dyDescent="0.35">
      <c r="A1284">
        <v>200022</v>
      </c>
      <c r="B1284">
        <v>3134</v>
      </c>
      <c r="C1284" t="s">
        <v>19</v>
      </c>
      <c r="D1284" t="s">
        <v>31</v>
      </c>
      <c r="E1284" t="s">
        <v>26</v>
      </c>
      <c r="F1284" t="s">
        <v>27</v>
      </c>
      <c r="G1284" s="1">
        <v>45555</v>
      </c>
      <c r="H1284" s="1">
        <v>45558</v>
      </c>
      <c r="I1284" s="1">
        <v>45572</v>
      </c>
      <c r="J1284">
        <v>17</v>
      </c>
      <c r="K1284">
        <v>3</v>
      </c>
      <c r="L1284">
        <v>3</v>
      </c>
      <c r="M1284">
        <v>148.43</v>
      </c>
      <c r="N1284">
        <v>445.29</v>
      </c>
      <c r="O1284">
        <v>0.17</v>
      </c>
      <c r="P1284">
        <v>75.7</v>
      </c>
      <c r="Q1284">
        <v>369.59</v>
      </c>
      <c r="R1284">
        <v>298.33999999999997</v>
      </c>
      <c r="S1284">
        <v>71.25</v>
      </c>
    </row>
    <row r="1285" spans="1:19" x14ac:dyDescent="0.35">
      <c r="A1285">
        <v>200023</v>
      </c>
      <c r="B1285">
        <v>3166</v>
      </c>
      <c r="C1285" t="s">
        <v>33</v>
      </c>
      <c r="D1285" t="s">
        <v>31</v>
      </c>
      <c r="E1285" t="s">
        <v>21</v>
      </c>
      <c r="F1285" t="s">
        <v>41</v>
      </c>
      <c r="G1285" s="1">
        <v>45525</v>
      </c>
      <c r="H1285" s="1">
        <v>45528</v>
      </c>
      <c r="I1285" s="1">
        <v>45540</v>
      </c>
      <c r="J1285">
        <v>15</v>
      </c>
      <c r="K1285">
        <v>3</v>
      </c>
      <c r="L1285">
        <v>2</v>
      </c>
      <c r="M1285">
        <v>176.97</v>
      </c>
      <c r="N1285">
        <v>353.94</v>
      </c>
      <c r="O1285">
        <v>0.02</v>
      </c>
      <c r="P1285">
        <v>7.08</v>
      </c>
      <c r="Q1285">
        <v>346.86</v>
      </c>
      <c r="R1285">
        <v>226.52</v>
      </c>
      <c r="S1285">
        <v>120.34</v>
      </c>
    </row>
    <row r="1286" spans="1:19" x14ac:dyDescent="0.35">
      <c r="A1286">
        <v>200024</v>
      </c>
      <c r="B1286">
        <v>4675</v>
      </c>
      <c r="C1286" t="s">
        <v>33</v>
      </c>
      <c r="D1286" t="s">
        <v>31</v>
      </c>
      <c r="E1286" t="s">
        <v>24</v>
      </c>
      <c r="F1286" t="s">
        <v>32</v>
      </c>
      <c r="G1286" s="1">
        <v>45370</v>
      </c>
      <c r="H1286" s="1">
        <v>45371</v>
      </c>
      <c r="I1286" s="1">
        <v>45397</v>
      </c>
      <c r="J1286">
        <v>27</v>
      </c>
      <c r="K1286">
        <v>1</v>
      </c>
      <c r="L1286">
        <v>8</v>
      </c>
      <c r="M1286">
        <v>244.11</v>
      </c>
      <c r="N1286">
        <v>1952.88</v>
      </c>
      <c r="O1286">
        <v>0.11</v>
      </c>
      <c r="P1286">
        <v>214.82</v>
      </c>
      <c r="Q1286">
        <v>1738.06</v>
      </c>
      <c r="R1286">
        <v>1288.9000000000001</v>
      </c>
      <c r="S1286">
        <v>449.16</v>
      </c>
    </row>
    <row r="1287" spans="1:19" x14ac:dyDescent="0.35">
      <c r="A1287">
        <v>200025</v>
      </c>
      <c r="B1287">
        <v>4781</v>
      </c>
      <c r="C1287" t="s">
        <v>28</v>
      </c>
      <c r="D1287" t="s">
        <v>20</v>
      </c>
      <c r="E1287" t="s">
        <v>34</v>
      </c>
      <c r="F1287" t="s">
        <v>45</v>
      </c>
      <c r="G1287" s="1">
        <v>45590</v>
      </c>
      <c r="H1287" s="1">
        <v>45595</v>
      </c>
      <c r="I1287" s="1">
        <v>45605</v>
      </c>
      <c r="J1287">
        <v>15</v>
      </c>
      <c r="K1287">
        <v>5</v>
      </c>
      <c r="L1287">
        <v>6</v>
      </c>
      <c r="M1287">
        <v>678.56</v>
      </c>
      <c r="N1287">
        <v>4071.36</v>
      </c>
      <c r="O1287">
        <v>0.06</v>
      </c>
      <c r="P1287">
        <v>244.28</v>
      </c>
      <c r="Q1287">
        <v>3827.08</v>
      </c>
      <c r="R1287">
        <v>2646.38</v>
      </c>
      <c r="S1287">
        <v>1180.7</v>
      </c>
    </row>
    <row r="1288" spans="1:19" x14ac:dyDescent="0.35">
      <c r="A1288">
        <v>200026</v>
      </c>
      <c r="B1288">
        <v>1632</v>
      </c>
      <c r="C1288" t="s">
        <v>33</v>
      </c>
      <c r="D1288" t="s">
        <v>29</v>
      </c>
      <c r="E1288" t="s">
        <v>34</v>
      </c>
      <c r="F1288" t="s">
        <v>45</v>
      </c>
      <c r="G1288" s="1">
        <v>45440</v>
      </c>
      <c r="H1288" s="1">
        <v>45441</v>
      </c>
      <c r="I1288" s="1">
        <v>45448</v>
      </c>
      <c r="J1288">
        <v>8</v>
      </c>
      <c r="K1288">
        <v>1</v>
      </c>
      <c r="L1288">
        <v>7</v>
      </c>
      <c r="M1288">
        <v>284.58</v>
      </c>
      <c r="N1288">
        <v>1992.06</v>
      </c>
      <c r="O1288">
        <v>0.09</v>
      </c>
      <c r="P1288">
        <v>179.29</v>
      </c>
      <c r="Q1288">
        <v>1812.77</v>
      </c>
      <c r="R1288">
        <v>1434.28</v>
      </c>
      <c r="S1288">
        <v>378.49</v>
      </c>
    </row>
    <row r="1289" spans="1:19" x14ac:dyDescent="0.35">
      <c r="A1289">
        <v>200027</v>
      </c>
      <c r="B1289">
        <v>1617</v>
      </c>
      <c r="C1289" t="s">
        <v>23</v>
      </c>
      <c r="D1289" t="s">
        <v>31</v>
      </c>
      <c r="E1289" t="s">
        <v>26</v>
      </c>
      <c r="F1289" t="s">
        <v>27</v>
      </c>
      <c r="G1289" s="1">
        <v>45398</v>
      </c>
      <c r="H1289" s="1">
        <v>45401</v>
      </c>
      <c r="I1289" s="1">
        <v>45422</v>
      </c>
      <c r="J1289">
        <v>24</v>
      </c>
      <c r="K1289">
        <v>3</v>
      </c>
      <c r="L1289">
        <v>2</v>
      </c>
      <c r="M1289">
        <v>471.25</v>
      </c>
      <c r="N1289">
        <v>942.5</v>
      </c>
      <c r="O1289">
        <v>7.0000000000000007E-2</v>
      </c>
      <c r="P1289">
        <v>65.98</v>
      </c>
      <c r="Q1289">
        <v>876.52</v>
      </c>
      <c r="R1289">
        <v>640.9</v>
      </c>
      <c r="S1289">
        <v>235.62</v>
      </c>
    </row>
    <row r="1290" spans="1:19" x14ac:dyDescent="0.35">
      <c r="A1290">
        <v>200028</v>
      </c>
      <c r="B1290">
        <v>4056</v>
      </c>
      <c r="C1290" t="s">
        <v>28</v>
      </c>
      <c r="D1290" t="s">
        <v>31</v>
      </c>
      <c r="E1290" t="s">
        <v>21</v>
      </c>
      <c r="F1290" t="s">
        <v>38</v>
      </c>
      <c r="G1290" s="1">
        <v>45321</v>
      </c>
      <c r="H1290" s="1">
        <v>45324</v>
      </c>
      <c r="I1290" s="1">
        <v>45339</v>
      </c>
      <c r="J1290">
        <v>18</v>
      </c>
      <c r="K1290">
        <v>3</v>
      </c>
      <c r="L1290">
        <v>11</v>
      </c>
      <c r="M1290">
        <v>620.71</v>
      </c>
      <c r="N1290">
        <v>6827.81</v>
      </c>
      <c r="O1290">
        <v>0.04</v>
      </c>
      <c r="P1290">
        <v>273.11</v>
      </c>
      <c r="Q1290">
        <v>6554.7</v>
      </c>
      <c r="R1290">
        <v>4574.63</v>
      </c>
      <c r="S1290">
        <v>1980.07</v>
      </c>
    </row>
    <row r="1291" spans="1:19" x14ac:dyDescent="0.35">
      <c r="A1291">
        <v>200029</v>
      </c>
      <c r="B1291">
        <v>1256</v>
      </c>
      <c r="C1291" t="s">
        <v>19</v>
      </c>
      <c r="D1291" t="s">
        <v>29</v>
      </c>
      <c r="E1291" t="s">
        <v>24</v>
      </c>
      <c r="F1291" t="s">
        <v>42</v>
      </c>
      <c r="G1291" s="1">
        <v>45610</v>
      </c>
      <c r="H1291" s="1">
        <v>45611</v>
      </c>
      <c r="I1291" s="1">
        <v>45632</v>
      </c>
      <c r="J1291">
        <v>22</v>
      </c>
      <c r="K1291">
        <v>1</v>
      </c>
      <c r="L1291">
        <v>2</v>
      </c>
      <c r="M1291">
        <v>751.29</v>
      </c>
      <c r="N1291">
        <v>1502.58</v>
      </c>
      <c r="O1291">
        <v>0.11</v>
      </c>
      <c r="P1291">
        <v>165.28</v>
      </c>
      <c r="Q1291">
        <v>1337.3</v>
      </c>
      <c r="R1291">
        <v>841.44</v>
      </c>
      <c r="S1291">
        <v>495.86</v>
      </c>
    </row>
    <row r="1292" spans="1:19" x14ac:dyDescent="0.35">
      <c r="A1292">
        <v>200030</v>
      </c>
      <c r="B1292">
        <v>1230</v>
      </c>
      <c r="C1292" t="s">
        <v>28</v>
      </c>
      <c r="D1292" t="s">
        <v>31</v>
      </c>
      <c r="E1292" t="s">
        <v>34</v>
      </c>
      <c r="F1292" t="s">
        <v>40</v>
      </c>
      <c r="G1292" s="1">
        <v>45412</v>
      </c>
      <c r="H1292" s="1">
        <v>45416</v>
      </c>
      <c r="I1292" s="1">
        <v>45434</v>
      </c>
      <c r="J1292">
        <v>22</v>
      </c>
      <c r="K1292">
        <v>4</v>
      </c>
      <c r="L1292">
        <v>3</v>
      </c>
      <c r="M1292">
        <v>447.89</v>
      </c>
      <c r="N1292">
        <v>1343.67</v>
      </c>
      <c r="O1292">
        <v>0.02</v>
      </c>
      <c r="P1292">
        <v>26.87</v>
      </c>
      <c r="Q1292">
        <v>1316.8</v>
      </c>
      <c r="R1292">
        <v>873.39</v>
      </c>
      <c r="S1292">
        <v>443.41</v>
      </c>
    </row>
    <row r="1293" spans="1:19" x14ac:dyDescent="0.35">
      <c r="A1293">
        <v>200031</v>
      </c>
      <c r="B1293">
        <v>4358</v>
      </c>
      <c r="C1293" t="s">
        <v>19</v>
      </c>
      <c r="D1293" t="s">
        <v>31</v>
      </c>
      <c r="E1293" t="s">
        <v>24</v>
      </c>
      <c r="F1293" t="s">
        <v>25</v>
      </c>
      <c r="G1293" s="1">
        <v>45611</v>
      </c>
      <c r="H1293" s="1">
        <v>45614</v>
      </c>
      <c r="I1293" s="1">
        <v>45635</v>
      </c>
      <c r="J1293">
        <v>24</v>
      </c>
      <c r="K1293">
        <v>3</v>
      </c>
      <c r="L1293">
        <v>1</v>
      </c>
      <c r="M1293">
        <v>465</v>
      </c>
      <c r="N1293">
        <v>465</v>
      </c>
      <c r="O1293">
        <v>7.0000000000000007E-2</v>
      </c>
      <c r="P1293">
        <v>32.549999999999997</v>
      </c>
      <c r="Q1293">
        <v>432.45</v>
      </c>
      <c r="R1293">
        <v>246.45</v>
      </c>
      <c r="S1293">
        <v>186</v>
      </c>
    </row>
    <row r="1294" spans="1:19" x14ac:dyDescent="0.35">
      <c r="A1294">
        <v>200032</v>
      </c>
      <c r="B1294">
        <v>1073</v>
      </c>
      <c r="C1294" t="s">
        <v>23</v>
      </c>
      <c r="D1294" t="s">
        <v>29</v>
      </c>
      <c r="E1294" t="s">
        <v>24</v>
      </c>
      <c r="F1294" t="s">
        <v>25</v>
      </c>
      <c r="G1294" s="1">
        <v>45622</v>
      </c>
      <c r="H1294" s="1">
        <v>45626</v>
      </c>
      <c r="I1294" s="1">
        <v>45649</v>
      </c>
      <c r="J1294">
        <v>27</v>
      </c>
      <c r="K1294">
        <v>4</v>
      </c>
      <c r="L1294">
        <v>3</v>
      </c>
      <c r="M1294">
        <v>89.81</v>
      </c>
      <c r="N1294">
        <v>269.43</v>
      </c>
      <c r="O1294">
        <v>0.22</v>
      </c>
      <c r="P1294">
        <v>59.27</v>
      </c>
      <c r="Q1294">
        <v>210.16</v>
      </c>
      <c r="R1294">
        <v>167.05</v>
      </c>
      <c r="S1294">
        <v>43.11</v>
      </c>
    </row>
    <row r="1295" spans="1:19" x14ac:dyDescent="0.35">
      <c r="A1295">
        <v>200033</v>
      </c>
      <c r="B1295">
        <v>2148</v>
      </c>
      <c r="C1295" t="s">
        <v>19</v>
      </c>
      <c r="D1295" t="s">
        <v>31</v>
      </c>
      <c r="E1295" t="s">
        <v>34</v>
      </c>
      <c r="F1295" t="s">
        <v>45</v>
      </c>
      <c r="G1295" s="1">
        <v>45657</v>
      </c>
      <c r="H1295" s="1">
        <v>45660</v>
      </c>
      <c r="I1295" s="1">
        <v>45664</v>
      </c>
      <c r="J1295">
        <v>7</v>
      </c>
      <c r="K1295">
        <v>3</v>
      </c>
      <c r="L1295">
        <v>2</v>
      </c>
      <c r="M1295">
        <v>549.49</v>
      </c>
      <c r="N1295">
        <v>1098.98</v>
      </c>
      <c r="O1295">
        <v>0.11</v>
      </c>
      <c r="P1295">
        <v>120.89</v>
      </c>
      <c r="Q1295">
        <v>978.09</v>
      </c>
      <c r="R1295">
        <v>824.24</v>
      </c>
      <c r="S1295">
        <v>153.85</v>
      </c>
    </row>
    <row r="1296" spans="1:19" x14ac:dyDescent="0.35">
      <c r="A1296">
        <v>200034</v>
      </c>
      <c r="B1296">
        <v>3959</v>
      </c>
      <c r="C1296" t="s">
        <v>19</v>
      </c>
      <c r="D1296" t="s">
        <v>29</v>
      </c>
      <c r="E1296" t="s">
        <v>26</v>
      </c>
      <c r="F1296" t="s">
        <v>37</v>
      </c>
      <c r="G1296" s="1">
        <v>45657</v>
      </c>
      <c r="H1296" s="1">
        <v>45659</v>
      </c>
      <c r="I1296" s="1">
        <v>45682</v>
      </c>
      <c r="J1296">
        <v>25</v>
      </c>
      <c r="K1296">
        <v>2</v>
      </c>
      <c r="L1296">
        <v>7</v>
      </c>
      <c r="M1296">
        <v>67.78</v>
      </c>
      <c r="N1296">
        <v>474.46</v>
      </c>
      <c r="O1296">
        <v>7.0000000000000007E-2</v>
      </c>
      <c r="P1296">
        <v>33.21</v>
      </c>
      <c r="Q1296">
        <v>441.25</v>
      </c>
      <c r="R1296">
        <v>298.91000000000003</v>
      </c>
      <c r="S1296">
        <v>142.34</v>
      </c>
    </row>
    <row r="1297" spans="1:19" x14ac:dyDescent="0.35">
      <c r="A1297">
        <v>200035</v>
      </c>
      <c r="B1297">
        <v>4506</v>
      </c>
      <c r="C1297" t="s">
        <v>28</v>
      </c>
      <c r="D1297" t="s">
        <v>31</v>
      </c>
      <c r="E1297" t="s">
        <v>34</v>
      </c>
      <c r="F1297" t="s">
        <v>43</v>
      </c>
      <c r="G1297" s="1">
        <v>45607</v>
      </c>
      <c r="H1297" s="1">
        <v>45609</v>
      </c>
      <c r="I1297" s="1">
        <v>45624</v>
      </c>
      <c r="J1297">
        <v>17</v>
      </c>
      <c r="K1297">
        <v>2</v>
      </c>
      <c r="L1297">
        <v>3</v>
      </c>
      <c r="M1297">
        <v>657.08</v>
      </c>
      <c r="N1297">
        <v>1971.24</v>
      </c>
      <c r="O1297">
        <v>0.01</v>
      </c>
      <c r="P1297">
        <v>19.71</v>
      </c>
      <c r="Q1297">
        <v>1951.53</v>
      </c>
      <c r="R1297">
        <v>1222.17</v>
      </c>
      <c r="S1297">
        <v>729.36</v>
      </c>
    </row>
    <row r="1298" spans="1:19" x14ac:dyDescent="0.35">
      <c r="A1298">
        <v>200036</v>
      </c>
      <c r="B1298">
        <v>4355</v>
      </c>
      <c r="C1298" t="s">
        <v>33</v>
      </c>
      <c r="D1298" t="s">
        <v>31</v>
      </c>
      <c r="E1298" t="s">
        <v>24</v>
      </c>
      <c r="F1298" t="s">
        <v>30</v>
      </c>
      <c r="G1298" s="1">
        <v>45543</v>
      </c>
      <c r="H1298" s="1">
        <v>45546</v>
      </c>
      <c r="I1298" s="1">
        <v>45558</v>
      </c>
      <c r="J1298">
        <v>15</v>
      </c>
      <c r="K1298">
        <v>3</v>
      </c>
      <c r="L1298">
        <v>12</v>
      </c>
      <c r="M1298">
        <v>789.32</v>
      </c>
      <c r="N1298">
        <v>9471.84</v>
      </c>
      <c r="O1298">
        <v>0.09</v>
      </c>
      <c r="P1298">
        <v>852.47</v>
      </c>
      <c r="Q1298">
        <v>8619.3700000000008</v>
      </c>
      <c r="R1298">
        <v>6156.7</v>
      </c>
      <c r="S1298">
        <v>2462.67</v>
      </c>
    </row>
    <row r="1299" spans="1:19" x14ac:dyDescent="0.35">
      <c r="A1299">
        <v>200037</v>
      </c>
      <c r="B1299">
        <v>2604</v>
      </c>
      <c r="C1299" t="s">
        <v>23</v>
      </c>
      <c r="D1299" t="s">
        <v>29</v>
      </c>
      <c r="E1299" t="s">
        <v>21</v>
      </c>
      <c r="F1299" t="s">
        <v>41</v>
      </c>
      <c r="G1299" s="1">
        <v>45588</v>
      </c>
      <c r="H1299" s="1">
        <v>45593</v>
      </c>
      <c r="I1299" s="1">
        <v>45594</v>
      </c>
      <c r="J1299">
        <v>6</v>
      </c>
      <c r="K1299">
        <v>5</v>
      </c>
      <c r="L1299">
        <v>2</v>
      </c>
      <c r="M1299">
        <v>450.27</v>
      </c>
      <c r="N1299">
        <v>900.54</v>
      </c>
      <c r="O1299">
        <v>0.11</v>
      </c>
      <c r="P1299">
        <v>99.06</v>
      </c>
      <c r="Q1299">
        <v>801.48</v>
      </c>
      <c r="R1299">
        <v>486.29</v>
      </c>
      <c r="S1299">
        <v>315.19</v>
      </c>
    </row>
    <row r="1300" spans="1:19" x14ac:dyDescent="0.35">
      <c r="A1300">
        <v>200038</v>
      </c>
      <c r="B1300">
        <v>1471</v>
      </c>
      <c r="C1300" t="s">
        <v>19</v>
      </c>
      <c r="D1300" t="s">
        <v>31</v>
      </c>
      <c r="E1300" t="s">
        <v>24</v>
      </c>
      <c r="F1300" t="s">
        <v>25</v>
      </c>
      <c r="G1300" s="1">
        <v>45602</v>
      </c>
      <c r="H1300" s="1">
        <v>45604</v>
      </c>
      <c r="I1300" s="1">
        <v>45609</v>
      </c>
      <c r="J1300">
        <v>7</v>
      </c>
      <c r="K1300">
        <v>2</v>
      </c>
      <c r="L1300">
        <v>11</v>
      </c>
      <c r="M1300">
        <v>228.96</v>
      </c>
      <c r="N1300">
        <v>2518.56</v>
      </c>
      <c r="O1300">
        <v>0.1</v>
      </c>
      <c r="P1300">
        <v>251.86</v>
      </c>
      <c r="Q1300">
        <v>2266.6999999999998</v>
      </c>
      <c r="R1300">
        <v>1410.39</v>
      </c>
      <c r="S1300">
        <v>856.31</v>
      </c>
    </row>
    <row r="1301" spans="1:19" x14ac:dyDescent="0.35">
      <c r="A1301">
        <v>200039</v>
      </c>
      <c r="B1301">
        <v>2967</v>
      </c>
      <c r="C1301" t="s">
        <v>33</v>
      </c>
      <c r="D1301" t="s">
        <v>29</v>
      </c>
      <c r="E1301" t="s">
        <v>24</v>
      </c>
      <c r="F1301" t="s">
        <v>32</v>
      </c>
      <c r="G1301" s="1">
        <v>45643</v>
      </c>
      <c r="H1301" s="1">
        <v>45647</v>
      </c>
      <c r="I1301" s="1">
        <v>45657</v>
      </c>
      <c r="J1301">
        <v>14</v>
      </c>
      <c r="K1301">
        <v>4</v>
      </c>
      <c r="L1301">
        <v>3</v>
      </c>
      <c r="M1301">
        <v>620.82000000000005</v>
      </c>
      <c r="N1301">
        <v>1862.46</v>
      </c>
      <c r="O1301">
        <v>0.11</v>
      </c>
      <c r="P1301">
        <v>204.87</v>
      </c>
      <c r="Q1301">
        <v>1657.59</v>
      </c>
      <c r="R1301">
        <v>1154.73</v>
      </c>
      <c r="S1301">
        <v>502.86</v>
      </c>
    </row>
    <row r="1302" spans="1:19" x14ac:dyDescent="0.35">
      <c r="A1302">
        <v>200040</v>
      </c>
      <c r="B1302">
        <v>2263</v>
      </c>
      <c r="C1302" t="s">
        <v>33</v>
      </c>
      <c r="D1302" t="s">
        <v>31</v>
      </c>
      <c r="E1302" t="s">
        <v>26</v>
      </c>
      <c r="F1302" t="s">
        <v>44</v>
      </c>
      <c r="G1302" s="1">
        <v>45438</v>
      </c>
      <c r="H1302" s="1">
        <v>45440</v>
      </c>
      <c r="I1302" s="1">
        <v>45457</v>
      </c>
      <c r="J1302">
        <v>19</v>
      </c>
      <c r="K1302">
        <v>2</v>
      </c>
      <c r="L1302">
        <v>7</v>
      </c>
      <c r="M1302">
        <v>84.14</v>
      </c>
      <c r="N1302">
        <v>588.98</v>
      </c>
      <c r="O1302">
        <v>0.08</v>
      </c>
      <c r="P1302">
        <v>47.12</v>
      </c>
      <c r="Q1302">
        <v>541.86</v>
      </c>
      <c r="R1302">
        <v>365.17</v>
      </c>
      <c r="S1302">
        <v>176.69</v>
      </c>
    </row>
    <row r="1303" spans="1:19" x14ac:dyDescent="0.35">
      <c r="A1303">
        <v>200041</v>
      </c>
      <c r="B1303">
        <v>2709</v>
      </c>
      <c r="C1303" t="s">
        <v>19</v>
      </c>
      <c r="D1303" t="s">
        <v>31</v>
      </c>
      <c r="E1303" t="s">
        <v>26</v>
      </c>
      <c r="F1303" t="s">
        <v>37</v>
      </c>
      <c r="G1303" s="1">
        <v>45335</v>
      </c>
      <c r="H1303" s="1">
        <v>45336</v>
      </c>
      <c r="I1303" s="1">
        <v>45365</v>
      </c>
      <c r="J1303">
        <v>30</v>
      </c>
      <c r="K1303">
        <v>1</v>
      </c>
      <c r="L1303">
        <v>7</v>
      </c>
      <c r="M1303">
        <v>643.65</v>
      </c>
      <c r="N1303">
        <v>4505.55</v>
      </c>
      <c r="O1303">
        <v>0.13</v>
      </c>
      <c r="P1303">
        <v>585.72</v>
      </c>
      <c r="Q1303">
        <v>3919.83</v>
      </c>
      <c r="R1303">
        <v>2748.39</v>
      </c>
      <c r="S1303">
        <v>1171.44</v>
      </c>
    </row>
    <row r="1304" spans="1:19" x14ac:dyDescent="0.35">
      <c r="A1304">
        <v>200042</v>
      </c>
      <c r="B1304">
        <v>2511</v>
      </c>
      <c r="C1304" t="s">
        <v>23</v>
      </c>
      <c r="D1304" t="s">
        <v>29</v>
      </c>
      <c r="E1304" t="s">
        <v>21</v>
      </c>
      <c r="F1304" t="s">
        <v>38</v>
      </c>
      <c r="G1304" s="1">
        <v>45363</v>
      </c>
      <c r="H1304" s="1">
        <v>45364</v>
      </c>
      <c r="I1304" s="1">
        <v>45365</v>
      </c>
      <c r="J1304">
        <v>2</v>
      </c>
      <c r="K1304">
        <v>1</v>
      </c>
      <c r="L1304">
        <v>13</v>
      </c>
      <c r="M1304">
        <v>441.38</v>
      </c>
      <c r="N1304">
        <v>5737.94</v>
      </c>
      <c r="O1304">
        <v>0.11</v>
      </c>
      <c r="P1304">
        <v>631.16999999999996</v>
      </c>
      <c r="Q1304">
        <v>5106.7700000000004</v>
      </c>
      <c r="R1304">
        <v>3672.28</v>
      </c>
      <c r="S1304">
        <v>1434.49</v>
      </c>
    </row>
    <row r="1305" spans="1:19" x14ac:dyDescent="0.35">
      <c r="A1305">
        <v>200043</v>
      </c>
      <c r="B1305">
        <v>1881</v>
      </c>
      <c r="C1305" t="s">
        <v>23</v>
      </c>
      <c r="D1305" t="s">
        <v>29</v>
      </c>
      <c r="E1305" t="s">
        <v>34</v>
      </c>
      <c r="F1305" t="s">
        <v>40</v>
      </c>
      <c r="G1305" s="1">
        <v>45551</v>
      </c>
      <c r="H1305" s="1">
        <v>45554</v>
      </c>
      <c r="I1305" s="1">
        <v>45557</v>
      </c>
      <c r="J1305">
        <v>6</v>
      </c>
      <c r="K1305">
        <v>3</v>
      </c>
      <c r="L1305">
        <v>2</v>
      </c>
      <c r="M1305">
        <v>197.8</v>
      </c>
      <c r="N1305">
        <v>395.6</v>
      </c>
      <c r="O1305">
        <v>0.13</v>
      </c>
      <c r="P1305">
        <v>51.43</v>
      </c>
      <c r="Q1305">
        <v>344.17</v>
      </c>
      <c r="R1305">
        <v>280.88</v>
      </c>
      <c r="S1305">
        <v>63.29</v>
      </c>
    </row>
    <row r="1306" spans="1:19" x14ac:dyDescent="0.35">
      <c r="A1306">
        <v>200044</v>
      </c>
      <c r="B1306">
        <v>2053</v>
      </c>
      <c r="C1306" t="s">
        <v>23</v>
      </c>
      <c r="D1306" t="s">
        <v>31</v>
      </c>
      <c r="E1306" t="s">
        <v>26</v>
      </c>
      <c r="F1306" t="s">
        <v>44</v>
      </c>
      <c r="G1306" s="1">
        <v>45463</v>
      </c>
      <c r="H1306" s="1">
        <v>45464</v>
      </c>
      <c r="I1306" s="1">
        <v>45486</v>
      </c>
      <c r="J1306">
        <v>23</v>
      </c>
      <c r="K1306">
        <v>1</v>
      </c>
      <c r="L1306">
        <v>1</v>
      </c>
      <c r="M1306">
        <v>361.51</v>
      </c>
      <c r="N1306">
        <v>361.51</v>
      </c>
      <c r="O1306">
        <v>0.1</v>
      </c>
      <c r="P1306">
        <v>36.15</v>
      </c>
      <c r="Q1306">
        <v>325.36</v>
      </c>
      <c r="R1306">
        <v>220.52</v>
      </c>
      <c r="S1306">
        <v>104.84</v>
      </c>
    </row>
    <row r="1307" spans="1:19" x14ac:dyDescent="0.35">
      <c r="A1307">
        <v>200045</v>
      </c>
      <c r="B1307">
        <v>3056</v>
      </c>
      <c r="C1307" t="s">
        <v>33</v>
      </c>
      <c r="D1307" t="s">
        <v>31</v>
      </c>
      <c r="E1307" t="s">
        <v>26</v>
      </c>
      <c r="F1307" t="s">
        <v>36</v>
      </c>
      <c r="G1307" s="1">
        <v>45579</v>
      </c>
      <c r="H1307" s="1">
        <v>45581</v>
      </c>
      <c r="I1307" s="1">
        <v>45606</v>
      </c>
      <c r="J1307">
        <v>27</v>
      </c>
      <c r="K1307">
        <v>2</v>
      </c>
      <c r="L1307">
        <v>5</v>
      </c>
      <c r="M1307">
        <v>563.41</v>
      </c>
      <c r="N1307">
        <v>2817.05</v>
      </c>
      <c r="O1307">
        <v>0.11</v>
      </c>
      <c r="P1307">
        <v>309.88</v>
      </c>
      <c r="Q1307">
        <v>2507.17</v>
      </c>
      <c r="R1307">
        <v>1915.59</v>
      </c>
      <c r="S1307">
        <v>591.58000000000004</v>
      </c>
    </row>
    <row r="1308" spans="1:19" x14ac:dyDescent="0.35">
      <c r="A1308">
        <v>200046</v>
      </c>
      <c r="B1308">
        <v>2469</v>
      </c>
      <c r="C1308" t="s">
        <v>19</v>
      </c>
      <c r="D1308" t="s">
        <v>31</v>
      </c>
      <c r="E1308" t="s">
        <v>24</v>
      </c>
      <c r="F1308" t="s">
        <v>32</v>
      </c>
      <c r="G1308" s="1">
        <v>45435</v>
      </c>
      <c r="H1308" s="1">
        <v>45438</v>
      </c>
      <c r="I1308" s="1">
        <v>45439</v>
      </c>
      <c r="J1308">
        <v>4</v>
      </c>
      <c r="K1308">
        <v>3</v>
      </c>
      <c r="L1308">
        <v>1</v>
      </c>
      <c r="M1308">
        <v>599.16</v>
      </c>
      <c r="N1308">
        <v>599.16</v>
      </c>
      <c r="O1308">
        <v>7.0000000000000007E-2</v>
      </c>
      <c r="P1308">
        <v>41.94</v>
      </c>
      <c r="Q1308">
        <v>557.22</v>
      </c>
      <c r="R1308">
        <v>401.44</v>
      </c>
      <c r="S1308">
        <v>155.78</v>
      </c>
    </row>
    <row r="1309" spans="1:19" x14ac:dyDescent="0.35">
      <c r="A1309">
        <v>200047</v>
      </c>
      <c r="B1309">
        <v>3912</v>
      </c>
      <c r="C1309" t="s">
        <v>33</v>
      </c>
      <c r="D1309" t="s">
        <v>20</v>
      </c>
      <c r="E1309" t="s">
        <v>26</v>
      </c>
      <c r="F1309" t="s">
        <v>37</v>
      </c>
      <c r="G1309" s="1">
        <v>45577</v>
      </c>
      <c r="H1309" s="1">
        <v>45581</v>
      </c>
      <c r="I1309" s="1">
        <v>45603</v>
      </c>
      <c r="J1309">
        <v>26</v>
      </c>
      <c r="K1309">
        <v>4</v>
      </c>
      <c r="L1309">
        <v>7</v>
      </c>
      <c r="M1309">
        <v>650.74</v>
      </c>
      <c r="N1309">
        <v>4555.18</v>
      </c>
      <c r="O1309">
        <v>0.08</v>
      </c>
      <c r="P1309">
        <v>364.41</v>
      </c>
      <c r="Q1309">
        <v>4190.7700000000004</v>
      </c>
      <c r="R1309">
        <v>2824.21</v>
      </c>
      <c r="S1309">
        <v>1366.56</v>
      </c>
    </row>
    <row r="1310" spans="1:19" x14ac:dyDescent="0.35">
      <c r="A1310">
        <v>200048</v>
      </c>
      <c r="B1310">
        <v>2021</v>
      </c>
      <c r="C1310" t="s">
        <v>19</v>
      </c>
      <c r="D1310" t="s">
        <v>31</v>
      </c>
      <c r="E1310" t="s">
        <v>26</v>
      </c>
      <c r="F1310" t="s">
        <v>37</v>
      </c>
      <c r="G1310" s="1">
        <v>45644</v>
      </c>
      <c r="H1310" s="1">
        <v>45645</v>
      </c>
      <c r="I1310" s="1">
        <v>45656</v>
      </c>
      <c r="J1310">
        <v>12</v>
      </c>
      <c r="K1310">
        <v>1</v>
      </c>
      <c r="L1310">
        <v>14</v>
      </c>
      <c r="M1310">
        <v>272.33999999999997</v>
      </c>
      <c r="N1310">
        <v>3812.76</v>
      </c>
      <c r="O1310">
        <v>0.1</v>
      </c>
      <c r="P1310">
        <v>381.28</v>
      </c>
      <c r="Q1310">
        <v>3431.48</v>
      </c>
      <c r="R1310">
        <v>2668.93</v>
      </c>
      <c r="S1310">
        <v>762.55</v>
      </c>
    </row>
    <row r="1311" spans="1:19" x14ac:dyDescent="0.35">
      <c r="A1311">
        <v>200049</v>
      </c>
      <c r="B1311">
        <v>3113</v>
      </c>
      <c r="C1311" t="s">
        <v>23</v>
      </c>
      <c r="D1311" t="s">
        <v>29</v>
      </c>
      <c r="E1311" t="s">
        <v>34</v>
      </c>
      <c r="F1311" t="s">
        <v>43</v>
      </c>
      <c r="G1311" s="1">
        <v>45334</v>
      </c>
      <c r="H1311" s="1">
        <v>45335</v>
      </c>
      <c r="I1311" s="1">
        <v>45358</v>
      </c>
      <c r="J1311">
        <v>24</v>
      </c>
      <c r="K1311">
        <v>1</v>
      </c>
      <c r="L1311">
        <v>13</v>
      </c>
      <c r="M1311">
        <v>244.02</v>
      </c>
      <c r="N1311">
        <v>3172.26</v>
      </c>
      <c r="O1311">
        <v>0.09</v>
      </c>
      <c r="P1311">
        <v>285.5</v>
      </c>
      <c r="Q1311">
        <v>2886.76</v>
      </c>
      <c r="R1311">
        <v>2030.25</v>
      </c>
      <c r="S1311">
        <v>856.51</v>
      </c>
    </row>
    <row r="1312" spans="1:19" x14ac:dyDescent="0.35">
      <c r="A1312">
        <v>200050</v>
      </c>
      <c r="B1312">
        <v>4425</v>
      </c>
      <c r="C1312" t="s">
        <v>23</v>
      </c>
      <c r="D1312" t="s">
        <v>31</v>
      </c>
      <c r="E1312" t="s">
        <v>26</v>
      </c>
      <c r="F1312" t="s">
        <v>44</v>
      </c>
      <c r="G1312" s="1">
        <v>45419</v>
      </c>
      <c r="H1312" s="1">
        <v>45423</v>
      </c>
      <c r="I1312" s="1">
        <v>45441</v>
      </c>
      <c r="J1312">
        <v>22</v>
      </c>
      <c r="K1312">
        <v>4</v>
      </c>
      <c r="L1312">
        <v>1</v>
      </c>
      <c r="M1312">
        <v>542.73</v>
      </c>
      <c r="N1312">
        <v>542.73</v>
      </c>
      <c r="O1312">
        <v>0.08</v>
      </c>
      <c r="P1312">
        <v>43.42</v>
      </c>
      <c r="Q1312">
        <v>499.31</v>
      </c>
      <c r="R1312">
        <v>358.2</v>
      </c>
      <c r="S1312">
        <v>141.11000000000001</v>
      </c>
    </row>
    <row r="1313" spans="1:19" x14ac:dyDescent="0.35">
      <c r="A1313">
        <v>200051</v>
      </c>
      <c r="B1313">
        <v>1585</v>
      </c>
      <c r="C1313" t="s">
        <v>19</v>
      </c>
      <c r="D1313" t="s">
        <v>20</v>
      </c>
      <c r="E1313" t="s">
        <v>24</v>
      </c>
      <c r="F1313" t="s">
        <v>30</v>
      </c>
      <c r="G1313" s="1">
        <v>45300</v>
      </c>
      <c r="H1313" s="1">
        <v>45302</v>
      </c>
      <c r="I1313" s="1">
        <v>45327</v>
      </c>
      <c r="J1313">
        <v>27</v>
      </c>
      <c r="K1313">
        <v>2</v>
      </c>
      <c r="L1313">
        <v>7</v>
      </c>
      <c r="M1313">
        <v>227.35</v>
      </c>
      <c r="N1313">
        <v>1591.45</v>
      </c>
      <c r="O1313">
        <v>0.08</v>
      </c>
      <c r="P1313">
        <v>127.32</v>
      </c>
      <c r="Q1313">
        <v>1464.13</v>
      </c>
      <c r="R1313">
        <v>1129.93</v>
      </c>
      <c r="S1313">
        <v>334.2</v>
      </c>
    </row>
    <row r="1314" spans="1:19" x14ac:dyDescent="0.35">
      <c r="A1314">
        <v>200052</v>
      </c>
      <c r="B1314">
        <v>3092</v>
      </c>
      <c r="C1314" t="s">
        <v>19</v>
      </c>
      <c r="D1314" t="s">
        <v>29</v>
      </c>
      <c r="E1314" t="s">
        <v>34</v>
      </c>
      <c r="F1314" t="s">
        <v>35</v>
      </c>
      <c r="G1314" s="1">
        <v>45635</v>
      </c>
      <c r="H1314" s="1">
        <v>45638</v>
      </c>
      <c r="I1314" s="1">
        <v>45665</v>
      </c>
      <c r="J1314">
        <v>30</v>
      </c>
      <c r="K1314">
        <v>3</v>
      </c>
      <c r="L1314">
        <v>7</v>
      </c>
      <c r="M1314">
        <v>272.57</v>
      </c>
      <c r="N1314">
        <v>1907.99</v>
      </c>
      <c r="O1314">
        <v>0.08</v>
      </c>
      <c r="P1314">
        <v>152.63999999999999</v>
      </c>
      <c r="Q1314">
        <v>1755.35</v>
      </c>
      <c r="R1314">
        <v>1163.8699999999999</v>
      </c>
      <c r="S1314">
        <v>591.48</v>
      </c>
    </row>
    <row r="1315" spans="1:19" x14ac:dyDescent="0.35">
      <c r="A1315">
        <v>200053</v>
      </c>
      <c r="B1315">
        <v>4357</v>
      </c>
      <c r="C1315" t="s">
        <v>23</v>
      </c>
      <c r="D1315" t="s">
        <v>31</v>
      </c>
      <c r="E1315" t="s">
        <v>21</v>
      </c>
      <c r="F1315" t="s">
        <v>38</v>
      </c>
      <c r="G1315" s="1">
        <v>45488</v>
      </c>
      <c r="H1315" s="1">
        <v>45489</v>
      </c>
      <c r="I1315" s="1">
        <v>45508</v>
      </c>
      <c r="J1315">
        <v>20</v>
      </c>
      <c r="K1315">
        <v>1</v>
      </c>
      <c r="L1315">
        <v>11</v>
      </c>
      <c r="M1315">
        <v>332.01</v>
      </c>
      <c r="N1315">
        <v>3652.11</v>
      </c>
      <c r="O1315">
        <v>0.1</v>
      </c>
      <c r="P1315">
        <v>365.21</v>
      </c>
      <c r="Q1315">
        <v>3286.9</v>
      </c>
      <c r="R1315">
        <v>2264.31</v>
      </c>
      <c r="S1315">
        <v>1022.59</v>
      </c>
    </row>
    <row r="1316" spans="1:19" x14ac:dyDescent="0.35">
      <c r="A1316">
        <v>200054</v>
      </c>
      <c r="B1316">
        <v>1537</v>
      </c>
      <c r="C1316" t="s">
        <v>28</v>
      </c>
      <c r="D1316" t="s">
        <v>31</v>
      </c>
      <c r="E1316" t="s">
        <v>24</v>
      </c>
      <c r="F1316" t="s">
        <v>30</v>
      </c>
      <c r="G1316" s="1">
        <v>45615</v>
      </c>
      <c r="H1316" s="1">
        <v>45619</v>
      </c>
      <c r="I1316" s="1">
        <v>45625</v>
      </c>
      <c r="J1316">
        <v>10</v>
      </c>
      <c r="K1316">
        <v>4</v>
      </c>
      <c r="L1316">
        <v>5</v>
      </c>
      <c r="M1316">
        <v>463.81</v>
      </c>
      <c r="N1316">
        <v>2319.0500000000002</v>
      </c>
      <c r="O1316">
        <v>0.04</v>
      </c>
      <c r="P1316">
        <v>92.76</v>
      </c>
      <c r="Q1316">
        <v>2226.29</v>
      </c>
      <c r="R1316">
        <v>1298.67</v>
      </c>
      <c r="S1316">
        <v>927.62</v>
      </c>
    </row>
    <row r="1317" spans="1:19" x14ac:dyDescent="0.35">
      <c r="A1317">
        <v>200055</v>
      </c>
      <c r="B1317">
        <v>1831</v>
      </c>
      <c r="C1317" t="s">
        <v>33</v>
      </c>
      <c r="D1317" t="s">
        <v>29</v>
      </c>
      <c r="E1317" t="s">
        <v>26</v>
      </c>
      <c r="F1317" t="s">
        <v>36</v>
      </c>
      <c r="G1317" s="1">
        <v>45590</v>
      </c>
      <c r="H1317" s="1">
        <v>45591</v>
      </c>
      <c r="I1317" s="1">
        <v>45608</v>
      </c>
      <c r="J1317">
        <v>18</v>
      </c>
      <c r="K1317">
        <v>1</v>
      </c>
      <c r="L1317">
        <v>2</v>
      </c>
      <c r="M1317">
        <v>698.18</v>
      </c>
      <c r="N1317">
        <v>1396.36</v>
      </c>
      <c r="O1317">
        <v>0.1</v>
      </c>
      <c r="P1317">
        <v>139.63999999999999</v>
      </c>
      <c r="Q1317">
        <v>1256.72</v>
      </c>
      <c r="R1317">
        <v>865.74</v>
      </c>
      <c r="S1317">
        <v>390.98</v>
      </c>
    </row>
    <row r="1318" spans="1:19" x14ac:dyDescent="0.35">
      <c r="A1318">
        <v>200056</v>
      </c>
      <c r="B1318">
        <v>2990</v>
      </c>
      <c r="C1318" t="s">
        <v>23</v>
      </c>
      <c r="D1318" t="s">
        <v>29</v>
      </c>
      <c r="E1318" t="s">
        <v>21</v>
      </c>
      <c r="F1318" t="s">
        <v>39</v>
      </c>
      <c r="G1318" s="1">
        <v>45524</v>
      </c>
      <c r="H1318" s="1">
        <v>45528</v>
      </c>
      <c r="I1318" s="1">
        <v>45543</v>
      </c>
      <c r="J1318">
        <v>19</v>
      </c>
      <c r="K1318">
        <v>4</v>
      </c>
      <c r="L1318">
        <v>11</v>
      </c>
      <c r="M1318">
        <v>89.73</v>
      </c>
      <c r="N1318">
        <v>987.03</v>
      </c>
      <c r="O1318">
        <v>0.17</v>
      </c>
      <c r="P1318">
        <v>167.8</v>
      </c>
      <c r="Q1318">
        <v>819.23</v>
      </c>
      <c r="R1318">
        <v>730.4</v>
      </c>
      <c r="S1318">
        <v>88.83</v>
      </c>
    </row>
    <row r="1319" spans="1:19" x14ac:dyDescent="0.35">
      <c r="A1319">
        <v>200057</v>
      </c>
      <c r="B1319">
        <v>2276</v>
      </c>
      <c r="C1319" t="s">
        <v>33</v>
      </c>
      <c r="D1319" t="s">
        <v>20</v>
      </c>
      <c r="E1319" t="s">
        <v>26</v>
      </c>
      <c r="F1319" t="s">
        <v>36</v>
      </c>
      <c r="G1319" s="1">
        <v>45569</v>
      </c>
      <c r="H1319" s="1">
        <v>45574</v>
      </c>
      <c r="I1319" s="1">
        <v>45591</v>
      </c>
      <c r="J1319">
        <v>22</v>
      </c>
      <c r="K1319">
        <v>5</v>
      </c>
      <c r="L1319">
        <v>2</v>
      </c>
      <c r="M1319">
        <v>501.41</v>
      </c>
      <c r="N1319">
        <v>1002.82</v>
      </c>
      <c r="O1319">
        <v>0.21</v>
      </c>
      <c r="P1319">
        <v>210.59</v>
      </c>
      <c r="Q1319">
        <v>792.23</v>
      </c>
      <c r="R1319">
        <v>651.83000000000004</v>
      </c>
      <c r="S1319">
        <v>140.4</v>
      </c>
    </row>
    <row r="1320" spans="1:19" x14ac:dyDescent="0.35">
      <c r="A1320">
        <v>200058</v>
      </c>
      <c r="B1320">
        <v>1660</v>
      </c>
      <c r="C1320" t="s">
        <v>19</v>
      </c>
      <c r="D1320" t="s">
        <v>31</v>
      </c>
      <c r="E1320" t="s">
        <v>24</v>
      </c>
      <c r="F1320" t="s">
        <v>32</v>
      </c>
      <c r="G1320" s="1">
        <v>45348</v>
      </c>
      <c r="H1320" s="1">
        <v>45351</v>
      </c>
      <c r="I1320" s="1">
        <v>45372</v>
      </c>
      <c r="J1320">
        <v>24</v>
      </c>
      <c r="K1320">
        <v>3</v>
      </c>
      <c r="L1320">
        <v>4</v>
      </c>
      <c r="M1320">
        <v>119.88</v>
      </c>
      <c r="N1320">
        <v>479.52</v>
      </c>
      <c r="O1320">
        <v>0.08</v>
      </c>
      <c r="P1320">
        <v>38.36</v>
      </c>
      <c r="Q1320">
        <v>441.16</v>
      </c>
      <c r="R1320">
        <v>263.74</v>
      </c>
      <c r="S1320">
        <v>177.42</v>
      </c>
    </row>
    <row r="1321" spans="1:19" x14ac:dyDescent="0.35">
      <c r="A1321">
        <v>200059</v>
      </c>
      <c r="B1321">
        <v>3417</v>
      </c>
      <c r="C1321" t="s">
        <v>23</v>
      </c>
      <c r="D1321" t="s">
        <v>29</v>
      </c>
      <c r="E1321" t="s">
        <v>24</v>
      </c>
      <c r="F1321" t="s">
        <v>32</v>
      </c>
      <c r="G1321" s="1">
        <v>45633</v>
      </c>
      <c r="H1321" s="1">
        <v>45638</v>
      </c>
      <c r="I1321" s="1">
        <v>45650</v>
      </c>
      <c r="J1321">
        <v>17</v>
      </c>
      <c r="K1321">
        <v>5</v>
      </c>
      <c r="L1321">
        <v>9</v>
      </c>
      <c r="M1321">
        <v>551.23</v>
      </c>
      <c r="N1321">
        <v>4961.07</v>
      </c>
      <c r="O1321">
        <v>7.0000000000000007E-2</v>
      </c>
      <c r="P1321">
        <v>347.27</v>
      </c>
      <c r="Q1321">
        <v>4613.8</v>
      </c>
      <c r="R1321">
        <v>3423.14</v>
      </c>
      <c r="S1321">
        <v>1190.6600000000001</v>
      </c>
    </row>
    <row r="1322" spans="1:19" x14ac:dyDescent="0.35">
      <c r="A1322">
        <v>200060</v>
      </c>
      <c r="B1322">
        <v>2998</v>
      </c>
      <c r="C1322" t="s">
        <v>28</v>
      </c>
      <c r="D1322" t="s">
        <v>29</v>
      </c>
      <c r="E1322" t="s">
        <v>34</v>
      </c>
      <c r="F1322" t="s">
        <v>43</v>
      </c>
      <c r="G1322" s="1">
        <v>45402</v>
      </c>
      <c r="H1322" s="1">
        <v>45405</v>
      </c>
      <c r="I1322" s="1">
        <v>45427</v>
      </c>
      <c r="J1322">
        <v>25</v>
      </c>
      <c r="K1322">
        <v>3</v>
      </c>
      <c r="L1322">
        <v>12</v>
      </c>
      <c r="M1322">
        <v>554.33000000000004</v>
      </c>
      <c r="N1322">
        <v>6651.96</v>
      </c>
      <c r="O1322">
        <v>0.13</v>
      </c>
      <c r="P1322">
        <v>864.75</v>
      </c>
      <c r="Q1322">
        <v>5787.21</v>
      </c>
      <c r="R1322">
        <v>4789.41</v>
      </c>
      <c r="S1322">
        <v>997.8</v>
      </c>
    </row>
    <row r="1323" spans="1:19" x14ac:dyDescent="0.35">
      <c r="A1323">
        <v>200061</v>
      </c>
      <c r="B1323">
        <v>2829</v>
      </c>
      <c r="C1323" t="s">
        <v>23</v>
      </c>
      <c r="D1323" t="s">
        <v>20</v>
      </c>
      <c r="E1323" t="s">
        <v>21</v>
      </c>
      <c r="F1323" t="s">
        <v>38</v>
      </c>
      <c r="G1323" s="1">
        <v>45350</v>
      </c>
      <c r="H1323" s="1">
        <v>45353</v>
      </c>
      <c r="I1323" s="1">
        <v>45375</v>
      </c>
      <c r="J1323">
        <v>25</v>
      </c>
      <c r="K1323">
        <v>3</v>
      </c>
      <c r="L1323">
        <v>11</v>
      </c>
      <c r="M1323">
        <v>702.56</v>
      </c>
      <c r="N1323">
        <v>7728.16</v>
      </c>
      <c r="O1323">
        <v>0.15</v>
      </c>
      <c r="P1323">
        <v>1159.22</v>
      </c>
      <c r="Q1323">
        <v>6568.94</v>
      </c>
      <c r="R1323">
        <v>5486.99</v>
      </c>
      <c r="S1323">
        <v>1081.95</v>
      </c>
    </row>
    <row r="1324" spans="1:19" x14ac:dyDescent="0.35">
      <c r="A1324">
        <v>200062</v>
      </c>
      <c r="B1324">
        <v>2186</v>
      </c>
      <c r="C1324" t="s">
        <v>19</v>
      </c>
      <c r="D1324" t="s">
        <v>20</v>
      </c>
      <c r="E1324" t="s">
        <v>21</v>
      </c>
      <c r="F1324" t="s">
        <v>41</v>
      </c>
      <c r="G1324" s="1">
        <v>45429</v>
      </c>
      <c r="H1324" s="1">
        <v>45431</v>
      </c>
      <c r="I1324" s="1">
        <v>45444</v>
      </c>
      <c r="J1324">
        <v>15</v>
      </c>
      <c r="K1324">
        <v>2</v>
      </c>
      <c r="L1324">
        <v>6</v>
      </c>
      <c r="M1324">
        <v>576.07000000000005</v>
      </c>
      <c r="N1324">
        <v>3456.42</v>
      </c>
      <c r="O1324">
        <v>0.08</v>
      </c>
      <c r="P1324">
        <v>276.51</v>
      </c>
      <c r="Q1324">
        <v>3179.91</v>
      </c>
      <c r="R1324">
        <v>2177.54</v>
      </c>
      <c r="S1324">
        <v>1002.37</v>
      </c>
    </row>
    <row r="1325" spans="1:19" x14ac:dyDescent="0.35">
      <c r="A1325">
        <v>200063</v>
      </c>
      <c r="B1325">
        <v>1536</v>
      </c>
      <c r="C1325" t="s">
        <v>33</v>
      </c>
      <c r="D1325" t="s">
        <v>29</v>
      </c>
      <c r="E1325" t="s">
        <v>34</v>
      </c>
      <c r="F1325" t="s">
        <v>35</v>
      </c>
      <c r="G1325" s="1">
        <v>45363</v>
      </c>
      <c r="H1325" s="1">
        <v>45368</v>
      </c>
      <c r="I1325" s="1">
        <v>45372</v>
      </c>
      <c r="J1325">
        <v>9</v>
      </c>
      <c r="K1325">
        <v>5</v>
      </c>
      <c r="L1325">
        <v>3</v>
      </c>
      <c r="M1325">
        <v>509.86</v>
      </c>
      <c r="N1325">
        <v>1529.58</v>
      </c>
      <c r="O1325">
        <v>7.0000000000000007E-2</v>
      </c>
      <c r="P1325">
        <v>107.07</v>
      </c>
      <c r="Q1325">
        <v>1422.51</v>
      </c>
      <c r="R1325">
        <v>933.04</v>
      </c>
      <c r="S1325">
        <v>489.47</v>
      </c>
    </row>
    <row r="1326" spans="1:19" x14ac:dyDescent="0.35">
      <c r="A1326">
        <v>200064</v>
      </c>
      <c r="B1326">
        <v>4917</v>
      </c>
      <c r="C1326" t="s">
        <v>23</v>
      </c>
      <c r="D1326" t="s">
        <v>29</v>
      </c>
      <c r="E1326" t="s">
        <v>21</v>
      </c>
      <c r="F1326" t="s">
        <v>22</v>
      </c>
      <c r="G1326" s="1">
        <v>45362</v>
      </c>
      <c r="H1326" s="1">
        <v>45366</v>
      </c>
      <c r="I1326" s="1">
        <v>45378</v>
      </c>
      <c r="J1326">
        <v>16</v>
      </c>
      <c r="K1326">
        <v>4</v>
      </c>
      <c r="L1326">
        <v>2</v>
      </c>
      <c r="M1326">
        <v>662.03</v>
      </c>
      <c r="N1326">
        <v>1324.06</v>
      </c>
      <c r="O1326">
        <v>0.1</v>
      </c>
      <c r="P1326">
        <v>132.41</v>
      </c>
      <c r="Q1326">
        <v>1191.6500000000001</v>
      </c>
      <c r="R1326">
        <v>913.6</v>
      </c>
      <c r="S1326">
        <v>278.05</v>
      </c>
    </row>
    <row r="1327" spans="1:19" x14ac:dyDescent="0.35">
      <c r="A1327">
        <v>200065</v>
      </c>
      <c r="B1327">
        <v>2704</v>
      </c>
      <c r="C1327" t="s">
        <v>28</v>
      </c>
      <c r="D1327" t="s">
        <v>20</v>
      </c>
      <c r="E1327" t="s">
        <v>24</v>
      </c>
      <c r="F1327" t="s">
        <v>25</v>
      </c>
      <c r="G1327" s="1">
        <v>45514</v>
      </c>
      <c r="H1327" s="1">
        <v>45515</v>
      </c>
      <c r="I1327" s="1">
        <v>45541</v>
      </c>
      <c r="J1327">
        <v>27</v>
      </c>
      <c r="K1327">
        <v>1</v>
      </c>
      <c r="L1327">
        <v>13</v>
      </c>
      <c r="M1327">
        <v>683.28</v>
      </c>
      <c r="N1327">
        <v>8882.64</v>
      </c>
      <c r="O1327">
        <v>0.11</v>
      </c>
      <c r="P1327">
        <v>977.09</v>
      </c>
      <c r="Q1327">
        <v>7905.55</v>
      </c>
      <c r="R1327">
        <v>5773.72</v>
      </c>
      <c r="S1327">
        <v>2131.83</v>
      </c>
    </row>
    <row r="1328" spans="1:19" x14ac:dyDescent="0.35">
      <c r="A1328">
        <v>200066</v>
      </c>
      <c r="B1328">
        <v>1213</v>
      </c>
      <c r="C1328" t="s">
        <v>33</v>
      </c>
      <c r="D1328" t="s">
        <v>20</v>
      </c>
      <c r="E1328" t="s">
        <v>26</v>
      </c>
      <c r="F1328" t="s">
        <v>44</v>
      </c>
      <c r="G1328" s="1">
        <v>45556</v>
      </c>
      <c r="H1328" s="1">
        <v>45557</v>
      </c>
      <c r="I1328" s="1">
        <v>45572</v>
      </c>
      <c r="J1328">
        <v>16</v>
      </c>
      <c r="K1328">
        <v>1</v>
      </c>
      <c r="L1328">
        <v>6</v>
      </c>
      <c r="M1328">
        <v>136.1</v>
      </c>
      <c r="N1328">
        <v>816.6</v>
      </c>
      <c r="O1328">
        <v>7.0000000000000007E-2</v>
      </c>
      <c r="P1328">
        <v>57.16</v>
      </c>
      <c r="Q1328">
        <v>759.44</v>
      </c>
      <c r="R1328">
        <v>489.96</v>
      </c>
      <c r="S1328">
        <v>269.48</v>
      </c>
    </row>
    <row r="1329" spans="1:19" x14ac:dyDescent="0.35">
      <c r="A1329">
        <v>200067</v>
      </c>
      <c r="B1329">
        <v>1895</v>
      </c>
      <c r="C1329" t="s">
        <v>23</v>
      </c>
      <c r="D1329" t="s">
        <v>29</v>
      </c>
      <c r="E1329" t="s">
        <v>34</v>
      </c>
      <c r="F1329" t="s">
        <v>35</v>
      </c>
      <c r="G1329" s="1">
        <v>45551</v>
      </c>
      <c r="H1329" s="1">
        <v>45553</v>
      </c>
      <c r="I1329" s="1">
        <v>45560</v>
      </c>
      <c r="J1329">
        <v>9</v>
      </c>
      <c r="K1329">
        <v>2</v>
      </c>
      <c r="L1329">
        <v>9</v>
      </c>
      <c r="M1329">
        <v>644.84</v>
      </c>
      <c r="N1329">
        <v>5803.56</v>
      </c>
      <c r="O1329">
        <v>0.03</v>
      </c>
      <c r="P1329">
        <v>174.11</v>
      </c>
      <c r="Q1329">
        <v>5629.45</v>
      </c>
      <c r="R1329">
        <v>3946.42</v>
      </c>
      <c r="S1329">
        <v>1683.03</v>
      </c>
    </row>
    <row r="1330" spans="1:19" x14ac:dyDescent="0.35">
      <c r="A1330">
        <v>200068</v>
      </c>
      <c r="B1330">
        <v>4940</v>
      </c>
      <c r="C1330" t="s">
        <v>23</v>
      </c>
      <c r="D1330" t="s">
        <v>20</v>
      </c>
      <c r="E1330" t="s">
        <v>21</v>
      </c>
      <c r="F1330" t="s">
        <v>38</v>
      </c>
      <c r="G1330" s="1">
        <v>45338</v>
      </c>
      <c r="H1330" s="1">
        <v>45340</v>
      </c>
      <c r="I1330" s="1">
        <v>45360</v>
      </c>
      <c r="J1330">
        <v>22</v>
      </c>
      <c r="K1330">
        <v>2</v>
      </c>
      <c r="L1330">
        <v>5</v>
      </c>
      <c r="M1330">
        <v>626.94000000000005</v>
      </c>
      <c r="N1330">
        <v>3134.7</v>
      </c>
      <c r="O1330">
        <v>0.06</v>
      </c>
      <c r="P1330">
        <v>188.08</v>
      </c>
      <c r="Q1330">
        <v>2946.62</v>
      </c>
      <c r="R1330">
        <v>2162.94</v>
      </c>
      <c r="S1330">
        <v>783.68</v>
      </c>
    </row>
    <row r="1331" spans="1:19" x14ac:dyDescent="0.35">
      <c r="A1331">
        <v>200069</v>
      </c>
      <c r="B1331">
        <v>2326</v>
      </c>
      <c r="C1331" t="s">
        <v>33</v>
      </c>
      <c r="D1331" t="s">
        <v>31</v>
      </c>
      <c r="E1331" t="s">
        <v>24</v>
      </c>
      <c r="F1331" t="s">
        <v>32</v>
      </c>
      <c r="G1331" s="1">
        <v>45456</v>
      </c>
      <c r="H1331" s="1">
        <v>45457</v>
      </c>
      <c r="I1331" s="1">
        <v>45472</v>
      </c>
      <c r="J1331">
        <v>16</v>
      </c>
      <c r="K1331">
        <v>1</v>
      </c>
      <c r="L1331">
        <v>5</v>
      </c>
      <c r="M1331">
        <v>83.25</v>
      </c>
      <c r="N1331">
        <v>416.25</v>
      </c>
      <c r="O1331">
        <v>0.13</v>
      </c>
      <c r="P1331">
        <v>54.11</v>
      </c>
      <c r="Q1331">
        <v>362.14</v>
      </c>
      <c r="R1331">
        <v>299.7</v>
      </c>
      <c r="S1331">
        <v>62.44</v>
      </c>
    </row>
    <row r="1332" spans="1:19" x14ac:dyDescent="0.35">
      <c r="A1332">
        <v>200070</v>
      </c>
      <c r="B1332">
        <v>3885</v>
      </c>
      <c r="C1332" t="s">
        <v>33</v>
      </c>
      <c r="D1332" t="s">
        <v>31</v>
      </c>
      <c r="E1332" t="s">
        <v>24</v>
      </c>
      <c r="F1332" t="s">
        <v>25</v>
      </c>
      <c r="G1332" s="1">
        <v>45538</v>
      </c>
      <c r="H1332" s="1">
        <v>45539</v>
      </c>
      <c r="I1332" s="1">
        <v>45551</v>
      </c>
      <c r="J1332">
        <v>13</v>
      </c>
      <c r="K1332">
        <v>1</v>
      </c>
      <c r="L1332">
        <v>11</v>
      </c>
      <c r="M1332">
        <v>481.78</v>
      </c>
      <c r="N1332">
        <v>5299.58</v>
      </c>
      <c r="O1332">
        <v>0.01</v>
      </c>
      <c r="P1332">
        <v>53</v>
      </c>
      <c r="Q1332">
        <v>5246.58</v>
      </c>
      <c r="R1332">
        <v>3338.74</v>
      </c>
      <c r="S1332">
        <v>1907.84</v>
      </c>
    </row>
    <row r="1333" spans="1:19" x14ac:dyDescent="0.35">
      <c r="A1333">
        <v>200071</v>
      </c>
      <c r="B1333">
        <v>4020</v>
      </c>
      <c r="C1333" t="s">
        <v>28</v>
      </c>
      <c r="D1333" t="s">
        <v>31</v>
      </c>
      <c r="E1333" t="s">
        <v>21</v>
      </c>
      <c r="F1333" t="s">
        <v>22</v>
      </c>
      <c r="G1333" s="1">
        <v>45398</v>
      </c>
      <c r="H1333" s="1">
        <v>45399</v>
      </c>
      <c r="I1333" s="1">
        <v>45418</v>
      </c>
      <c r="J1333">
        <v>20</v>
      </c>
      <c r="K1333">
        <v>1</v>
      </c>
      <c r="L1333">
        <v>6</v>
      </c>
      <c r="M1333">
        <v>757.35</v>
      </c>
      <c r="N1333">
        <v>4544.1000000000004</v>
      </c>
      <c r="O1333">
        <v>0.1</v>
      </c>
      <c r="P1333">
        <v>454.41</v>
      </c>
      <c r="Q1333">
        <v>4089.69</v>
      </c>
      <c r="R1333">
        <v>2908.22</v>
      </c>
      <c r="S1333">
        <v>1181.47</v>
      </c>
    </row>
    <row r="1334" spans="1:19" x14ac:dyDescent="0.35">
      <c r="A1334">
        <v>200072</v>
      </c>
      <c r="B1334">
        <v>1822</v>
      </c>
      <c r="C1334" t="s">
        <v>23</v>
      </c>
      <c r="D1334" t="s">
        <v>31</v>
      </c>
      <c r="E1334" t="s">
        <v>21</v>
      </c>
      <c r="F1334" t="s">
        <v>41</v>
      </c>
      <c r="G1334" s="1">
        <v>45623</v>
      </c>
      <c r="H1334" s="1">
        <v>45624</v>
      </c>
      <c r="I1334" s="1">
        <v>45625</v>
      </c>
      <c r="J1334">
        <v>2</v>
      </c>
      <c r="K1334">
        <v>1</v>
      </c>
      <c r="L1334">
        <v>14</v>
      </c>
      <c r="M1334">
        <v>449.41</v>
      </c>
      <c r="N1334">
        <v>6291.74</v>
      </c>
      <c r="O1334">
        <v>0.13</v>
      </c>
      <c r="P1334">
        <v>817.93</v>
      </c>
      <c r="Q1334">
        <v>5473.81</v>
      </c>
      <c r="R1334">
        <v>3586.29</v>
      </c>
      <c r="S1334">
        <v>1887.52</v>
      </c>
    </row>
    <row r="1335" spans="1:19" x14ac:dyDescent="0.35">
      <c r="A1335">
        <v>200073</v>
      </c>
      <c r="B1335">
        <v>2026</v>
      </c>
      <c r="C1335" t="s">
        <v>28</v>
      </c>
      <c r="D1335" t="s">
        <v>29</v>
      </c>
      <c r="E1335" t="s">
        <v>24</v>
      </c>
      <c r="F1335" t="s">
        <v>25</v>
      </c>
      <c r="G1335" s="1">
        <v>45635</v>
      </c>
      <c r="H1335" s="1">
        <v>45638</v>
      </c>
      <c r="I1335" s="1">
        <v>45651</v>
      </c>
      <c r="J1335">
        <v>16</v>
      </c>
      <c r="K1335">
        <v>3</v>
      </c>
      <c r="L1335">
        <v>2</v>
      </c>
      <c r="M1335">
        <v>257.89999999999998</v>
      </c>
      <c r="N1335">
        <v>515.79999999999995</v>
      </c>
      <c r="O1335">
        <v>0.2</v>
      </c>
      <c r="P1335">
        <v>103.16</v>
      </c>
      <c r="Q1335">
        <v>412.64</v>
      </c>
      <c r="R1335">
        <v>304.32</v>
      </c>
      <c r="S1335">
        <v>108.32</v>
      </c>
    </row>
    <row r="1336" spans="1:19" x14ac:dyDescent="0.35">
      <c r="A1336">
        <v>200074</v>
      </c>
      <c r="B1336">
        <v>4095</v>
      </c>
      <c r="C1336" t="s">
        <v>28</v>
      </c>
      <c r="D1336" t="s">
        <v>20</v>
      </c>
      <c r="E1336" t="s">
        <v>21</v>
      </c>
      <c r="F1336" t="s">
        <v>22</v>
      </c>
      <c r="G1336" s="1">
        <v>45370</v>
      </c>
      <c r="H1336" s="1">
        <v>45372</v>
      </c>
      <c r="I1336" s="1">
        <v>45386</v>
      </c>
      <c r="J1336">
        <v>16</v>
      </c>
      <c r="K1336">
        <v>2</v>
      </c>
      <c r="L1336">
        <v>3</v>
      </c>
      <c r="M1336">
        <v>188.22</v>
      </c>
      <c r="N1336">
        <v>564.66</v>
      </c>
      <c r="O1336">
        <v>0.08</v>
      </c>
      <c r="P1336">
        <v>45.17</v>
      </c>
      <c r="Q1336">
        <v>519.49</v>
      </c>
      <c r="R1336">
        <v>338.8</v>
      </c>
      <c r="S1336">
        <v>180.69</v>
      </c>
    </row>
    <row r="1337" spans="1:19" x14ac:dyDescent="0.35">
      <c r="A1337">
        <v>200075</v>
      </c>
      <c r="B1337">
        <v>1377</v>
      </c>
      <c r="C1337" t="s">
        <v>19</v>
      </c>
      <c r="D1337" t="s">
        <v>29</v>
      </c>
      <c r="E1337" t="s">
        <v>21</v>
      </c>
      <c r="F1337" t="s">
        <v>38</v>
      </c>
      <c r="G1337" s="1">
        <v>45332</v>
      </c>
      <c r="H1337" s="1">
        <v>45334</v>
      </c>
      <c r="I1337" s="1">
        <v>45360</v>
      </c>
      <c r="J1337">
        <v>28</v>
      </c>
      <c r="K1337">
        <v>2</v>
      </c>
      <c r="L1337">
        <v>2</v>
      </c>
      <c r="M1337">
        <v>789.11</v>
      </c>
      <c r="N1337">
        <v>1578.22</v>
      </c>
      <c r="O1337">
        <v>0.05</v>
      </c>
      <c r="P1337">
        <v>78.91</v>
      </c>
      <c r="Q1337">
        <v>1499.31</v>
      </c>
      <c r="R1337">
        <v>946.93</v>
      </c>
      <c r="S1337">
        <v>552.38</v>
      </c>
    </row>
    <row r="1338" spans="1:19" x14ac:dyDescent="0.35">
      <c r="A1338">
        <v>200076</v>
      </c>
      <c r="B1338">
        <v>4861</v>
      </c>
      <c r="C1338" t="s">
        <v>33</v>
      </c>
      <c r="D1338" t="s">
        <v>31</v>
      </c>
      <c r="E1338" t="s">
        <v>26</v>
      </c>
      <c r="F1338" t="s">
        <v>36</v>
      </c>
      <c r="G1338" s="1">
        <v>45413</v>
      </c>
      <c r="H1338" s="1">
        <v>45414</v>
      </c>
      <c r="I1338" s="1">
        <v>45439</v>
      </c>
      <c r="J1338">
        <v>26</v>
      </c>
      <c r="K1338">
        <v>1</v>
      </c>
      <c r="L1338">
        <v>4</v>
      </c>
      <c r="M1338">
        <v>542.85</v>
      </c>
      <c r="N1338">
        <v>2171.4</v>
      </c>
      <c r="O1338">
        <v>0.19</v>
      </c>
      <c r="P1338">
        <v>412.57</v>
      </c>
      <c r="Q1338">
        <v>1758.83</v>
      </c>
      <c r="R1338">
        <v>1302.8399999999999</v>
      </c>
      <c r="S1338">
        <v>455.99</v>
      </c>
    </row>
    <row r="1339" spans="1:19" x14ac:dyDescent="0.35">
      <c r="A1339">
        <v>200077</v>
      </c>
      <c r="B1339">
        <v>4841</v>
      </c>
      <c r="C1339" t="s">
        <v>33</v>
      </c>
      <c r="D1339" t="s">
        <v>31</v>
      </c>
      <c r="E1339" t="s">
        <v>34</v>
      </c>
      <c r="F1339" t="s">
        <v>43</v>
      </c>
      <c r="G1339" s="1">
        <v>45483</v>
      </c>
      <c r="H1339" s="1">
        <v>45484</v>
      </c>
      <c r="I1339" s="1">
        <v>45491</v>
      </c>
      <c r="J1339">
        <v>8</v>
      </c>
      <c r="K1339">
        <v>1</v>
      </c>
      <c r="L1339">
        <v>14</v>
      </c>
      <c r="M1339">
        <v>687.03</v>
      </c>
      <c r="N1339">
        <v>9618.42</v>
      </c>
      <c r="O1339">
        <v>0.01</v>
      </c>
      <c r="P1339">
        <v>96.18</v>
      </c>
      <c r="Q1339">
        <v>9522.24</v>
      </c>
      <c r="R1339">
        <v>7021.45</v>
      </c>
      <c r="S1339">
        <v>2500.79</v>
      </c>
    </row>
    <row r="1340" spans="1:19" x14ac:dyDescent="0.35">
      <c r="A1340">
        <v>200078</v>
      </c>
      <c r="B1340">
        <v>2444</v>
      </c>
      <c r="C1340" t="s">
        <v>28</v>
      </c>
      <c r="D1340" t="s">
        <v>31</v>
      </c>
      <c r="E1340" t="s">
        <v>21</v>
      </c>
      <c r="F1340" t="s">
        <v>39</v>
      </c>
      <c r="G1340" s="1">
        <v>45524</v>
      </c>
      <c r="H1340" s="1">
        <v>45528</v>
      </c>
      <c r="I1340" s="1">
        <v>45538</v>
      </c>
      <c r="J1340">
        <v>14</v>
      </c>
      <c r="K1340">
        <v>4</v>
      </c>
      <c r="L1340">
        <v>10</v>
      </c>
      <c r="M1340">
        <v>588.79</v>
      </c>
      <c r="N1340">
        <v>5887.9</v>
      </c>
      <c r="O1340">
        <v>0.12</v>
      </c>
      <c r="P1340">
        <v>706.55</v>
      </c>
      <c r="Q1340">
        <v>5181.3500000000004</v>
      </c>
      <c r="R1340">
        <v>4180.41</v>
      </c>
      <c r="S1340">
        <v>1000.94</v>
      </c>
    </row>
    <row r="1341" spans="1:19" x14ac:dyDescent="0.35">
      <c r="A1341">
        <v>200079</v>
      </c>
      <c r="B1341">
        <v>2113</v>
      </c>
      <c r="C1341" t="s">
        <v>19</v>
      </c>
      <c r="D1341" t="s">
        <v>31</v>
      </c>
      <c r="E1341" t="s">
        <v>24</v>
      </c>
      <c r="F1341" t="s">
        <v>32</v>
      </c>
      <c r="G1341" s="1">
        <v>45329</v>
      </c>
      <c r="H1341" s="1">
        <v>45334</v>
      </c>
      <c r="I1341" s="1">
        <v>45331</v>
      </c>
      <c r="J1341">
        <v>2</v>
      </c>
      <c r="K1341">
        <v>5</v>
      </c>
      <c r="L1341">
        <v>12</v>
      </c>
      <c r="M1341">
        <v>124.42</v>
      </c>
      <c r="N1341">
        <v>1493.04</v>
      </c>
      <c r="O1341">
        <v>7.0000000000000007E-2</v>
      </c>
      <c r="P1341">
        <v>104.51</v>
      </c>
      <c r="Q1341">
        <v>1388.53</v>
      </c>
      <c r="R1341">
        <v>880.89</v>
      </c>
      <c r="S1341">
        <v>507.64</v>
      </c>
    </row>
    <row r="1342" spans="1:19" x14ac:dyDescent="0.35">
      <c r="A1342">
        <v>200080</v>
      </c>
      <c r="B1342">
        <v>1250</v>
      </c>
      <c r="C1342" t="s">
        <v>23</v>
      </c>
      <c r="D1342" t="s">
        <v>29</v>
      </c>
      <c r="E1342" t="s">
        <v>21</v>
      </c>
      <c r="F1342" t="s">
        <v>22</v>
      </c>
      <c r="G1342" s="1">
        <v>45435</v>
      </c>
      <c r="H1342" s="1">
        <v>45436</v>
      </c>
      <c r="I1342" s="1">
        <v>45449</v>
      </c>
      <c r="J1342">
        <v>14</v>
      </c>
      <c r="K1342">
        <v>1</v>
      </c>
      <c r="L1342">
        <v>3</v>
      </c>
      <c r="M1342">
        <v>132.82</v>
      </c>
      <c r="N1342">
        <v>398.46</v>
      </c>
      <c r="O1342">
        <v>0.1</v>
      </c>
      <c r="P1342">
        <v>39.85</v>
      </c>
      <c r="Q1342">
        <v>358.61</v>
      </c>
      <c r="R1342">
        <v>294.86</v>
      </c>
      <c r="S1342">
        <v>63.75</v>
      </c>
    </row>
    <row r="1343" spans="1:19" x14ac:dyDescent="0.35">
      <c r="A1343">
        <v>200081</v>
      </c>
      <c r="B1343">
        <v>2086</v>
      </c>
      <c r="C1343" t="s">
        <v>19</v>
      </c>
      <c r="D1343" t="s">
        <v>31</v>
      </c>
      <c r="E1343" t="s">
        <v>21</v>
      </c>
      <c r="F1343" t="s">
        <v>38</v>
      </c>
      <c r="G1343" s="1">
        <v>45397</v>
      </c>
      <c r="H1343" s="1">
        <v>45401</v>
      </c>
      <c r="I1343" s="1">
        <v>45427</v>
      </c>
      <c r="J1343">
        <v>30</v>
      </c>
      <c r="K1343">
        <v>4</v>
      </c>
      <c r="L1343">
        <v>7</v>
      </c>
      <c r="M1343">
        <v>30.49</v>
      </c>
      <c r="N1343">
        <v>213.43</v>
      </c>
      <c r="O1343">
        <v>0.16</v>
      </c>
      <c r="P1343">
        <v>34.15</v>
      </c>
      <c r="Q1343">
        <v>179.28</v>
      </c>
      <c r="R1343">
        <v>145.13</v>
      </c>
      <c r="S1343">
        <v>34.15</v>
      </c>
    </row>
    <row r="1344" spans="1:19" x14ac:dyDescent="0.35">
      <c r="A1344">
        <v>200082</v>
      </c>
      <c r="B1344">
        <v>1506</v>
      </c>
      <c r="C1344" t="s">
        <v>23</v>
      </c>
      <c r="D1344" t="s">
        <v>20</v>
      </c>
      <c r="E1344" t="s">
        <v>24</v>
      </c>
      <c r="F1344" t="s">
        <v>25</v>
      </c>
      <c r="G1344" s="1">
        <v>45352</v>
      </c>
      <c r="H1344" s="1">
        <v>45353</v>
      </c>
      <c r="I1344" s="1">
        <v>45374</v>
      </c>
      <c r="J1344">
        <v>22</v>
      </c>
      <c r="K1344">
        <v>1</v>
      </c>
      <c r="L1344">
        <v>1</v>
      </c>
      <c r="M1344">
        <v>471.76</v>
      </c>
      <c r="N1344">
        <v>471.76</v>
      </c>
      <c r="O1344">
        <v>0.08</v>
      </c>
      <c r="P1344">
        <v>37.74</v>
      </c>
      <c r="Q1344">
        <v>434.02</v>
      </c>
      <c r="R1344">
        <v>306.64</v>
      </c>
      <c r="S1344">
        <v>127.38</v>
      </c>
    </row>
    <row r="1345" spans="1:19" x14ac:dyDescent="0.35">
      <c r="A1345">
        <v>200083</v>
      </c>
      <c r="B1345">
        <v>2420</v>
      </c>
      <c r="C1345" t="s">
        <v>28</v>
      </c>
      <c r="D1345" t="s">
        <v>20</v>
      </c>
      <c r="E1345" t="s">
        <v>21</v>
      </c>
      <c r="F1345" t="s">
        <v>41</v>
      </c>
      <c r="G1345" s="1">
        <v>45635</v>
      </c>
      <c r="H1345" s="1">
        <v>45637</v>
      </c>
      <c r="I1345" s="1">
        <v>45646</v>
      </c>
      <c r="J1345">
        <v>11</v>
      </c>
      <c r="K1345">
        <v>2</v>
      </c>
      <c r="L1345">
        <v>13</v>
      </c>
      <c r="M1345">
        <v>239.65</v>
      </c>
      <c r="N1345">
        <v>3115.45</v>
      </c>
      <c r="O1345">
        <v>0.16</v>
      </c>
      <c r="P1345">
        <v>498.47</v>
      </c>
      <c r="Q1345">
        <v>2616.98</v>
      </c>
      <c r="R1345">
        <v>2243.12</v>
      </c>
      <c r="S1345">
        <v>373.86</v>
      </c>
    </row>
    <row r="1346" spans="1:19" x14ac:dyDescent="0.35">
      <c r="A1346">
        <v>200084</v>
      </c>
      <c r="B1346">
        <v>3768</v>
      </c>
      <c r="C1346" t="s">
        <v>33</v>
      </c>
      <c r="D1346" t="s">
        <v>29</v>
      </c>
      <c r="E1346" t="s">
        <v>34</v>
      </c>
      <c r="F1346" t="s">
        <v>43</v>
      </c>
      <c r="G1346" s="1">
        <v>45638</v>
      </c>
      <c r="H1346" s="1">
        <v>45640</v>
      </c>
      <c r="I1346" s="1">
        <v>45663</v>
      </c>
      <c r="J1346">
        <v>25</v>
      </c>
      <c r="K1346">
        <v>2</v>
      </c>
      <c r="L1346">
        <v>9</v>
      </c>
      <c r="M1346">
        <v>358.97</v>
      </c>
      <c r="N1346">
        <v>3230.73</v>
      </c>
      <c r="O1346">
        <v>0.13</v>
      </c>
      <c r="P1346">
        <v>419.99</v>
      </c>
      <c r="Q1346">
        <v>2810.74</v>
      </c>
      <c r="R1346">
        <v>2196.9</v>
      </c>
      <c r="S1346">
        <v>613.84</v>
      </c>
    </row>
    <row r="1347" spans="1:19" x14ac:dyDescent="0.35">
      <c r="A1347">
        <v>200085</v>
      </c>
      <c r="B1347">
        <v>4870</v>
      </c>
      <c r="C1347" t="s">
        <v>19</v>
      </c>
      <c r="D1347" t="s">
        <v>31</v>
      </c>
      <c r="E1347" t="s">
        <v>34</v>
      </c>
      <c r="F1347" t="s">
        <v>40</v>
      </c>
      <c r="G1347" s="1">
        <v>45465</v>
      </c>
      <c r="H1347" s="1">
        <v>45466</v>
      </c>
      <c r="I1347" s="1">
        <v>45473</v>
      </c>
      <c r="J1347">
        <v>8</v>
      </c>
      <c r="K1347">
        <v>1</v>
      </c>
      <c r="L1347">
        <v>10</v>
      </c>
      <c r="M1347">
        <v>601.61</v>
      </c>
      <c r="N1347">
        <v>6016.1</v>
      </c>
      <c r="O1347">
        <v>0.15</v>
      </c>
      <c r="P1347">
        <v>902.42</v>
      </c>
      <c r="Q1347">
        <v>5113.6899999999996</v>
      </c>
      <c r="R1347">
        <v>3850.3</v>
      </c>
      <c r="S1347">
        <v>1263.3900000000001</v>
      </c>
    </row>
    <row r="1348" spans="1:19" x14ac:dyDescent="0.35">
      <c r="A1348">
        <v>200086</v>
      </c>
      <c r="B1348">
        <v>4366</v>
      </c>
      <c r="C1348" t="s">
        <v>23</v>
      </c>
      <c r="D1348" t="s">
        <v>31</v>
      </c>
      <c r="E1348" t="s">
        <v>34</v>
      </c>
      <c r="F1348" t="s">
        <v>35</v>
      </c>
      <c r="G1348" s="1">
        <v>45356</v>
      </c>
      <c r="H1348" s="1">
        <v>45358</v>
      </c>
      <c r="I1348" s="1">
        <v>45382</v>
      </c>
      <c r="J1348">
        <v>26</v>
      </c>
      <c r="K1348">
        <v>2</v>
      </c>
      <c r="L1348">
        <v>13</v>
      </c>
      <c r="M1348">
        <v>374.15</v>
      </c>
      <c r="N1348">
        <v>4863.95</v>
      </c>
      <c r="O1348">
        <v>0.05</v>
      </c>
      <c r="P1348">
        <v>243.2</v>
      </c>
      <c r="Q1348">
        <v>4620.75</v>
      </c>
      <c r="R1348">
        <v>2967.01</v>
      </c>
      <c r="S1348">
        <v>1653.74</v>
      </c>
    </row>
    <row r="1349" spans="1:19" x14ac:dyDescent="0.35">
      <c r="A1349">
        <v>200087</v>
      </c>
      <c r="B1349">
        <v>2689</v>
      </c>
      <c r="C1349" t="s">
        <v>33</v>
      </c>
      <c r="D1349" t="s">
        <v>31</v>
      </c>
      <c r="E1349" t="s">
        <v>26</v>
      </c>
      <c r="F1349" t="s">
        <v>44</v>
      </c>
      <c r="G1349" s="1">
        <v>45643</v>
      </c>
      <c r="H1349" s="1">
        <v>45648</v>
      </c>
      <c r="I1349" s="1">
        <v>45670</v>
      </c>
      <c r="J1349">
        <v>27</v>
      </c>
      <c r="K1349">
        <v>5</v>
      </c>
      <c r="L1349">
        <v>14</v>
      </c>
      <c r="M1349">
        <v>192.47</v>
      </c>
      <c r="N1349">
        <v>2694.58</v>
      </c>
      <c r="O1349">
        <v>0.15</v>
      </c>
      <c r="P1349">
        <v>404.19</v>
      </c>
      <c r="Q1349">
        <v>2290.39</v>
      </c>
      <c r="R1349">
        <v>1508.96</v>
      </c>
      <c r="S1349">
        <v>781.43</v>
      </c>
    </row>
    <row r="1350" spans="1:19" x14ac:dyDescent="0.35">
      <c r="A1350">
        <v>200088</v>
      </c>
      <c r="B1350">
        <v>2655</v>
      </c>
      <c r="C1350" t="s">
        <v>19</v>
      </c>
      <c r="D1350" t="s">
        <v>29</v>
      </c>
      <c r="E1350" t="s">
        <v>21</v>
      </c>
      <c r="F1350" t="s">
        <v>41</v>
      </c>
      <c r="G1350" s="1">
        <v>45609</v>
      </c>
      <c r="H1350" s="1">
        <v>45614</v>
      </c>
      <c r="I1350" s="1">
        <v>45635</v>
      </c>
      <c r="J1350">
        <v>26</v>
      </c>
      <c r="K1350">
        <v>5</v>
      </c>
      <c r="L1350">
        <v>11</v>
      </c>
      <c r="M1350">
        <v>155.22</v>
      </c>
      <c r="N1350">
        <v>1707.42</v>
      </c>
      <c r="O1350">
        <v>0.1</v>
      </c>
      <c r="P1350">
        <v>170.74</v>
      </c>
      <c r="Q1350">
        <v>1536.68</v>
      </c>
      <c r="R1350">
        <v>1126.9000000000001</v>
      </c>
      <c r="S1350">
        <v>409.78</v>
      </c>
    </row>
    <row r="1351" spans="1:19" x14ac:dyDescent="0.35">
      <c r="A1351">
        <v>200089</v>
      </c>
      <c r="B1351">
        <v>3666</v>
      </c>
      <c r="C1351" t="s">
        <v>23</v>
      </c>
      <c r="D1351" t="s">
        <v>29</v>
      </c>
      <c r="E1351" t="s">
        <v>34</v>
      </c>
      <c r="F1351" t="s">
        <v>40</v>
      </c>
      <c r="G1351" s="1">
        <v>45349</v>
      </c>
      <c r="H1351" s="1">
        <v>45351</v>
      </c>
      <c r="I1351" s="1">
        <v>45357</v>
      </c>
      <c r="J1351">
        <v>8</v>
      </c>
      <c r="K1351">
        <v>2</v>
      </c>
      <c r="L1351">
        <v>6</v>
      </c>
      <c r="M1351">
        <v>678.61</v>
      </c>
      <c r="N1351">
        <v>4071.66</v>
      </c>
      <c r="O1351">
        <v>7.0000000000000007E-2</v>
      </c>
      <c r="P1351">
        <v>285.02</v>
      </c>
      <c r="Q1351">
        <v>3786.64</v>
      </c>
      <c r="R1351">
        <v>2483.71</v>
      </c>
      <c r="S1351">
        <v>1302.93</v>
      </c>
    </row>
    <row r="1352" spans="1:19" x14ac:dyDescent="0.35">
      <c r="A1352">
        <v>200090</v>
      </c>
      <c r="B1352">
        <v>3775</v>
      </c>
      <c r="C1352" t="s">
        <v>19</v>
      </c>
      <c r="D1352" t="s">
        <v>29</v>
      </c>
      <c r="E1352" t="s">
        <v>34</v>
      </c>
      <c r="F1352" t="s">
        <v>35</v>
      </c>
      <c r="G1352" s="1">
        <v>45333</v>
      </c>
      <c r="H1352" s="1">
        <v>45337</v>
      </c>
      <c r="I1352" s="1">
        <v>45349</v>
      </c>
      <c r="J1352">
        <v>16</v>
      </c>
      <c r="K1352">
        <v>4</v>
      </c>
      <c r="L1352">
        <v>5</v>
      </c>
      <c r="M1352">
        <v>576.23</v>
      </c>
      <c r="N1352">
        <v>2881.15</v>
      </c>
      <c r="O1352">
        <v>0.15</v>
      </c>
      <c r="P1352">
        <v>432.17</v>
      </c>
      <c r="Q1352">
        <v>2448.98</v>
      </c>
      <c r="R1352">
        <v>1728.69</v>
      </c>
      <c r="S1352">
        <v>720.29</v>
      </c>
    </row>
    <row r="1353" spans="1:19" x14ac:dyDescent="0.35">
      <c r="A1353">
        <v>200091</v>
      </c>
      <c r="B1353">
        <v>3098</v>
      </c>
      <c r="C1353" t="s">
        <v>33</v>
      </c>
      <c r="D1353" t="s">
        <v>29</v>
      </c>
      <c r="E1353" t="s">
        <v>34</v>
      </c>
      <c r="F1353" t="s">
        <v>35</v>
      </c>
      <c r="G1353" s="1">
        <v>45654</v>
      </c>
      <c r="H1353" s="1">
        <v>45657</v>
      </c>
      <c r="I1353" s="1">
        <v>45659</v>
      </c>
      <c r="J1353">
        <v>5</v>
      </c>
      <c r="K1353">
        <v>3</v>
      </c>
      <c r="L1353">
        <v>9</v>
      </c>
      <c r="M1353">
        <v>245.17</v>
      </c>
      <c r="N1353">
        <v>2206.5300000000002</v>
      </c>
      <c r="O1353">
        <v>0.1</v>
      </c>
      <c r="P1353">
        <v>220.65</v>
      </c>
      <c r="Q1353">
        <v>1985.88</v>
      </c>
      <c r="R1353">
        <v>1169.46</v>
      </c>
      <c r="S1353">
        <v>816.42</v>
      </c>
    </row>
    <row r="1354" spans="1:19" x14ac:dyDescent="0.35">
      <c r="A1354">
        <v>200092</v>
      </c>
      <c r="B1354">
        <v>2382</v>
      </c>
      <c r="C1354" t="s">
        <v>33</v>
      </c>
      <c r="D1354" t="s">
        <v>20</v>
      </c>
      <c r="E1354" t="s">
        <v>24</v>
      </c>
      <c r="F1354" t="s">
        <v>25</v>
      </c>
      <c r="G1354" s="1">
        <v>45433</v>
      </c>
      <c r="H1354" s="1">
        <v>45434</v>
      </c>
      <c r="I1354" s="1">
        <v>45442</v>
      </c>
      <c r="J1354">
        <v>9</v>
      </c>
      <c r="K1354">
        <v>1</v>
      </c>
      <c r="L1354">
        <v>3</v>
      </c>
      <c r="M1354">
        <v>775.88</v>
      </c>
      <c r="N1354">
        <v>2327.64</v>
      </c>
      <c r="O1354">
        <v>0.15</v>
      </c>
      <c r="P1354">
        <v>349.15</v>
      </c>
      <c r="Q1354">
        <v>1978.49</v>
      </c>
      <c r="R1354">
        <v>1373.31</v>
      </c>
      <c r="S1354">
        <v>605.17999999999995</v>
      </c>
    </row>
    <row r="1355" spans="1:19" x14ac:dyDescent="0.35">
      <c r="A1355">
        <v>200093</v>
      </c>
      <c r="B1355">
        <v>3702</v>
      </c>
      <c r="C1355" t="s">
        <v>19</v>
      </c>
      <c r="D1355" t="s">
        <v>31</v>
      </c>
      <c r="E1355" t="s">
        <v>24</v>
      </c>
      <c r="F1355" t="s">
        <v>32</v>
      </c>
      <c r="G1355" s="1">
        <v>45351</v>
      </c>
      <c r="H1355" s="1">
        <v>45354</v>
      </c>
      <c r="I1355" s="1">
        <v>45374</v>
      </c>
      <c r="J1355">
        <v>23</v>
      </c>
      <c r="K1355">
        <v>3</v>
      </c>
      <c r="L1355">
        <v>13</v>
      </c>
      <c r="M1355">
        <v>380.74</v>
      </c>
      <c r="N1355">
        <v>4949.62</v>
      </c>
      <c r="O1355">
        <v>0.15</v>
      </c>
      <c r="P1355">
        <v>742.44</v>
      </c>
      <c r="Q1355">
        <v>4207.18</v>
      </c>
      <c r="R1355">
        <v>3118.26</v>
      </c>
      <c r="S1355">
        <v>1088.92</v>
      </c>
    </row>
    <row r="1356" spans="1:19" x14ac:dyDescent="0.35">
      <c r="A1356">
        <v>200094</v>
      </c>
      <c r="B1356">
        <v>4571</v>
      </c>
      <c r="C1356" t="s">
        <v>23</v>
      </c>
      <c r="D1356" t="s">
        <v>20</v>
      </c>
      <c r="E1356" t="s">
        <v>24</v>
      </c>
      <c r="F1356" t="s">
        <v>42</v>
      </c>
      <c r="G1356" s="1">
        <v>45401</v>
      </c>
      <c r="H1356" s="1">
        <v>45402</v>
      </c>
      <c r="I1356" s="1">
        <v>45414</v>
      </c>
      <c r="J1356">
        <v>13</v>
      </c>
      <c r="K1356">
        <v>1</v>
      </c>
      <c r="L1356">
        <v>2</v>
      </c>
      <c r="M1356">
        <v>508.81</v>
      </c>
      <c r="N1356">
        <v>1017.62</v>
      </c>
      <c r="O1356">
        <v>0.14000000000000001</v>
      </c>
      <c r="P1356">
        <v>142.47</v>
      </c>
      <c r="Q1356">
        <v>875.15</v>
      </c>
      <c r="R1356">
        <v>671.63</v>
      </c>
      <c r="S1356">
        <v>203.52</v>
      </c>
    </row>
    <row r="1357" spans="1:19" x14ac:dyDescent="0.35">
      <c r="A1357">
        <v>200095</v>
      </c>
      <c r="B1357">
        <v>4613</v>
      </c>
      <c r="C1357" t="s">
        <v>23</v>
      </c>
      <c r="D1357" t="s">
        <v>29</v>
      </c>
      <c r="E1357" t="s">
        <v>21</v>
      </c>
      <c r="F1357" t="s">
        <v>38</v>
      </c>
      <c r="G1357" s="1">
        <v>45292</v>
      </c>
      <c r="H1357" s="1">
        <v>45297</v>
      </c>
      <c r="I1357" s="1">
        <v>45317</v>
      </c>
      <c r="J1357">
        <v>25</v>
      </c>
      <c r="K1357">
        <v>5</v>
      </c>
      <c r="L1357">
        <v>6</v>
      </c>
      <c r="M1357">
        <v>715.75</v>
      </c>
      <c r="N1357">
        <v>4294.5</v>
      </c>
      <c r="O1357">
        <v>0.13</v>
      </c>
      <c r="P1357">
        <v>558.28</v>
      </c>
      <c r="Q1357">
        <v>3736.22</v>
      </c>
      <c r="R1357">
        <v>3177.93</v>
      </c>
      <c r="S1357">
        <v>558.29</v>
      </c>
    </row>
    <row r="1358" spans="1:19" x14ac:dyDescent="0.35">
      <c r="A1358">
        <v>200096</v>
      </c>
      <c r="B1358">
        <v>4958</v>
      </c>
      <c r="C1358" t="s">
        <v>19</v>
      </c>
      <c r="D1358" t="s">
        <v>31</v>
      </c>
      <c r="E1358" t="s">
        <v>34</v>
      </c>
      <c r="F1358" t="s">
        <v>43</v>
      </c>
      <c r="G1358" s="1">
        <v>45655</v>
      </c>
      <c r="H1358" s="1">
        <v>45656</v>
      </c>
      <c r="I1358" s="1">
        <v>45669</v>
      </c>
      <c r="J1358">
        <v>14</v>
      </c>
      <c r="K1358">
        <v>1</v>
      </c>
      <c r="L1358">
        <v>5</v>
      </c>
      <c r="M1358">
        <v>77.010000000000005</v>
      </c>
      <c r="N1358">
        <v>385.05</v>
      </c>
      <c r="O1358">
        <v>0.06</v>
      </c>
      <c r="P1358">
        <v>23.1</v>
      </c>
      <c r="Q1358">
        <v>361.95</v>
      </c>
      <c r="R1358">
        <v>238.73</v>
      </c>
      <c r="S1358">
        <v>123.22</v>
      </c>
    </row>
    <row r="1359" spans="1:19" x14ac:dyDescent="0.35">
      <c r="A1359">
        <v>200097</v>
      </c>
      <c r="B1359">
        <v>2795</v>
      </c>
      <c r="C1359" t="s">
        <v>28</v>
      </c>
      <c r="D1359" t="s">
        <v>29</v>
      </c>
      <c r="E1359" t="s">
        <v>24</v>
      </c>
      <c r="F1359" t="s">
        <v>30</v>
      </c>
      <c r="G1359" s="1">
        <v>45457</v>
      </c>
      <c r="H1359" s="1">
        <v>45458</v>
      </c>
      <c r="I1359" s="1">
        <v>45475</v>
      </c>
      <c r="J1359">
        <v>18</v>
      </c>
      <c r="K1359">
        <v>1</v>
      </c>
      <c r="L1359">
        <v>1</v>
      </c>
      <c r="M1359">
        <v>144.9</v>
      </c>
      <c r="N1359">
        <v>144.9</v>
      </c>
      <c r="O1359">
        <v>0.15</v>
      </c>
      <c r="P1359">
        <v>21.74</v>
      </c>
      <c r="Q1359">
        <v>123.16</v>
      </c>
      <c r="R1359">
        <v>94.18</v>
      </c>
      <c r="S1359">
        <v>28.98</v>
      </c>
    </row>
    <row r="1360" spans="1:19" x14ac:dyDescent="0.35">
      <c r="A1360">
        <v>200098</v>
      </c>
      <c r="B1360">
        <v>1715</v>
      </c>
      <c r="C1360" t="s">
        <v>28</v>
      </c>
      <c r="D1360" t="s">
        <v>29</v>
      </c>
      <c r="E1360" t="s">
        <v>21</v>
      </c>
      <c r="F1360" t="s">
        <v>38</v>
      </c>
      <c r="G1360" s="1">
        <v>45485</v>
      </c>
      <c r="H1360" s="1">
        <v>45489</v>
      </c>
      <c r="I1360" s="1">
        <v>45504</v>
      </c>
      <c r="J1360">
        <v>19</v>
      </c>
      <c r="K1360">
        <v>4</v>
      </c>
      <c r="L1360">
        <v>11</v>
      </c>
      <c r="M1360">
        <v>525.38</v>
      </c>
      <c r="N1360">
        <v>5779.18</v>
      </c>
      <c r="O1360">
        <v>0.12</v>
      </c>
      <c r="P1360">
        <v>693.5</v>
      </c>
      <c r="Q1360">
        <v>5085.68</v>
      </c>
      <c r="R1360">
        <v>3929.84</v>
      </c>
      <c r="S1360">
        <v>1155.8399999999999</v>
      </c>
    </row>
    <row r="1361" spans="1:19" x14ac:dyDescent="0.35">
      <c r="A1361">
        <v>200099</v>
      </c>
      <c r="B1361">
        <v>2691</v>
      </c>
      <c r="C1361" t="s">
        <v>33</v>
      </c>
      <c r="D1361" t="s">
        <v>29</v>
      </c>
      <c r="E1361" t="s">
        <v>34</v>
      </c>
      <c r="F1361" t="s">
        <v>43</v>
      </c>
      <c r="G1361" s="1">
        <v>45453</v>
      </c>
      <c r="H1361" s="1">
        <v>45455</v>
      </c>
      <c r="I1361" s="1">
        <v>45458</v>
      </c>
      <c r="J1361">
        <v>5</v>
      </c>
      <c r="K1361">
        <v>2</v>
      </c>
      <c r="L1361">
        <v>3</v>
      </c>
      <c r="M1361">
        <v>607.03</v>
      </c>
      <c r="N1361">
        <v>1821.09</v>
      </c>
      <c r="O1361">
        <v>0.1</v>
      </c>
      <c r="P1361">
        <v>182.11</v>
      </c>
      <c r="Q1361">
        <v>1638.98</v>
      </c>
      <c r="R1361">
        <v>1165.5</v>
      </c>
      <c r="S1361">
        <v>473.48</v>
      </c>
    </row>
    <row r="1362" spans="1:19" x14ac:dyDescent="0.35">
      <c r="A1362">
        <v>200100</v>
      </c>
      <c r="B1362">
        <v>1038</v>
      </c>
      <c r="C1362" t="s">
        <v>28</v>
      </c>
      <c r="D1362" t="s">
        <v>29</v>
      </c>
      <c r="E1362" t="s">
        <v>34</v>
      </c>
      <c r="F1362" t="s">
        <v>35</v>
      </c>
      <c r="G1362" s="1">
        <v>45309</v>
      </c>
      <c r="H1362" s="1">
        <v>45312</v>
      </c>
      <c r="I1362" s="1">
        <v>45326</v>
      </c>
      <c r="J1362">
        <v>17</v>
      </c>
      <c r="K1362">
        <v>3</v>
      </c>
      <c r="L1362">
        <v>11</v>
      </c>
      <c r="M1362">
        <v>769.78</v>
      </c>
      <c r="N1362">
        <v>8467.58</v>
      </c>
      <c r="O1362">
        <v>0.1</v>
      </c>
      <c r="P1362">
        <v>846.76</v>
      </c>
      <c r="Q1362">
        <v>7620.82</v>
      </c>
      <c r="R1362">
        <v>4995.87</v>
      </c>
      <c r="S1362">
        <v>2624.95</v>
      </c>
    </row>
    <row r="1363" spans="1:19" x14ac:dyDescent="0.35">
      <c r="A1363">
        <v>200101</v>
      </c>
      <c r="B1363">
        <v>4832</v>
      </c>
      <c r="C1363" t="s">
        <v>19</v>
      </c>
      <c r="D1363" t="s">
        <v>20</v>
      </c>
      <c r="E1363" t="s">
        <v>21</v>
      </c>
      <c r="F1363" t="s">
        <v>22</v>
      </c>
      <c r="G1363" s="1">
        <v>45588</v>
      </c>
      <c r="H1363" s="1">
        <v>45593</v>
      </c>
      <c r="I1363" s="1">
        <v>45614</v>
      </c>
      <c r="J1363">
        <v>26</v>
      </c>
      <c r="K1363">
        <v>5</v>
      </c>
      <c r="L1363">
        <v>14</v>
      </c>
      <c r="M1363">
        <v>214.38</v>
      </c>
      <c r="N1363">
        <v>3001.32</v>
      </c>
      <c r="O1363">
        <v>0.17</v>
      </c>
      <c r="P1363">
        <v>510.22</v>
      </c>
      <c r="Q1363">
        <v>2491.1</v>
      </c>
      <c r="R1363">
        <v>2190.96</v>
      </c>
      <c r="S1363">
        <v>300.14</v>
      </c>
    </row>
    <row r="1364" spans="1:19" x14ac:dyDescent="0.35">
      <c r="A1364">
        <v>200102</v>
      </c>
      <c r="B1364">
        <v>2470</v>
      </c>
      <c r="C1364" t="s">
        <v>19</v>
      </c>
      <c r="D1364" t="s">
        <v>20</v>
      </c>
      <c r="E1364" t="s">
        <v>26</v>
      </c>
      <c r="F1364" t="s">
        <v>44</v>
      </c>
      <c r="G1364" s="1">
        <v>45361</v>
      </c>
      <c r="H1364" s="1">
        <v>45362</v>
      </c>
      <c r="I1364" s="1">
        <v>45384</v>
      </c>
      <c r="J1364">
        <v>23</v>
      </c>
      <c r="K1364">
        <v>1</v>
      </c>
      <c r="L1364">
        <v>7</v>
      </c>
      <c r="M1364">
        <v>173.39</v>
      </c>
      <c r="N1364">
        <v>1213.73</v>
      </c>
      <c r="O1364">
        <v>7.0000000000000007E-2</v>
      </c>
      <c r="P1364">
        <v>84.96</v>
      </c>
      <c r="Q1364">
        <v>1128.77</v>
      </c>
      <c r="R1364">
        <v>776.79</v>
      </c>
      <c r="S1364">
        <v>351.98</v>
      </c>
    </row>
    <row r="1365" spans="1:19" x14ac:dyDescent="0.35">
      <c r="A1365">
        <v>200103</v>
      </c>
      <c r="B1365">
        <v>2316</v>
      </c>
      <c r="C1365" t="s">
        <v>28</v>
      </c>
      <c r="D1365" t="s">
        <v>29</v>
      </c>
      <c r="E1365" t="s">
        <v>24</v>
      </c>
      <c r="F1365" t="s">
        <v>32</v>
      </c>
      <c r="G1365" s="1">
        <v>45298</v>
      </c>
      <c r="H1365" s="1">
        <v>45303</v>
      </c>
      <c r="I1365" s="1">
        <v>45321</v>
      </c>
      <c r="J1365">
        <v>23</v>
      </c>
      <c r="K1365">
        <v>5</v>
      </c>
      <c r="L1365">
        <v>1</v>
      </c>
      <c r="M1365">
        <v>771.58</v>
      </c>
      <c r="N1365">
        <v>771.58</v>
      </c>
      <c r="O1365">
        <v>0.06</v>
      </c>
      <c r="P1365">
        <v>46.29</v>
      </c>
      <c r="Q1365">
        <v>725.29</v>
      </c>
      <c r="R1365">
        <v>478.38</v>
      </c>
      <c r="S1365">
        <v>246.91</v>
      </c>
    </row>
    <row r="1366" spans="1:19" x14ac:dyDescent="0.35">
      <c r="A1366">
        <v>200104</v>
      </c>
      <c r="B1366">
        <v>4573</v>
      </c>
      <c r="C1366" t="s">
        <v>33</v>
      </c>
      <c r="D1366" t="s">
        <v>31</v>
      </c>
      <c r="E1366" t="s">
        <v>34</v>
      </c>
      <c r="F1366" t="s">
        <v>45</v>
      </c>
      <c r="G1366" s="1">
        <v>45511</v>
      </c>
      <c r="H1366" s="1">
        <v>45516</v>
      </c>
      <c r="I1366" s="1">
        <v>45541</v>
      </c>
      <c r="J1366">
        <v>30</v>
      </c>
      <c r="K1366">
        <v>5</v>
      </c>
      <c r="L1366">
        <v>13</v>
      </c>
      <c r="M1366">
        <v>340.49</v>
      </c>
      <c r="N1366">
        <v>4426.37</v>
      </c>
      <c r="O1366">
        <v>0.18</v>
      </c>
      <c r="P1366">
        <v>796.75</v>
      </c>
      <c r="Q1366">
        <v>3629.62</v>
      </c>
      <c r="R1366">
        <v>3541.1</v>
      </c>
      <c r="S1366">
        <v>88.52</v>
      </c>
    </row>
    <row r="1367" spans="1:19" x14ac:dyDescent="0.35">
      <c r="A1367">
        <v>200105</v>
      </c>
      <c r="B1367">
        <v>2027</v>
      </c>
      <c r="C1367" t="s">
        <v>19</v>
      </c>
      <c r="D1367" t="s">
        <v>20</v>
      </c>
      <c r="E1367" t="s">
        <v>26</v>
      </c>
      <c r="F1367" t="s">
        <v>36</v>
      </c>
      <c r="G1367" s="1">
        <v>45572</v>
      </c>
      <c r="H1367" s="1">
        <v>45574</v>
      </c>
      <c r="I1367" s="1">
        <v>45593</v>
      </c>
      <c r="J1367">
        <v>21</v>
      </c>
      <c r="K1367">
        <v>2</v>
      </c>
      <c r="L1367">
        <v>14</v>
      </c>
      <c r="M1367">
        <v>89.79</v>
      </c>
      <c r="N1367">
        <v>1257.06</v>
      </c>
      <c r="O1367">
        <v>0.03</v>
      </c>
      <c r="P1367">
        <v>37.71</v>
      </c>
      <c r="Q1367">
        <v>1219.3499999999999</v>
      </c>
      <c r="R1367">
        <v>829.66</v>
      </c>
      <c r="S1367">
        <v>389.69</v>
      </c>
    </row>
    <row r="1368" spans="1:19" x14ac:dyDescent="0.35">
      <c r="A1368">
        <v>200106</v>
      </c>
      <c r="B1368">
        <v>4636</v>
      </c>
      <c r="C1368" t="s">
        <v>23</v>
      </c>
      <c r="D1368" t="s">
        <v>20</v>
      </c>
      <c r="E1368" t="s">
        <v>24</v>
      </c>
      <c r="F1368" t="s">
        <v>25</v>
      </c>
      <c r="G1368" s="1">
        <v>45456</v>
      </c>
      <c r="H1368" s="1">
        <v>45459</v>
      </c>
      <c r="I1368" s="1">
        <v>45476</v>
      </c>
      <c r="J1368">
        <v>20</v>
      </c>
      <c r="K1368">
        <v>3</v>
      </c>
      <c r="L1368">
        <v>9</v>
      </c>
      <c r="M1368">
        <v>500.57</v>
      </c>
      <c r="N1368">
        <v>4505.13</v>
      </c>
      <c r="O1368">
        <v>0.05</v>
      </c>
      <c r="P1368">
        <v>225.26</v>
      </c>
      <c r="Q1368">
        <v>4279.87</v>
      </c>
      <c r="R1368">
        <v>3243.69</v>
      </c>
      <c r="S1368">
        <v>1036.18</v>
      </c>
    </row>
    <row r="1369" spans="1:19" x14ac:dyDescent="0.35">
      <c r="A1369">
        <v>200107</v>
      </c>
      <c r="B1369">
        <v>3183</v>
      </c>
      <c r="C1369" t="s">
        <v>28</v>
      </c>
      <c r="D1369" t="s">
        <v>20</v>
      </c>
      <c r="E1369" t="s">
        <v>21</v>
      </c>
      <c r="F1369" t="s">
        <v>39</v>
      </c>
      <c r="G1369" s="1">
        <v>45579</v>
      </c>
      <c r="H1369" s="1">
        <v>45580</v>
      </c>
      <c r="I1369" s="1">
        <v>45605</v>
      </c>
      <c r="J1369">
        <v>26</v>
      </c>
      <c r="K1369">
        <v>1</v>
      </c>
      <c r="L1369">
        <v>5</v>
      </c>
      <c r="M1369">
        <v>115.17</v>
      </c>
      <c r="N1369">
        <v>575.85</v>
      </c>
      <c r="O1369">
        <v>0.12</v>
      </c>
      <c r="P1369">
        <v>69.099999999999994</v>
      </c>
      <c r="Q1369">
        <v>506.75</v>
      </c>
      <c r="R1369">
        <v>333.99</v>
      </c>
      <c r="S1369">
        <v>172.76</v>
      </c>
    </row>
    <row r="1370" spans="1:19" x14ac:dyDescent="0.35">
      <c r="A1370">
        <v>200108</v>
      </c>
      <c r="B1370">
        <v>2951</v>
      </c>
      <c r="C1370" t="s">
        <v>28</v>
      </c>
      <c r="D1370" t="s">
        <v>20</v>
      </c>
      <c r="E1370" t="s">
        <v>21</v>
      </c>
      <c r="F1370" t="s">
        <v>39</v>
      </c>
      <c r="G1370" s="1">
        <v>45633</v>
      </c>
      <c r="H1370" s="1">
        <v>45637</v>
      </c>
      <c r="I1370" s="1">
        <v>45643</v>
      </c>
      <c r="J1370">
        <v>10</v>
      </c>
      <c r="K1370">
        <v>4</v>
      </c>
      <c r="L1370">
        <v>6</v>
      </c>
      <c r="M1370">
        <v>404.86</v>
      </c>
      <c r="N1370">
        <v>2429.16</v>
      </c>
      <c r="O1370">
        <v>0.14000000000000001</v>
      </c>
      <c r="P1370">
        <v>340.08</v>
      </c>
      <c r="Q1370">
        <v>2089.08</v>
      </c>
      <c r="R1370">
        <v>1384.62</v>
      </c>
      <c r="S1370">
        <v>704.46</v>
      </c>
    </row>
    <row r="1371" spans="1:19" x14ac:dyDescent="0.35">
      <c r="A1371">
        <v>200109</v>
      </c>
      <c r="B1371">
        <v>2908</v>
      </c>
      <c r="C1371" t="s">
        <v>28</v>
      </c>
      <c r="D1371" t="s">
        <v>31</v>
      </c>
      <c r="E1371" t="s">
        <v>26</v>
      </c>
      <c r="F1371" t="s">
        <v>27</v>
      </c>
      <c r="G1371" s="1">
        <v>45400</v>
      </c>
      <c r="H1371" s="1">
        <v>45405</v>
      </c>
      <c r="I1371" s="1">
        <v>45425</v>
      </c>
      <c r="J1371">
        <v>25</v>
      </c>
      <c r="K1371">
        <v>5</v>
      </c>
      <c r="L1371">
        <v>11</v>
      </c>
      <c r="M1371">
        <v>171.24</v>
      </c>
      <c r="N1371">
        <v>1883.64</v>
      </c>
      <c r="O1371">
        <v>0.11</v>
      </c>
      <c r="P1371">
        <v>207.2</v>
      </c>
      <c r="Q1371">
        <v>1676.44</v>
      </c>
      <c r="R1371">
        <v>1262.04</v>
      </c>
      <c r="S1371">
        <v>414.4</v>
      </c>
    </row>
    <row r="1372" spans="1:19" x14ac:dyDescent="0.35">
      <c r="A1372">
        <v>200110</v>
      </c>
      <c r="B1372">
        <v>1088</v>
      </c>
      <c r="C1372" t="s">
        <v>23</v>
      </c>
      <c r="D1372" t="s">
        <v>29</v>
      </c>
      <c r="E1372" t="s">
        <v>34</v>
      </c>
      <c r="F1372" t="s">
        <v>40</v>
      </c>
      <c r="G1372" s="1">
        <v>45403</v>
      </c>
      <c r="H1372" s="1">
        <v>45404</v>
      </c>
      <c r="I1372" s="1">
        <v>45409</v>
      </c>
      <c r="J1372">
        <v>6</v>
      </c>
      <c r="K1372">
        <v>1</v>
      </c>
      <c r="L1372">
        <v>8</v>
      </c>
      <c r="M1372">
        <v>285.49</v>
      </c>
      <c r="N1372">
        <v>2283.92</v>
      </c>
      <c r="O1372">
        <v>0.14000000000000001</v>
      </c>
      <c r="P1372">
        <v>319.75</v>
      </c>
      <c r="Q1372">
        <v>1964.17</v>
      </c>
      <c r="R1372">
        <v>1393.19</v>
      </c>
      <c r="S1372">
        <v>570.98</v>
      </c>
    </row>
    <row r="1373" spans="1:19" x14ac:dyDescent="0.35">
      <c r="A1373">
        <v>200111</v>
      </c>
      <c r="B1373">
        <v>2524</v>
      </c>
      <c r="C1373" t="s">
        <v>19</v>
      </c>
      <c r="D1373" t="s">
        <v>29</v>
      </c>
      <c r="E1373" t="s">
        <v>34</v>
      </c>
      <c r="F1373" t="s">
        <v>40</v>
      </c>
      <c r="G1373" s="1">
        <v>45302</v>
      </c>
      <c r="H1373" s="1">
        <v>45306</v>
      </c>
      <c r="I1373" s="1">
        <v>45324</v>
      </c>
      <c r="J1373">
        <v>22</v>
      </c>
      <c r="K1373">
        <v>4</v>
      </c>
      <c r="L1373">
        <v>8</v>
      </c>
      <c r="M1373">
        <v>701.42</v>
      </c>
      <c r="N1373">
        <v>5611.36</v>
      </c>
      <c r="O1373">
        <v>0.06</v>
      </c>
      <c r="P1373">
        <v>336.68</v>
      </c>
      <c r="Q1373">
        <v>5274.68</v>
      </c>
      <c r="R1373">
        <v>3479.04</v>
      </c>
      <c r="S1373">
        <v>1795.64</v>
      </c>
    </row>
    <row r="1374" spans="1:19" x14ac:dyDescent="0.35">
      <c r="A1374">
        <v>200112</v>
      </c>
      <c r="B1374">
        <v>2122</v>
      </c>
      <c r="C1374" t="s">
        <v>19</v>
      </c>
      <c r="D1374" t="s">
        <v>29</v>
      </c>
      <c r="E1374" t="s">
        <v>26</v>
      </c>
      <c r="F1374" t="s">
        <v>36</v>
      </c>
      <c r="G1374" s="1">
        <v>45545</v>
      </c>
      <c r="H1374" s="1">
        <v>45550</v>
      </c>
      <c r="I1374" s="1">
        <v>45561</v>
      </c>
      <c r="J1374">
        <v>16</v>
      </c>
      <c r="K1374">
        <v>5</v>
      </c>
      <c r="L1374">
        <v>2</v>
      </c>
      <c r="M1374">
        <v>168.34</v>
      </c>
      <c r="N1374">
        <v>336.68</v>
      </c>
      <c r="O1374">
        <v>0.02</v>
      </c>
      <c r="P1374">
        <v>6.73</v>
      </c>
      <c r="Q1374">
        <v>329.95</v>
      </c>
      <c r="R1374">
        <v>218.84</v>
      </c>
      <c r="S1374">
        <v>111.11</v>
      </c>
    </row>
    <row r="1375" spans="1:19" x14ac:dyDescent="0.35">
      <c r="A1375">
        <v>200113</v>
      </c>
      <c r="B1375">
        <v>4468</v>
      </c>
      <c r="C1375" t="s">
        <v>33</v>
      </c>
      <c r="D1375" t="s">
        <v>31</v>
      </c>
      <c r="E1375" t="s">
        <v>24</v>
      </c>
      <c r="F1375" t="s">
        <v>32</v>
      </c>
      <c r="G1375" s="1">
        <v>45427</v>
      </c>
      <c r="H1375" s="1">
        <v>45431</v>
      </c>
      <c r="I1375" s="1">
        <v>45457</v>
      </c>
      <c r="J1375">
        <v>30</v>
      </c>
      <c r="K1375">
        <v>4</v>
      </c>
      <c r="L1375">
        <v>12</v>
      </c>
      <c r="M1375">
        <v>366.29</v>
      </c>
      <c r="N1375">
        <v>4395.4799999999996</v>
      </c>
      <c r="O1375">
        <v>7.0000000000000007E-2</v>
      </c>
      <c r="P1375">
        <v>307.68</v>
      </c>
      <c r="Q1375">
        <v>4087.8</v>
      </c>
      <c r="R1375">
        <v>2813.11</v>
      </c>
      <c r="S1375">
        <v>1274.69</v>
      </c>
    </row>
    <row r="1376" spans="1:19" x14ac:dyDescent="0.35">
      <c r="A1376">
        <v>200114</v>
      </c>
      <c r="B1376">
        <v>1344</v>
      </c>
      <c r="C1376" t="s">
        <v>33</v>
      </c>
      <c r="D1376" t="s">
        <v>20</v>
      </c>
      <c r="E1376" t="s">
        <v>34</v>
      </c>
      <c r="F1376" t="s">
        <v>35</v>
      </c>
      <c r="G1376" s="1">
        <v>45492</v>
      </c>
      <c r="H1376" s="1">
        <v>45494</v>
      </c>
      <c r="I1376" s="1">
        <v>45517</v>
      </c>
      <c r="J1376">
        <v>25</v>
      </c>
      <c r="K1376">
        <v>2</v>
      </c>
      <c r="L1376">
        <v>11</v>
      </c>
      <c r="M1376">
        <v>510.02</v>
      </c>
      <c r="N1376">
        <v>5610.22</v>
      </c>
      <c r="O1376">
        <v>0.05</v>
      </c>
      <c r="P1376">
        <v>280.51</v>
      </c>
      <c r="Q1376">
        <v>5329.71</v>
      </c>
      <c r="R1376">
        <v>4095.46</v>
      </c>
      <c r="S1376">
        <v>1234.25</v>
      </c>
    </row>
    <row r="1377" spans="1:19" x14ac:dyDescent="0.35">
      <c r="A1377">
        <v>200115</v>
      </c>
      <c r="B1377">
        <v>1548</v>
      </c>
      <c r="C1377" t="s">
        <v>23</v>
      </c>
      <c r="D1377" t="s">
        <v>20</v>
      </c>
      <c r="E1377" t="s">
        <v>26</v>
      </c>
      <c r="F1377" t="s">
        <v>37</v>
      </c>
      <c r="G1377" s="1">
        <v>45550</v>
      </c>
      <c r="H1377" s="1">
        <v>45551</v>
      </c>
      <c r="I1377" s="1">
        <v>45553</v>
      </c>
      <c r="J1377">
        <v>3</v>
      </c>
      <c r="K1377">
        <v>1</v>
      </c>
      <c r="L1377">
        <v>14</v>
      </c>
      <c r="M1377">
        <v>553.73</v>
      </c>
      <c r="N1377">
        <v>7752.22</v>
      </c>
      <c r="O1377">
        <v>0.14000000000000001</v>
      </c>
      <c r="P1377">
        <v>1085.31</v>
      </c>
      <c r="Q1377">
        <v>6666.91</v>
      </c>
      <c r="R1377">
        <v>4961.42</v>
      </c>
      <c r="S1377">
        <v>1705.49</v>
      </c>
    </row>
    <row r="1378" spans="1:19" x14ac:dyDescent="0.35">
      <c r="A1378">
        <v>200116</v>
      </c>
      <c r="B1378">
        <v>1577</v>
      </c>
      <c r="C1378" t="s">
        <v>33</v>
      </c>
      <c r="D1378" t="s">
        <v>31</v>
      </c>
      <c r="E1378" t="s">
        <v>21</v>
      </c>
      <c r="F1378" t="s">
        <v>39</v>
      </c>
      <c r="G1378" s="1">
        <v>45479</v>
      </c>
      <c r="H1378" s="1">
        <v>45483</v>
      </c>
      <c r="I1378" s="1">
        <v>45496</v>
      </c>
      <c r="J1378">
        <v>17</v>
      </c>
      <c r="K1378">
        <v>4</v>
      </c>
      <c r="L1378">
        <v>9</v>
      </c>
      <c r="M1378">
        <v>731.94</v>
      </c>
      <c r="N1378">
        <v>6587.46</v>
      </c>
      <c r="O1378">
        <v>0.16</v>
      </c>
      <c r="P1378">
        <v>1053.99</v>
      </c>
      <c r="Q1378">
        <v>5533.47</v>
      </c>
      <c r="R1378">
        <v>4611.22</v>
      </c>
      <c r="S1378">
        <v>922.25</v>
      </c>
    </row>
    <row r="1379" spans="1:19" x14ac:dyDescent="0.35">
      <c r="A1379">
        <v>200117</v>
      </c>
      <c r="B1379">
        <v>4918</v>
      </c>
      <c r="C1379" t="s">
        <v>33</v>
      </c>
      <c r="D1379" t="s">
        <v>29</v>
      </c>
      <c r="E1379" t="s">
        <v>26</v>
      </c>
      <c r="F1379" t="s">
        <v>27</v>
      </c>
      <c r="G1379" s="1">
        <v>45424</v>
      </c>
      <c r="H1379" s="1">
        <v>45429</v>
      </c>
      <c r="I1379" s="1">
        <v>45444</v>
      </c>
      <c r="J1379">
        <v>20</v>
      </c>
      <c r="K1379">
        <v>5</v>
      </c>
      <c r="L1379">
        <v>14</v>
      </c>
      <c r="M1379">
        <v>86.86</v>
      </c>
      <c r="N1379">
        <v>1216.04</v>
      </c>
      <c r="O1379">
        <v>0.11</v>
      </c>
      <c r="P1379">
        <v>133.76</v>
      </c>
      <c r="Q1379">
        <v>1082.28</v>
      </c>
      <c r="R1379">
        <v>668.82</v>
      </c>
      <c r="S1379">
        <v>413.46</v>
      </c>
    </row>
    <row r="1380" spans="1:19" x14ac:dyDescent="0.35">
      <c r="A1380">
        <v>200118</v>
      </c>
      <c r="B1380">
        <v>1122</v>
      </c>
      <c r="C1380" t="s">
        <v>33</v>
      </c>
      <c r="D1380" t="s">
        <v>20</v>
      </c>
      <c r="E1380" t="s">
        <v>24</v>
      </c>
      <c r="F1380" t="s">
        <v>32</v>
      </c>
      <c r="G1380" s="1">
        <v>45451</v>
      </c>
      <c r="H1380" s="1">
        <v>45455</v>
      </c>
      <c r="I1380" s="1">
        <v>45455</v>
      </c>
      <c r="J1380">
        <v>4</v>
      </c>
      <c r="K1380">
        <v>4</v>
      </c>
      <c r="L1380">
        <v>11</v>
      </c>
      <c r="M1380">
        <v>253.96</v>
      </c>
      <c r="N1380">
        <v>2793.56</v>
      </c>
      <c r="O1380">
        <v>0.08</v>
      </c>
      <c r="P1380">
        <v>223.48</v>
      </c>
      <c r="Q1380">
        <v>2570.08</v>
      </c>
      <c r="R1380">
        <v>1955.49</v>
      </c>
      <c r="S1380">
        <v>614.59</v>
      </c>
    </row>
    <row r="1381" spans="1:19" x14ac:dyDescent="0.35">
      <c r="A1381">
        <v>200119</v>
      </c>
      <c r="B1381">
        <v>4856</v>
      </c>
      <c r="C1381" t="s">
        <v>28</v>
      </c>
      <c r="D1381" t="s">
        <v>29</v>
      </c>
      <c r="E1381" t="s">
        <v>26</v>
      </c>
      <c r="F1381" t="s">
        <v>37</v>
      </c>
      <c r="G1381" s="1">
        <v>45457</v>
      </c>
      <c r="H1381" s="1">
        <v>45460</v>
      </c>
      <c r="I1381" s="1">
        <v>45468</v>
      </c>
      <c r="J1381">
        <v>11</v>
      </c>
      <c r="K1381">
        <v>3</v>
      </c>
      <c r="L1381">
        <v>4</v>
      </c>
      <c r="M1381">
        <v>438.6</v>
      </c>
      <c r="N1381">
        <v>1754.4</v>
      </c>
      <c r="O1381">
        <v>0.11</v>
      </c>
      <c r="P1381">
        <v>192.98</v>
      </c>
      <c r="Q1381">
        <v>1561.42</v>
      </c>
      <c r="R1381">
        <v>1035.0999999999999</v>
      </c>
      <c r="S1381">
        <v>526.32000000000005</v>
      </c>
    </row>
    <row r="1382" spans="1:19" x14ac:dyDescent="0.35">
      <c r="A1382">
        <v>200120</v>
      </c>
      <c r="B1382">
        <v>1977</v>
      </c>
      <c r="C1382" t="s">
        <v>28</v>
      </c>
      <c r="D1382" t="s">
        <v>29</v>
      </c>
      <c r="E1382" t="s">
        <v>26</v>
      </c>
      <c r="F1382" t="s">
        <v>44</v>
      </c>
      <c r="G1382" s="1">
        <v>45428</v>
      </c>
      <c r="H1382" s="1">
        <v>45433</v>
      </c>
      <c r="I1382" s="1">
        <v>45445</v>
      </c>
      <c r="J1382">
        <v>17</v>
      </c>
      <c r="K1382">
        <v>5</v>
      </c>
      <c r="L1382">
        <v>7</v>
      </c>
      <c r="M1382">
        <v>116.42</v>
      </c>
      <c r="N1382">
        <v>814.94</v>
      </c>
      <c r="O1382">
        <v>0.09</v>
      </c>
      <c r="P1382">
        <v>73.34</v>
      </c>
      <c r="Q1382">
        <v>741.6</v>
      </c>
      <c r="R1382">
        <v>488.96</v>
      </c>
      <c r="S1382">
        <v>252.64</v>
      </c>
    </row>
    <row r="1383" spans="1:19" x14ac:dyDescent="0.35">
      <c r="A1383">
        <v>200121</v>
      </c>
      <c r="B1383">
        <v>4745</v>
      </c>
      <c r="C1383" t="s">
        <v>19</v>
      </c>
      <c r="D1383" t="s">
        <v>29</v>
      </c>
      <c r="E1383" t="s">
        <v>26</v>
      </c>
      <c r="F1383" t="s">
        <v>27</v>
      </c>
      <c r="G1383" s="1">
        <v>45302</v>
      </c>
      <c r="H1383" s="1">
        <v>45303</v>
      </c>
      <c r="I1383" s="1">
        <v>45309</v>
      </c>
      <c r="J1383">
        <v>7</v>
      </c>
      <c r="K1383">
        <v>1</v>
      </c>
      <c r="L1383">
        <v>3</v>
      </c>
      <c r="M1383">
        <v>371.23</v>
      </c>
      <c r="N1383">
        <v>1113.69</v>
      </c>
      <c r="O1383">
        <v>0.06</v>
      </c>
      <c r="P1383">
        <v>66.819999999999993</v>
      </c>
      <c r="Q1383">
        <v>1046.8699999999999</v>
      </c>
      <c r="R1383">
        <v>567.98</v>
      </c>
      <c r="S1383">
        <v>478.89</v>
      </c>
    </row>
    <row r="1384" spans="1:19" x14ac:dyDescent="0.35">
      <c r="A1384">
        <v>200122</v>
      </c>
      <c r="B1384">
        <v>3726</v>
      </c>
      <c r="C1384" t="s">
        <v>19</v>
      </c>
      <c r="D1384" t="s">
        <v>20</v>
      </c>
      <c r="E1384" t="s">
        <v>24</v>
      </c>
      <c r="F1384" t="s">
        <v>32</v>
      </c>
      <c r="G1384" s="1">
        <v>45319</v>
      </c>
      <c r="H1384" s="1">
        <v>45320</v>
      </c>
      <c r="I1384" s="1">
        <v>45331</v>
      </c>
      <c r="J1384">
        <v>12</v>
      </c>
      <c r="K1384">
        <v>1</v>
      </c>
      <c r="L1384">
        <v>8</v>
      </c>
      <c r="M1384">
        <v>48.73</v>
      </c>
      <c r="N1384">
        <v>389.84</v>
      </c>
      <c r="O1384">
        <v>0</v>
      </c>
      <c r="P1384">
        <v>0</v>
      </c>
      <c r="Q1384">
        <v>389.84</v>
      </c>
      <c r="R1384">
        <v>261.19</v>
      </c>
      <c r="S1384">
        <v>128.65</v>
      </c>
    </row>
    <row r="1385" spans="1:19" x14ac:dyDescent="0.35">
      <c r="A1385">
        <v>200123</v>
      </c>
      <c r="B1385">
        <v>4418</v>
      </c>
      <c r="C1385" t="s">
        <v>19</v>
      </c>
      <c r="D1385" t="s">
        <v>20</v>
      </c>
      <c r="E1385" t="s">
        <v>21</v>
      </c>
      <c r="F1385" t="s">
        <v>38</v>
      </c>
      <c r="G1385" s="1">
        <v>45482</v>
      </c>
      <c r="H1385" s="1">
        <v>45483</v>
      </c>
      <c r="I1385" s="1">
        <v>45503</v>
      </c>
      <c r="J1385">
        <v>21</v>
      </c>
      <c r="K1385">
        <v>1</v>
      </c>
      <c r="L1385">
        <v>1</v>
      </c>
      <c r="M1385">
        <v>248.75</v>
      </c>
      <c r="N1385">
        <v>248.75</v>
      </c>
      <c r="O1385">
        <v>0.13</v>
      </c>
      <c r="P1385">
        <v>32.340000000000003</v>
      </c>
      <c r="Q1385">
        <v>216.41</v>
      </c>
      <c r="R1385">
        <v>179.1</v>
      </c>
      <c r="S1385">
        <v>37.31</v>
      </c>
    </row>
    <row r="1386" spans="1:19" x14ac:dyDescent="0.35">
      <c r="A1386">
        <v>200124</v>
      </c>
      <c r="B1386">
        <v>2800</v>
      </c>
      <c r="C1386" t="s">
        <v>19</v>
      </c>
      <c r="D1386" t="s">
        <v>31</v>
      </c>
      <c r="E1386" t="s">
        <v>21</v>
      </c>
      <c r="F1386" t="s">
        <v>38</v>
      </c>
      <c r="G1386" s="1">
        <v>45598</v>
      </c>
      <c r="H1386" s="1">
        <v>45599</v>
      </c>
      <c r="I1386" s="1">
        <v>45604</v>
      </c>
      <c r="J1386">
        <v>6</v>
      </c>
      <c r="K1386">
        <v>1</v>
      </c>
      <c r="L1386">
        <v>13</v>
      </c>
      <c r="M1386">
        <v>490.13</v>
      </c>
      <c r="N1386">
        <v>6371.69</v>
      </c>
      <c r="O1386">
        <v>0.08</v>
      </c>
      <c r="P1386">
        <v>509.74</v>
      </c>
      <c r="Q1386">
        <v>5861.95</v>
      </c>
      <c r="R1386">
        <v>4014.16</v>
      </c>
      <c r="S1386">
        <v>1847.79</v>
      </c>
    </row>
    <row r="1387" spans="1:19" x14ac:dyDescent="0.35">
      <c r="A1387">
        <v>200125</v>
      </c>
      <c r="B1387">
        <v>2130</v>
      </c>
      <c r="C1387" t="s">
        <v>23</v>
      </c>
      <c r="D1387" t="s">
        <v>20</v>
      </c>
      <c r="E1387" t="s">
        <v>21</v>
      </c>
      <c r="F1387" t="s">
        <v>38</v>
      </c>
      <c r="G1387" s="1">
        <v>45317</v>
      </c>
      <c r="H1387" s="1">
        <v>45322</v>
      </c>
      <c r="I1387" s="1">
        <v>45340</v>
      </c>
      <c r="J1387">
        <v>23</v>
      </c>
      <c r="K1387">
        <v>5</v>
      </c>
      <c r="L1387">
        <v>4</v>
      </c>
      <c r="M1387">
        <v>308.95999999999998</v>
      </c>
      <c r="N1387">
        <v>1235.8399999999999</v>
      </c>
      <c r="O1387">
        <v>0.13</v>
      </c>
      <c r="P1387">
        <v>160.66</v>
      </c>
      <c r="Q1387">
        <v>1075.18</v>
      </c>
      <c r="R1387">
        <v>790.94</v>
      </c>
      <c r="S1387">
        <v>284.24</v>
      </c>
    </row>
    <row r="1388" spans="1:19" x14ac:dyDescent="0.35">
      <c r="A1388">
        <v>200126</v>
      </c>
      <c r="B1388">
        <v>3144</v>
      </c>
      <c r="C1388" t="s">
        <v>23</v>
      </c>
      <c r="D1388" t="s">
        <v>20</v>
      </c>
      <c r="E1388" t="s">
        <v>24</v>
      </c>
      <c r="F1388" t="s">
        <v>30</v>
      </c>
      <c r="G1388" s="1">
        <v>45398</v>
      </c>
      <c r="H1388" s="1">
        <v>45401</v>
      </c>
      <c r="I1388" s="1">
        <v>45411</v>
      </c>
      <c r="J1388">
        <v>13</v>
      </c>
      <c r="K1388">
        <v>3</v>
      </c>
      <c r="L1388">
        <v>2</v>
      </c>
      <c r="M1388">
        <v>591.58000000000004</v>
      </c>
      <c r="N1388">
        <v>1183.1600000000001</v>
      </c>
      <c r="O1388">
        <v>0.14000000000000001</v>
      </c>
      <c r="P1388">
        <v>165.64</v>
      </c>
      <c r="Q1388">
        <v>1017.52</v>
      </c>
      <c r="R1388">
        <v>792.72</v>
      </c>
      <c r="S1388">
        <v>224.8</v>
      </c>
    </row>
    <row r="1389" spans="1:19" x14ac:dyDescent="0.35">
      <c r="A1389">
        <v>200127</v>
      </c>
      <c r="B1389">
        <v>4898</v>
      </c>
      <c r="C1389" t="s">
        <v>19</v>
      </c>
      <c r="D1389" t="s">
        <v>20</v>
      </c>
      <c r="E1389" t="s">
        <v>34</v>
      </c>
      <c r="F1389" t="s">
        <v>35</v>
      </c>
      <c r="G1389" s="1">
        <v>45387</v>
      </c>
      <c r="H1389" s="1">
        <v>45392</v>
      </c>
      <c r="I1389" s="1">
        <v>45399</v>
      </c>
      <c r="J1389">
        <v>12</v>
      </c>
      <c r="K1389">
        <v>5</v>
      </c>
      <c r="L1389">
        <v>4</v>
      </c>
      <c r="M1389">
        <v>591.35</v>
      </c>
      <c r="N1389">
        <v>2365.4</v>
      </c>
      <c r="O1389">
        <v>0.11</v>
      </c>
      <c r="P1389">
        <v>260.19</v>
      </c>
      <c r="Q1389">
        <v>2105.21</v>
      </c>
      <c r="R1389">
        <v>1300.97</v>
      </c>
      <c r="S1389">
        <v>804.24</v>
      </c>
    </row>
    <row r="1390" spans="1:19" x14ac:dyDescent="0.35">
      <c r="A1390">
        <v>200128</v>
      </c>
      <c r="B1390">
        <v>2649</v>
      </c>
      <c r="C1390" t="s">
        <v>33</v>
      </c>
      <c r="D1390" t="s">
        <v>29</v>
      </c>
      <c r="E1390" t="s">
        <v>34</v>
      </c>
      <c r="F1390" t="s">
        <v>45</v>
      </c>
      <c r="G1390" s="1">
        <v>45535</v>
      </c>
      <c r="H1390" s="1">
        <v>45538</v>
      </c>
      <c r="I1390" s="1">
        <v>45543</v>
      </c>
      <c r="J1390">
        <v>8</v>
      </c>
      <c r="K1390">
        <v>3</v>
      </c>
      <c r="L1390">
        <v>1</v>
      </c>
      <c r="M1390">
        <v>698.61</v>
      </c>
      <c r="N1390">
        <v>698.61</v>
      </c>
      <c r="O1390">
        <v>0.06</v>
      </c>
      <c r="P1390">
        <v>41.92</v>
      </c>
      <c r="Q1390">
        <v>656.69</v>
      </c>
      <c r="R1390">
        <v>447.11</v>
      </c>
      <c r="S1390">
        <v>209.58</v>
      </c>
    </row>
    <row r="1391" spans="1:19" x14ac:dyDescent="0.35">
      <c r="A1391">
        <v>200129</v>
      </c>
      <c r="B1391">
        <v>3175</v>
      </c>
      <c r="C1391" t="s">
        <v>19</v>
      </c>
      <c r="D1391" t="s">
        <v>31</v>
      </c>
      <c r="E1391" t="s">
        <v>34</v>
      </c>
      <c r="F1391" t="s">
        <v>35</v>
      </c>
      <c r="G1391" s="1">
        <v>45612</v>
      </c>
      <c r="H1391" s="1">
        <v>45617</v>
      </c>
      <c r="I1391" s="1">
        <v>45639</v>
      </c>
      <c r="J1391">
        <v>27</v>
      </c>
      <c r="K1391">
        <v>5</v>
      </c>
      <c r="L1391">
        <v>5</v>
      </c>
      <c r="M1391">
        <v>752.56</v>
      </c>
      <c r="N1391">
        <v>3762.8</v>
      </c>
      <c r="O1391">
        <v>0.08</v>
      </c>
      <c r="P1391">
        <v>301.02</v>
      </c>
      <c r="Q1391">
        <v>3461.78</v>
      </c>
      <c r="R1391">
        <v>2558.6999999999998</v>
      </c>
      <c r="S1391">
        <v>903.08</v>
      </c>
    </row>
    <row r="1392" spans="1:19" x14ac:dyDescent="0.35">
      <c r="A1392">
        <v>200130</v>
      </c>
      <c r="B1392">
        <v>4628</v>
      </c>
      <c r="C1392" t="s">
        <v>19</v>
      </c>
      <c r="D1392" t="s">
        <v>31</v>
      </c>
      <c r="E1392" t="s">
        <v>34</v>
      </c>
      <c r="F1392" t="s">
        <v>40</v>
      </c>
      <c r="G1392" s="1">
        <v>45547</v>
      </c>
      <c r="H1392" s="1">
        <v>45548</v>
      </c>
      <c r="I1392" s="1">
        <v>45558</v>
      </c>
      <c r="J1392">
        <v>11</v>
      </c>
      <c r="K1392">
        <v>1</v>
      </c>
      <c r="L1392">
        <v>6</v>
      </c>
      <c r="M1392">
        <v>267.81</v>
      </c>
      <c r="N1392">
        <v>1606.86</v>
      </c>
      <c r="O1392">
        <v>0.05</v>
      </c>
      <c r="P1392">
        <v>80.34</v>
      </c>
      <c r="Q1392">
        <v>1526.52</v>
      </c>
      <c r="R1392">
        <v>1012.32</v>
      </c>
      <c r="S1392">
        <v>514.20000000000005</v>
      </c>
    </row>
    <row r="1393" spans="1:19" x14ac:dyDescent="0.35">
      <c r="A1393">
        <v>200131</v>
      </c>
      <c r="B1393">
        <v>4139</v>
      </c>
      <c r="C1393" t="s">
        <v>33</v>
      </c>
      <c r="D1393" t="s">
        <v>20</v>
      </c>
      <c r="E1393" t="s">
        <v>26</v>
      </c>
      <c r="F1393" t="s">
        <v>44</v>
      </c>
      <c r="G1393" s="1">
        <v>45368</v>
      </c>
      <c r="H1393" s="1">
        <v>45370</v>
      </c>
      <c r="I1393" s="1">
        <v>45383</v>
      </c>
      <c r="J1393">
        <v>15</v>
      </c>
      <c r="K1393">
        <v>2</v>
      </c>
      <c r="L1393">
        <v>13</v>
      </c>
      <c r="M1393">
        <v>605.5</v>
      </c>
      <c r="N1393">
        <v>7871.5</v>
      </c>
      <c r="O1393">
        <v>0.05</v>
      </c>
      <c r="P1393">
        <v>393.58</v>
      </c>
      <c r="Q1393">
        <v>7477.92</v>
      </c>
      <c r="R1393">
        <v>5116.4799999999996</v>
      </c>
      <c r="S1393">
        <v>2361.44</v>
      </c>
    </row>
    <row r="1394" spans="1:19" x14ac:dyDescent="0.35">
      <c r="A1394">
        <v>200132</v>
      </c>
      <c r="B1394">
        <v>3646</v>
      </c>
      <c r="C1394" t="s">
        <v>28</v>
      </c>
      <c r="D1394" t="s">
        <v>20</v>
      </c>
      <c r="E1394" t="s">
        <v>26</v>
      </c>
      <c r="F1394" t="s">
        <v>36</v>
      </c>
      <c r="G1394" s="1">
        <v>45339</v>
      </c>
      <c r="H1394" s="1">
        <v>45343</v>
      </c>
      <c r="I1394" s="1">
        <v>45359</v>
      </c>
      <c r="J1394">
        <v>20</v>
      </c>
      <c r="K1394">
        <v>4</v>
      </c>
      <c r="L1394">
        <v>1</v>
      </c>
      <c r="M1394">
        <v>54.01</v>
      </c>
      <c r="N1394">
        <v>54.01</v>
      </c>
      <c r="O1394">
        <v>0.04</v>
      </c>
      <c r="P1394">
        <v>2.16</v>
      </c>
      <c r="Q1394">
        <v>51.85</v>
      </c>
      <c r="R1394">
        <v>36.729999999999997</v>
      </c>
      <c r="S1394">
        <v>15.12</v>
      </c>
    </row>
    <row r="1395" spans="1:19" x14ac:dyDescent="0.35">
      <c r="A1395">
        <v>200133</v>
      </c>
      <c r="B1395">
        <v>4513</v>
      </c>
      <c r="C1395" t="s">
        <v>28</v>
      </c>
      <c r="D1395" t="s">
        <v>20</v>
      </c>
      <c r="E1395" t="s">
        <v>21</v>
      </c>
      <c r="F1395" t="s">
        <v>39</v>
      </c>
      <c r="G1395" s="1">
        <v>45450</v>
      </c>
      <c r="H1395" s="1">
        <v>45454</v>
      </c>
      <c r="I1395" s="1">
        <v>45461</v>
      </c>
      <c r="J1395">
        <v>11</v>
      </c>
      <c r="K1395">
        <v>4</v>
      </c>
      <c r="L1395">
        <v>9</v>
      </c>
      <c r="M1395">
        <v>412.09</v>
      </c>
      <c r="N1395">
        <v>3708.81</v>
      </c>
      <c r="O1395">
        <v>0.08</v>
      </c>
      <c r="P1395">
        <v>296.7</v>
      </c>
      <c r="Q1395">
        <v>3412.11</v>
      </c>
      <c r="R1395">
        <v>2447.81</v>
      </c>
      <c r="S1395">
        <v>964.3</v>
      </c>
    </row>
    <row r="1396" spans="1:19" x14ac:dyDescent="0.35">
      <c r="A1396">
        <v>200134</v>
      </c>
      <c r="B1396">
        <v>1885</v>
      </c>
      <c r="C1396" t="s">
        <v>19</v>
      </c>
      <c r="D1396" t="s">
        <v>20</v>
      </c>
      <c r="E1396" t="s">
        <v>26</v>
      </c>
      <c r="F1396" t="s">
        <v>27</v>
      </c>
      <c r="G1396" s="1">
        <v>45507</v>
      </c>
      <c r="H1396" s="1">
        <v>45509</v>
      </c>
      <c r="I1396" s="1">
        <v>45535</v>
      </c>
      <c r="J1396">
        <v>28</v>
      </c>
      <c r="K1396">
        <v>2</v>
      </c>
      <c r="L1396">
        <v>13</v>
      </c>
      <c r="M1396">
        <v>661.75</v>
      </c>
      <c r="N1396">
        <v>8602.75</v>
      </c>
      <c r="O1396">
        <v>0</v>
      </c>
      <c r="P1396">
        <v>0</v>
      </c>
      <c r="Q1396">
        <v>8602.75</v>
      </c>
      <c r="R1396">
        <v>5419.73</v>
      </c>
      <c r="S1396">
        <v>3183.02</v>
      </c>
    </row>
    <row r="1397" spans="1:19" x14ac:dyDescent="0.35">
      <c r="A1397">
        <v>200135</v>
      </c>
      <c r="B1397">
        <v>3051</v>
      </c>
      <c r="C1397" t="s">
        <v>19</v>
      </c>
      <c r="D1397" t="s">
        <v>29</v>
      </c>
      <c r="E1397" t="s">
        <v>21</v>
      </c>
      <c r="F1397" t="s">
        <v>38</v>
      </c>
      <c r="G1397" s="1">
        <v>45401</v>
      </c>
      <c r="H1397" s="1">
        <v>45404</v>
      </c>
      <c r="I1397" s="1">
        <v>45405</v>
      </c>
      <c r="J1397">
        <v>4</v>
      </c>
      <c r="K1397">
        <v>3</v>
      </c>
      <c r="L1397">
        <v>11</v>
      </c>
      <c r="M1397">
        <v>507.45</v>
      </c>
      <c r="N1397">
        <v>5581.95</v>
      </c>
      <c r="O1397">
        <v>0.09</v>
      </c>
      <c r="P1397">
        <v>502.38</v>
      </c>
      <c r="Q1397">
        <v>5079.57</v>
      </c>
      <c r="R1397">
        <v>3125.89</v>
      </c>
      <c r="S1397">
        <v>1953.68</v>
      </c>
    </row>
    <row r="1398" spans="1:19" x14ac:dyDescent="0.35">
      <c r="A1398">
        <v>200136</v>
      </c>
      <c r="B1398">
        <v>3437</v>
      </c>
      <c r="C1398" t="s">
        <v>23</v>
      </c>
      <c r="D1398" t="s">
        <v>29</v>
      </c>
      <c r="E1398" t="s">
        <v>21</v>
      </c>
      <c r="F1398" t="s">
        <v>39</v>
      </c>
      <c r="G1398" s="1">
        <v>45423</v>
      </c>
      <c r="H1398" s="1">
        <v>45427</v>
      </c>
      <c r="I1398" s="1">
        <v>45448</v>
      </c>
      <c r="J1398">
        <v>25</v>
      </c>
      <c r="K1398">
        <v>4</v>
      </c>
      <c r="L1398">
        <v>14</v>
      </c>
      <c r="M1398">
        <v>460.43</v>
      </c>
      <c r="N1398">
        <v>6446.02</v>
      </c>
      <c r="O1398">
        <v>0.08</v>
      </c>
      <c r="P1398">
        <v>515.67999999999995</v>
      </c>
      <c r="Q1398">
        <v>5930.34</v>
      </c>
      <c r="R1398">
        <v>4318.83</v>
      </c>
      <c r="S1398">
        <v>1611.51</v>
      </c>
    </row>
    <row r="1399" spans="1:19" x14ac:dyDescent="0.35">
      <c r="A1399">
        <v>200137</v>
      </c>
      <c r="B1399">
        <v>3017</v>
      </c>
      <c r="C1399" t="s">
        <v>23</v>
      </c>
      <c r="D1399" t="s">
        <v>31</v>
      </c>
      <c r="E1399" t="s">
        <v>34</v>
      </c>
      <c r="F1399" t="s">
        <v>35</v>
      </c>
      <c r="G1399" s="1">
        <v>45603</v>
      </c>
      <c r="H1399" s="1">
        <v>45606</v>
      </c>
      <c r="I1399" s="1">
        <v>45617</v>
      </c>
      <c r="J1399">
        <v>14</v>
      </c>
      <c r="K1399">
        <v>3</v>
      </c>
      <c r="L1399">
        <v>1</v>
      </c>
      <c r="M1399">
        <v>70.73</v>
      </c>
      <c r="N1399">
        <v>70.73</v>
      </c>
      <c r="O1399">
        <v>0.18</v>
      </c>
      <c r="P1399">
        <v>12.73</v>
      </c>
      <c r="Q1399">
        <v>58</v>
      </c>
      <c r="R1399">
        <v>43.85</v>
      </c>
      <c r="S1399">
        <v>14.15</v>
      </c>
    </row>
    <row r="1400" spans="1:19" x14ac:dyDescent="0.35">
      <c r="A1400">
        <v>200138</v>
      </c>
      <c r="B1400">
        <v>3173</v>
      </c>
      <c r="C1400" t="s">
        <v>33</v>
      </c>
      <c r="D1400" t="s">
        <v>31</v>
      </c>
      <c r="E1400" t="s">
        <v>24</v>
      </c>
      <c r="F1400" t="s">
        <v>25</v>
      </c>
      <c r="G1400" s="1">
        <v>45361</v>
      </c>
      <c r="H1400" s="1">
        <v>45366</v>
      </c>
      <c r="I1400" s="1">
        <v>45378</v>
      </c>
      <c r="J1400">
        <v>17</v>
      </c>
      <c r="K1400">
        <v>5</v>
      </c>
      <c r="L1400">
        <v>1</v>
      </c>
      <c r="M1400">
        <v>448.3</v>
      </c>
      <c r="N1400">
        <v>448.3</v>
      </c>
      <c r="O1400">
        <v>0.18</v>
      </c>
      <c r="P1400">
        <v>80.69</v>
      </c>
      <c r="Q1400">
        <v>367.61</v>
      </c>
      <c r="R1400">
        <v>291.39999999999998</v>
      </c>
      <c r="S1400">
        <v>76.209999999999994</v>
      </c>
    </row>
    <row r="1401" spans="1:19" x14ac:dyDescent="0.35">
      <c r="A1401">
        <v>200139</v>
      </c>
      <c r="B1401">
        <v>1929</v>
      </c>
      <c r="C1401" t="s">
        <v>23</v>
      </c>
      <c r="D1401" t="s">
        <v>29</v>
      </c>
      <c r="E1401" t="s">
        <v>26</v>
      </c>
      <c r="F1401" t="s">
        <v>36</v>
      </c>
      <c r="G1401" s="1">
        <v>45559</v>
      </c>
      <c r="H1401" s="1">
        <v>45562</v>
      </c>
      <c r="I1401" s="1">
        <v>45566</v>
      </c>
      <c r="J1401">
        <v>7</v>
      </c>
      <c r="K1401">
        <v>3</v>
      </c>
      <c r="L1401">
        <v>11</v>
      </c>
      <c r="M1401">
        <v>655.72</v>
      </c>
      <c r="N1401">
        <v>7212.92</v>
      </c>
      <c r="O1401">
        <v>0.11</v>
      </c>
      <c r="P1401">
        <v>793.42</v>
      </c>
      <c r="Q1401">
        <v>6419.5</v>
      </c>
      <c r="R1401">
        <v>4976.91</v>
      </c>
      <c r="S1401">
        <v>1442.59</v>
      </c>
    </row>
    <row r="1402" spans="1:19" x14ac:dyDescent="0.35">
      <c r="A1402">
        <v>200140</v>
      </c>
      <c r="B1402">
        <v>2579</v>
      </c>
      <c r="C1402" t="s">
        <v>33</v>
      </c>
      <c r="D1402" t="s">
        <v>31</v>
      </c>
      <c r="E1402" t="s">
        <v>24</v>
      </c>
      <c r="F1402" t="s">
        <v>42</v>
      </c>
      <c r="G1402" s="1">
        <v>45552</v>
      </c>
      <c r="H1402" s="1">
        <v>45556</v>
      </c>
      <c r="I1402" s="1">
        <v>45577</v>
      </c>
      <c r="J1402">
        <v>25</v>
      </c>
      <c r="K1402">
        <v>4</v>
      </c>
      <c r="L1402">
        <v>11</v>
      </c>
      <c r="M1402">
        <v>132.85</v>
      </c>
      <c r="N1402">
        <v>1461.35</v>
      </c>
      <c r="O1402">
        <v>0.12</v>
      </c>
      <c r="P1402">
        <v>175.36</v>
      </c>
      <c r="Q1402">
        <v>1285.99</v>
      </c>
      <c r="R1402">
        <v>920.65</v>
      </c>
      <c r="S1402">
        <v>365.34</v>
      </c>
    </row>
    <row r="1403" spans="1:19" x14ac:dyDescent="0.35">
      <c r="A1403">
        <v>200141</v>
      </c>
      <c r="B1403">
        <v>3731</v>
      </c>
      <c r="C1403" t="s">
        <v>28</v>
      </c>
      <c r="D1403" t="s">
        <v>29</v>
      </c>
      <c r="E1403" t="s">
        <v>24</v>
      </c>
      <c r="F1403" t="s">
        <v>32</v>
      </c>
      <c r="G1403" s="1">
        <v>45574</v>
      </c>
      <c r="H1403" s="1">
        <v>45578</v>
      </c>
      <c r="I1403" s="1">
        <v>45577</v>
      </c>
      <c r="J1403">
        <v>3</v>
      </c>
      <c r="K1403">
        <v>4</v>
      </c>
      <c r="L1403">
        <v>5</v>
      </c>
      <c r="M1403">
        <v>285.43</v>
      </c>
      <c r="N1403">
        <v>1427.15</v>
      </c>
      <c r="O1403">
        <v>0.14000000000000001</v>
      </c>
      <c r="P1403">
        <v>199.8</v>
      </c>
      <c r="Q1403">
        <v>1227.3499999999999</v>
      </c>
      <c r="R1403">
        <v>956.19</v>
      </c>
      <c r="S1403">
        <v>271.16000000000003</v>
      </c>
    </row>
    <row r="1404" spans="1:19" x14ac:dyDescent="0.35">
      <c r="A1404">
        <v>200142</v>
      </c>
      <c r="B1404">
        <v>4388</v>
      </c>
      <c r="C1404" t="s">
        <v>19</v>
      </c>
      <c r="D1404" t="s">
        <v>20</v>
      </c>
      <c r="E1404" t="s">
        <v>21</v>
      </c>
      <c r="F1404" t="s">
        <v>22</v>
      </c>
      <c r="G1404" s="1">
        <v>45305</v>
      </c>
      <c r="H1404" s="1">
        <v>45309</v>
      </c>
      <c r="I1404" s="1">
        <v>45310</v>
      </c>
      <c r="J1404">
        <v>5</v>
      </c>
      <c r="K1404">
        <v>4</v>
      </c>
      <c r="L1404">
        <v>5</v>
      </c>
      <c r="M1404">
        <v>462.17</v>
      </c>
      <c r="N1404">
        <v>2310.85</v>
      </c>
      <c r="O1404">
        <v>0.18</v>
      </c>
      <c r="P1404">
        <v>415.95</v>
      </c>
      <c r="Q1404">
        <v>1894.9</v>
      </c>
      <c r="R1404">
        <v>1363.4</v>
      </c>
      <c r="S1404">
        <v>531.5</v>
      </c>
    </row>
    <row r="1405" spans="1:19" x14ac:dyDescent="0.35">
      <c r="A1405">
        <v>200143</v>
      </c>
      <c r="B1405">
        <v>1745</v>
      </c>
      <c r="C1405" t="s">
        <v>23</v>
      </c>
      <c r="D1405" t="s">
        <v>29</v>
      </c>
      <c r="E1405" t="s">
        <v>21</v>
      </c>
      <c r="F1405" t="s">
        <v>39</v>
      </c>
      <c r="G1405" s="1">
        <v>45552</v>
      </c>
      <c r="H1405" s="1">
        <v>45554</v>
      </c>
      <c r="I1405" s="1">
        <v>45580</v>
      </c>
      <c r="J1405">
        <v>28</v>
      </c>
      <c r="K1405">
        <v>2</v>
      </c>
      <c r="L1405">
        <v>1</v>
      </c>
      <c r="M1405">
        <v>56.75</v>
      </c>
      <c r="N1405">
        <v>56.75</v>
      </c>
      <c r="O1405">
        <v>0.13</v>
      </c>
      <c r="P1405">
        <v>7.38</v>
      </c>
      <c r="Q1405">
        <v>49.37</v>
      </c>
      <c r="R1405">
        <v>32.92</v>
      </c>
      <c r="S1405">
        <v>16.45</v>
      </c>
    </row>
    <row r="1406" spans="1:19" x14ac:dyDescent="0.35">
      <c r="A1406">
        <v>200144</v>
      </c>
      <c r="B1406">
        <v>4904</v>
      </c>
      <c r="C1406" t="s">
        <v>19</v>
      </c>
      <c r="D1406" t="s">
        <v>31</v>
      </c>
      <c r="E1406" t="s">
        <v>24</v>
      </c>
      <c r="F1406" t="s">
        <v>30</v>
      </c>
      <c r="G1406" s="1">
        <v>45523</v>
      </c>
      <c r="H1406" s="1">
        <v>45527</v>
      </c>
      <c r="I1406" s="1">
        <v>45537</v>
      </c>
      <c r="J1406">
        <v>14</v>
      </c>
      <c r="K1406">
        <v>4</v>
      </c>
      <c r="L1406">
        <v>10</v>
      </c>
      <c r="M1406">
        <v>299.56</v>
      </c>
      <c r="N1406">
        <v>2995.6</v>
      </c>
      <c r="O1406">
        <v>0.05</v>
      </c>
      <c r="P1406">
        <v>149.78</v>
      </c>
      <c r="Q1406">
        <v>2845.82</v>
      </c>
      <c r="R1406">
        <v>1917.18</v>
      </c>
      <c r="S1406">
        <v>928.64</v>
      </c>
    </row>
    <row r="1407" spans="1:19" x14ac:dyDescent="0.35">
      <c r="A1407">
        <v>200145</v>
      </c>
      <c r="B1407">
        <v>1985</v>
      </c>
      <c r="C1407" t="s">
        <v>33</v>
      </c>
      <c r="D1407" t="s">
        <v>20</v>
      </c>
      <c r="E1407" t="s">
        <v>24</v>
      </c>
      <c r="F1407" t="s">
        <v>25</v>
      </c>
      <c r="G1407" s="1">
        <v>45461</v>
      </c>
      <c r="H1407" s="1">
        <v>45465</v>
      </c>
      <c r="I1407" s="1">
        <v>45480</v>
      </c>
      <c r="J1407">
        <v>19</v>
      </c>
      <c r="K1407">
        <v>4</v>
      </c>
      <c r="L1407">
        <v>3</v>
      </c>
      <c r="M1407">
        <v>326.8</v>
      </c>
      <c r="N1407">
        <v>980.4</v>
      </c>
      <c r="O1407">
        <v>0.11</v>
      </c>
      <c r="P1407">
        <v>107.84</v>
      </c>
      <c r="Q1407">
        <v>872.56</v>
      </c>
      <c r="R1407">
        <v>617.65</v>
      </c>
      <c r="S1407">
        <v>254.91</v>
      </c>
    </row>
    <row r="1408" spans="1:19" x14ac:dyDescent="0.35">
      <c r="A1408">
        <v>200146</v>
      </c>
      <c r="B1408">
        <v>4303</v>
      </c>
      <c r="C1408" t="s">
        <v>23</v>
      </c>
      <c r="D1408" t="s">
        <v>31</v>
      </c>
      <c r="E1408" t="s">
        <v>21</v>
      </c>
      <c r="F1408" t="s">
        <v>39</v>
      </c>
      <c r="G1408" s="1">
        <v>45326</v>
      </c>
      <c r="H1408" s="1">
        <v>45331</v>
      </c>
      <c r="I1408" s="1">
        <v>45339</v>
      </c>
      <c r="J1408">
        <v>13</v>
      </c>
      <c r="K1408">
        <v>5</v>
      </c>
      <c r="L1408">
        <v>8</v>
      </c>
      <c r="M1408">
        <v>539.07000000000005</v>
      </c>
      <c r="N1408">
        <v>4312.5600000000004</v>
      </c>
      <c r="O1408">
        <v>0.13</v>
      </c>
      <c r="P1408">
        <v>560.63</v>
      </c>
      <c r="Q1408">
        <v>3751.93</v>
      </c>
      <c r="R1408">
        <v>2846.29</v>
      </c>
      <c r="S1408">
        <v>905.64</v>
      </c>
    </row>
    <row r="1409" spans="1:19" x14ac:dyDescent="0.35">
      <c r="A1409">
        <v>200147</v>
      </c>
      <c r="B1409">
        <v>4266</v>
      </c>
      <c r="C1409" t="s">
        <v>23</v>
      </c>
      <c r="D1409" t="s">
        <v>29</v>
      </c>
      <c r="E1409" t="s">
        <v>21</v>
      </c>
      <c r="F1409" t="s">
        <v>38</v>
      </c>
      <c r="G1409" s="1">
        <v>45550</v>
      </c>
      <c r="H1409" s="1">
        <v>45551</v>
      </c>
      <c r="I1409" s="1">
        <v>45566</v>
      </c>
      <c r="J1409">
        <v>16</v>
      </c>
      <c r="K1409">
        <v>1</v>
      </c>
      <c r="L1409">
        <v>2</v>
      </c>
      <c r="M1409">
        <v>449.61</v>
      </c>
      <c r="N1409">
        <v>899.22</v>
      </c>
      <c r="O1409">
        <v>0.03</v>
      </c>
      <c r="P1409">
        <v>26.98</v>
      </c>
      <c r="Q1409">
        <v>872.24</v>
      </c>
      <c r="R1409">
        <v>602.48</v>
      </c>
      <c r="S1409">
        <v>269.76</v>
      </c>
    </row>
    <row r="1410" spans="1:19" x14ac:dyDescent="0.35">
      <c r="A1410">
        <v>200148</v>
      </c>
      <c r="B1410">
        <v>2520</v>
      </c>
      <c r="C1410" t="s">
        <v>23</v>
      </c>
      <c r="D1410" t="s">
        <v>31</v>
      </c>
      <c r="E1410" t="s">
        <v>26</v>
      </c>
      <c r="F1410" t="s">
        <v>37</v>
      </c>
      <c r="G1410" s="1">
        <v>45447</v>
      </c>
      <c r="H1410" s="1">
        <v>45448</v>
      </c>
      <c r="I1410" s="1">
        <v>45468</v>
      </c>
      <c r="J1410">
        <v>21</v>
      </c>
      <c r="K1410">
        <v>1</v>
      </c>
      <c r="L1410">
        <v>2</v>
      </c>
      <c r="M1410">
        <v>764.16</v>
      </c>
      <c r="N1410">
        <v>1528.32</v>
      </c>
      <c r="O1410">
        <v>0.08</v>
      </c>
      <c r="P1410">
        <v>122.27</v>
      </c>
      <c r="Q1410">
        <v>1406.05</v>
      </c>
      <c r="R1410">
        <v>1054.54</v>
      </c>
      <c r="S1410">
        <v>351.51</v>
      </c>
    </row>
    <row r="1411" spans="1:19" x14ac:dyDescent="0.35">
      <c r="A1411">
        <v>200149</v>
      </c>
      <c r="B1411">
        <v>4269</v>
      </c>
      <c r="C1411" t="s">
        <v>19</v>
      </c>
      <c r="D1411" t="s">
        <v>29</v>
      </c>
      <c r="E1411" t="s">
        <v>21</v>
      </c>
      <c r="F1411" t="s">
        <v>22</v>
      </c>
      <c r="G1411" s="1">
        <v>45338</v>
      </c>
      <c r="H1411" s="1">
        <v>45339</v>
      </c>
      <c r="I1411" s="1">
        <v>45342</v>
      </c>
      <c r="J1411">
        <v>4</v>
      </c>
      <c r="K1411">
        <v>1</v>
      </c>
      <c r="L1411">
        <v>11</v>
      </c>
      <c r="M1411">
        <v>542.08000000000004</v>
      </c>
      <c r="N1411">
        <v>5962.88</v>
      </c>
      <c r="O1411">
        <v>0.14000000000000001</v>
      </c>
      <c r="P1411">
        <v>834.8</v>
      </c>
      <c r="Q1411">
        <v>5128.08</v>
      </c>
      <c r="R1411">
        <v>3637.36</v>
      </c>
      <c r="S1411">
        <v>1490.72</v>
      </c>
    </row>
    <row r="1412" spans="1:19" x14ac:dyDescent="0.35">
      <c r="A1412">
        <v>200150</v>
      </c>
      <c r="B1412">
        <v>3890</v>
      </c>
      <c r="C1412" t="s">
        <v>19</v>
      </c>
      <c r="D1412" t="s">
        <v>29</v>
      </c>
      <c r="E1412" t="s">
        <v>21</v>
      </c>
      <c r="F1412" t="s">
        <v>22</v>
      </c>
      <c r="G1412" s="1">
        <v>45536</v>
      </c>
      <c r="H1412" s="1">
        <v>45538</v>
      </c>
      <c r="I1412" s="1">
        <v>45562</v>
      </c>
      <c r="J1412">
        <v>26</v>
      </c>
      <c r="K1412">
        <v>2</v>
      </c>
      <c r="L1412">
        <v>9</v>
      </c>
      <c r="M1412">
        <v>473.97</v>
      </c>
      <c r="N1412">
        <v>4265.7299999999996</v>
      </c>
      <c r="O1412">
        <v>0.14000000000000001</v>
      </c>
      <c r="P1412">
        <v>597.20000000000005</v>
      </c>
      <c r="Q1412">
        <v>3668.53</v>
      </c>
      <c r="R1412">
        <v>2900.7</v>
      </c>
      <c r="S1412">
        <v>767.83</v>
      </c>
    </row>
    <row r="1413" spans="1:19" x14ac:dyDescent="0.35">
      <c r="A1413">
        <v>200151</v>
      </c>
      <c r="B1413">
        <v>3154</v>
      </c>
      <c r="C1413" t="s">
        <v>33</v>
      </c>
      <c r="D1413" t="s">
        <v>31</v>
      </c>
      <c r="E1413" t="s">
        <v>24</v>
      </c>
      <c r="F1413" t="s">
        <v>25</v>
      </c>
      <c r="G1413" s="1">
        <v>45466</v>
      </c>
      <c r="H1413" s="1">
        <v>45471</v>
      </c>
      <c r="I1413" s="1">
        <v>45471</v>
      </c>
      <c r="J1413">
        <v>5</v>
      </c>
      <c r="K1413">
        <v>5</v>
      </c>
      <c r="L1413">
        <v>14</v>
      </c>
      <c r="M1413">
        <v>151.44</v>
      </c>
      <c r="N1413">
        <v>2120.16</v>
      </c>
      <c r="O1413">
        <v>0.13</v>
      </c>
      <c r="P1413">
        <v>275.62</v>
      </c>
      <c r="Q1413">
        <v>1844.54</v>
      </c>
      <c r="R1413">
        <v>1229.69</v>
      </c>
      <c r="S1413">
        <v>614.85</v>
      </c>
    </row>
    <row r="1414" spans="1:19" x14ac:dyDescent="0.35">
      <c r="A1414">
        <v>200152</v>
      </c>
      <c r="B1414">
        <v>1834</v>
      </c>
      <c r="C1414" t="s">
        <v>28</v>
      </c>
      <c r="D1414" t="s">
        <v>20</v>
      </c>
      <c r="E1414" t="s">
        <v>26</v>
      </c>
      <c r="F1414" t="s">
        <v>27</v>
      </c>
      <c r="G1414" s="1">
        <v>45507</v>
      </c>
      <c r="H1414" s="1">
        <v>45509</v>
      </c>
      <c r="I1414" s="1">
        <v>45509</v>
      </c>
      <c r="J1414">
        <v>2</v>
      </c>
      <c r="K1414">
        <v>2</v>
      </c>
      <c r="L1414">
        <v>1</v>
      </c>
      <c r="M1414">
        <v>349.38</v>
      </c>
      <c r="N1414">
        <v>349.38</v>
      </c>
      <c r="O1414">
        <v>0</v>
      </c>
      <c r="P1414">
        <v>0</v>
      </c>
      <c r="Q1414">
        <v>349.38</v>
      </c>
      <c r="R1414">
        <v>206.13</v>
      </c>
      <c r="S1414">
        <v>143.25</v>
      </c>
    </row>
    <row r="1415" spans="1:19" x14ac:dyDescent="0.35">
      <c r="A1415">
        <v>200153</v>
      </c>
      <c r="B1415">
        <v>1399</v>
      </c>
      <c r="C1415" t="s">
        <v>33</v>
      </c>
      <c r="D1415" t="s">
        <v>29</v>
      </c>
      <c r="E1415" t="s">
        <v>24</v>
      </c>
      <c r="F1415" t="s">
        <v>32</v>
      </c>
      <c r="G1415" s="1">
        <v>45367</v>
      </c>
      <c r="H1415" s="1">
        <v>45372</v>
      </c>
      <c r="I1415" s="1">
        <v>45380</v>
      </c>
      <c r="J1415">
        <v>13</v>
      </c>
      <c r="K1415">
        <v>5</v>
      </c>
      <c r="L1415">
        <v>8</v>
      </c>
      <c r="M1415">
        <v>301.08</v>
      </c>
      <c r="N1415">
        <v>2408.64</v>
      </c>
      <c r="O1415">
        <v>0</v>
      </c>
      <c r="P1415">
        <v>0</v>
      </c>
      <c r="Q1415">
        <v>2408.64</v>
      </c>
      <c r="R1415">
        <v>1782.39</v>
      </c>
      <c r="S1415">
        <v>626.25</v>
      </c>
    </row>
    <row r="1416" spans="1:19" x14ac:dyDescent="0.35">
      <c r="A1416">
        <v>200154</v>
      </c>
      <c r="B1416">
        <v>3570</v>
      </c>
      <c r="C1416" t="s">
        <v>28</v>
      </c>
      <c r="D1416" t="s">
        <v>31</v>
      </c>
      <c r="E1416" t="s">
        <v>26</v>
      </c>
      <c r="F1416" t="s">
        <v>36</v>
      </c>
      <c r="G1416" s="1">
        <v>45517</v>
      </c>
      <c r="H1416" s="1">
        <v>45519</v>
      </c>
      <c r="I1416" s="1">
        <v>45526</v>
      </c>
      <c r="J1416">
        <v>9</v>
      </c>
      <c r="K1416">
        <v>2</v>
      </c>
      <c r="L1416">
        <v>13</v>
      </c>
      <c r="M1416">
        <v>601.74</v>
      </c>
      <c r="N1416">
        <v>7822.62</v>
      </c>
      <c r="O1416">
        <v>0.02</v>
      </c>
      <c r="P1416">
        <v>156.44999999999999</v>
      </c>
      <c r="Q1416">
        <v>7666.17</v>
      </c>
      <c r="R1416">
        <v>4850.0200000000004</v>
      </c>
      <c r="S1416">
        <v>2816.15</v>
      </c>
    </row>
    <row r="1417" spans="1:19" x14ac:dyDescent="0.35">
      <c r="A1417">
        <v>200155</v>
      </c>
      <c r="B1417">
        <v>2667</v>
      </c>
      <c r="C1417" t="s">
        <v>28</v>
      </c>
      <c r="D1417" t="s">
        <v>29</v>
      </c>
      <c r="E1417" t="s">
        <v>24</v>
      </c>
      <c r="F1417" t="s">
        <v>25</v>
      </c>
      <c r="G1417" s="1">
        <v>45399</v>
      </c>
      <c r="H1417" s="1">
        <v>45401</v>
      </c>
      <c r="I1417" s="1">
        <v>45415</v>
      </c>
      <c r="J1417">
        <v>16</v>
      </c>
      <c r="K1417">
        <v>2</v>
      </c>
      <c r="L1417">
        <v>1</v>
      </c>
      <c r="M1417">
        <v>745.96</v>
      </c>
      <c r="N1417">
        <v>745.96</v>
      </c>
      <c r="O1417">
        <v>0.21</v>
      </c>
      <c r="P1417">
        <v>156.65</v>
      </c>
      <c r="Q1417">
        <v>589.30999999999995</v>
      </c>
      <c r="R1417">
        <v>410.28</v>
      </c>
      <c r="S1417">
        <v>179.03</v>
      </c>
    </row>
    <row r="1418" spans="1:19" x14ac:dyDescent="0.35">
      <c r="A1418">
        <v>200156</v>
      </c>
      <c r="B1418">
        <v>2748</v>
      </c>
      <c r="C1418" t="s">
        <v>19</v>
      </c>
      <c r="D1418" t="s">
        <v>20</v>
      </c>
      <c r="E1418" t="s">
        <v>34</v>
      </c>
      <c r="F1418" t="s">
        <v>40</v>
      </c>
      <c r="G1418" s="1">
        <v>45472</v>
      </c>
      <c r="H1418" s="1">
        <v>45476</v>
      </c>
      <c r="I1418" s="1">
        <v>45490</v>
      </c>
      <c r="J1418">
        <v>18</v>
      </c>
      <c r="K1418">
        <v>4</v>
      </c>
      <c r="L1418">
        <v>3</v>
      </c>
      <c r="M1418">
        <v>478.75</v>
      </c>
      <c r="N1418">
        <v>1436.25</v>
      </c>
      <c r="O1418">
        <v>7.0000000000000007E-2</v>
      </c>
      <c r="P1418">
        <v>100.54</v>
      </c>
      <c r="Q1418">
        <v>1335.71</v>
      </c>
      <c r="R1418">
        <v>789.94</v>
      </c>
      <c r="S1418">
        <v>545.77</v>
      </c>
    </row>
    <row r="1419" spans="1:19" x14ac:dyDescent="0.35">
      <c r="A1419">
        <v>200157</v>
      </c>
      <c r="B1419">
        <v>2359</v>
      </c>
      <c r="C1419" t="s">
        <v>23</v>
      </c>
      <c r="D1419" t="s">
        <v>20</v>
      </c>
      <c r="E1419" t="s">
        <v>21</v>
      </c>
      <c r="F1419" t="s">
        <v>41</v>
      </c>
      <c r="G1419" s="1">
        <v>45332</v>
      </c>
      <c r="H1419" s="1">
        <v>45337</v>
      </c>
      <c r="I1419" s="1">
        <v>45339</v>
      </c>
      <c r="J1419">
        <v>7</v>
      </c>
      <c r="K1419">
        <v>5</v>
      </c>
      <c r="L1419">
        <v>3</v>
      </c>
      <c r="M1419">
        <v>327.44</v>
      </c>
      <c r="N1419">
        <v>982.32</v>
      </c>
      <c r="O1419">
        <v>0.16</v>
      </c>
      <c r="P1419">
        <v>157.16999999999999</v>
      </c>
      <c r="Q1419">
        <v>825.15</v>
      </c>
      <c r="R1419">
        <v>599.22</v>
      </c>
      <c r="S1419">
        <v>225.93</v>
      </c>
    </row>
    <row r="1420" spans="1:19" x14ac:dyDescent="0.35">
      <c r="A1420">
        <v>200158</v>
      </c>
      <c r="B1420">
        <v>2442</v>
      </c>
      <c r="C1420" t="s">
        <v>23</v>
      </c>
      <c r="D1420" t="s">
        <v>29</v>
      </c>
      <c r="E1420" t="s">
        <v>34</v>
      </c>
      <c r="F1420" t="s">
        <v>35</v>
      </c>
      <c r="G1420" s="1">
        <v>45471</v>
      </c>
      <c r="H1420" s="1">
        <v>45472</v>
      </c>
      <c r="I1420" s="1">
        <v>45492</v>
      </c>
      <c r="J1420">
        <v>21</v>
      </c>
      <c r="K1420">
        <v>1</v>
      </c>
      <c r="L1420">
        <v>9</v>
      </c>
      <c r="M1420">
        <v>208.24</v>
      </c>
      <c r="N1420">
        <v>1874.16</v>
      </c>
      <c r="O1420">
        <v>0.03</v>
      </c>
      <c r="P1420">
        <v>56.22</v>
      </c>
      <c r="Q1420">
        <v>1817.94</v>
      </c>
      <c r="R1420">
        <v>1087.01</v>
      </c>
      <c r="S1420">
        <v>730.93</v>
      </c>
    </row>
    <row r="1421" spans="1:19" x14ac:dyDescent="0.35">
      <c r="A1421">
        <v>200159</v>
      </c>
      <c r="B1421">
        <v>1665</v>
      </c>
      <c r="C1421" t="s">
        <v>23</v>
      </c>
      <c r="D1421" t="s">
        <v>31</v>
      </c>
      <c r="E1421" t="s">
        <v>24</v>
      </c>
      <c r="F1421" t="s">
        <v>32</v>
      </c>
      <c r="G1421" s="1">
        <v>45472</v>
      </c>
      <c r="H1421" s="1">
        <v>45476</v>
      </c>
      <c r="I1421" s="1">
        <v>45476</v>
      </c>
      <c r="J1421">
        <v>4</v>
      </c>
      <c r="K1421">
        <v>4</v>
      </c>
      <c r="L1421">
        <v>9</v>
      </c>
      <c r="M1421">
        <v>788.2</v>
      </c>
      <c r="N1421">
        <v>7093.8</v>
      </c>
      <c r="O1421">
        <v>0.03</v>
      </c>
      <c r="P1421">
        <v>212.81</v>
      </c>
      <c r="Q1421">
        <v>6880.99</v>
      </c>
      <c r="R1421">
        <v>4398.16</v>
      </c>
      <c r="S1421">
        <v>2482.83</v>
      </c>
    </row>
    <row r="1422" spans="1:19" x14ac:dyDescent="0.35">
      <c r="A1422">
        <v>200160</v>
      </c>
      <c r="B1422">
        <v>2477</v>
      </c>
      <c r="C1422" t="s">
        <v>33</v>
      </c>
      <c r="D1422" t="s">
        <v>20</v>
      </c>
      <c r="E1422" t="s">
        <v>24</v>
      </c>
      <c r="F1422" t="s">
        <v>42</v>
      </c>
      <c r="G1422" s="1">
        <v>45374</v>
      </c>
      <c r="H1422" s="1">
        <v>45378</v>
      </c>
      <c r="I1422" s="1">
        <v>45380</v>
      </c>
      <c r="J1422">
        <v>6</v>
      </c>
      <c r="K1422">
        <v>4</v>
      </c>
      <c r="L1422">
        <v>7</v>
      </c>
      <c r="M1422">
        <v>184.61</v>
      </c>
      <c r="N1422">
        <v>1292.27</v>
      </c>
      <c r="O1422">
        <v>0.14000000000000001</v>
      </c>
      <c r="P1422">
        <v>180.92</v>
      </c>
      <c r="Q1422">
        <v>1111.3499999999999</v>
      </c>
      <c r="R1422">
        <v>788.28</v>
      </c>
      <c r="S1422">
        <v>323.07</v>
      </c>
    </row>
    <row r="1423" spans="1:19" x14ac:dyDescent="0.35">
      <c r="A1423">
        <v>200161</v>
      </c>
      <c r="B1423">
        <v>1941</v>
      </c>
      <c r="C1423" t="s">
        <v>23</v>
      </c>
      <c r="D1423" t="s">
        <v>29</v>
      </c>
      <c r="E1423" t="s">
        <v>26</v>
      </c>
      <c r="F1423" t="s">
        <v>44</v>
      </c>
      <c r="G1423" s="1">
        <v>45508</v>
      </c>
      <c r="H1423" s="1">
        <v>45510</v>
      </c>
      <c r="I1423" s="1">
        <v>45536</v>
      </c>
      <c r="J1423">
        <v>28</v>
      </c>
      <c r="K1423">
        <v>2</v>
      </c>
      <c r="L1423">
        <v>11</v>
      </c>
      <c r="M1423">
        <v>787.37</v>
      </c>
      <c r="N1423">
        <v>8661.07</v>
      </c>
      <c r="O1423">
        <v>0.09</v>
      </c>
      <c r="P1423">
        <v>779.5</v>
      </c>
      <c r="Q1423">
        <v>7881.57</v>
      </c>
      <c r="R1423">
        <v>5456.47</v>
      </c>
      <c r="S1423">
        <v>2425.1</v>
      </c>
    </row>
    <row r="1424" spans="1:19" x14ac:dyDescent="0.35">
      <c r="A1424">
        <v>200162</v>
      </c>
      <c r="B1424">
        <v>1716</v>
      </c>
      <c r="C1424" t="s">
        <v>23</v>
      </c>
      <c r="D1424" t="s">
        <v>20</v>
      </c>
      <c r="E1424" t="s">
        <v>34</v>
      </c>
      <c r="F1424" t="s">
        <v>45</v>
      </c>
      <c r="G1424" s="1">
        <v>45321</v>
      </c>
      <c r="H1424" s="1">
        <v>45323</v>
      </c>
      <c r="I1424" s="1">
        <v>45334</v>
      </c>
      <c r="J1424">
        <v>13</v>
      </c>
      <c r="K1424">
        <v>2</v>
      </c>
      <c r="L1424">
        <v>7</v>
      </c>
      <c r="M1424">
        <v>175.88</v>
      </c>
      <c r="N1424">
        <v>1231.1600000000001</v>
      </c>
      <c r="O1424">
        <v>0.05</v>
      </c>
      <c r="P1424">
        <v>61.56</v>
      </c>
      <c r="Q1424">
        <v>1169.5999999999999</v>
      </c>
      <c r="R1424">
        <v>714.07</v>
      </c>
      <c r="S1424">
        <v>455.53</v>
      </c>
    </row>
    <row r="1425" spans="1:19" x14ac:dyDescent="0.35">
      <c r="A1425">
        <v>200163</v>
      </c>
      <c r="B1425">
        <v>2329</v>
      </c>
      <c r="C1425" t="s">
        <v>33</v>
      </c>
      <c r="D1425" t="s">
        <v>29</v>
      </c>
      <c r="E1425" t="s">
        <v>24</v>
      </c>
      <c r="F1425" t="s">
        <v>42</v>
      </c>
      <c r="G1425" s="1">
        <v>45308</v>
      </c>
      <c r="H1425" s="1">
        <v>45312</v>
      </c>
      <c r="I1425" s="1">
        <v>45326</v>
      </c>
      <c r="J1425">
        <v>18</v>
      </c>
      <c r="K1425">
        <v>4</v>
      </c>
      <c r="L1425">
        <v>5</v>
      </c>
      <c r="M1425">
        <v>67.14</v>
      </c>
      <c r="N1425">
        <v>335.7</v>
      </c>
      <c r="O1425">
        <v>0.09</v>
      </c>
      <c r="P1425">
        <v>30.21</v>
      </c>
      <c r="Q1425">
        <v>305.49</v>
      </c>
      <c r="R1425">
        <v>198.06</v>
      </c>
      <c r="S1425">
        <v>107.43</v>
      </c>
    </row>
    <row r="1426" spans="1:19" x14ac:dyDescent="0.35">
      <c r="A1426">
        <v>200164</v>
      </c>
      <c r="B1426">
        <v>4828</v>
      </c>
      <c r="C1426" t="s">
        <v>33</v>
      </c>
      <c r="D1426" t="s">
        <v>31</v>
      </c>
      <c r="E1426" t="s">
        <v>26</v>
      </c>
      <c r="F1426" t="s">
        <v>44</v>
      </c>
      <c r="G1426" s="1">
        <v>45654</v>
      </c>
      <c r="H1426" s="1">
        <v>45655</v>
      </c>
      <c r="I1426" s="1">
        <v>45661</v>
      </c>
      <c r="J1426">
        <v>7</v>
      </c>
      <c r="K1426">
        <v>1</v>
      </c>
      <c r="L1426">
        <v>5</v>
      </c>
      <c r="M1426">
        <v>521.74</v>
      </c>
      <c r="N1426">
        <v>2608.6999999999998</v>
      </c>
      <c r="O1426">
        <v>0.1</v>
      </c>
      <c r="P1426">
        <v>260.87</v>
      </c>
      <c r="Q1426">
        <v>2347.83</v>
      </c>
      <c r="R1426">
        <v>1591.31</v>
      </c>
      <c r="S1426">
        <v>756.52</v>
      </c>
    </row>
    <row r="1427" spans="1:19" x14ac:dyDescent="0.35">
      <c r="A1427">
        <v>200165</v>
      </c>
      <c r="B1427">
        <v>3931</v>
      </c>
      <c r="C1427" t="s">
        <v>23</v>
      </c>
      <c r="D1427" t="s">
        <v>29</v>
      </c>
      <c r="E1427" t="s">
        <v>24</v>
      </c>
      <c r="F1427" t="s">
        <v>42</v>
      </c>
      <c r="G1427" s="1">
        <v>45553</v>
      </c>
      <c r="H1427" s="1">
        <v>45555</v>
      </c>
      <c r="I1427" s="1">
        <v>45565</v>
      </c>
      <c r="J1427">
        <v>12</v>
      </c>
      <c r="K1427">
        <v>2</v>
      </c>
      <c r="L1427">
        <v>6</v>
      </c>
      <c r="M1427">
        <v>334.67</v>
      </c>
      <c r="N1427">
        <v>2008.02</v>
      </c>
      <c r="O1427">
        <v>0.15</v>
      </c>
      <c r="P1427">
        <v>301.2</v>
      </c>
      <c r="Q1427">
        <v>1706.82</v>
      </c>
      <c r="R1427">
        <v>1024.0899999999999</v>
      </c>
      <c r="S1427">
        <v>682.73</v>
      </c>
    </row>
    <row r="1428" spans="1:19" x14ac:dyDescent="0.35">
      <c r="A1428">
        <v>200166</v>
      </c>
      <c r="B1428">
        <v>1978</v>
      </c>
      <c r="C1428" t="s">
        <v>19</v>
      </c>
      <c r="D1428" t="s">
        <v>29</v>
      </c>
      <c r="E1428" t="s">
        <v>21</v>
      </c>
      <c r="F1428" t="s">
        <v>22</v>
      </c>
      <c r="G1428" s="1">
        <v>45606</v>
      </c>
      <c r="H1428" s="1">
        <v>45607</v>
      </c>
      <c r="I1428" s="1">
        <v>45620</v>
      </c>
      <c r="J1428">
        <v>14</v>
      </c>
      <c r="K1428">
        <v>1</v>
      </c>
      <c r="L1428">
        <v>11</v>
      </c>
      <c r="M1428">
        <v>495.43</v>
      </c>
      <c r="N1428">
        <v>5449.73</v>
      </c>
      <c r="O1428">
        <v>0.16</v>
      </c>
      <c r="P1428">
        <v>871.96</v>
      </c>
      <c r="Q1428">
        <v>4577.7700000000004</v>
      </c>
      <c r="R1428">
        <v>3160.84</v>
      </c>
      <c r="S1428">
        <v>1416.93</v>
      </c>
    </row>
    <row r="1429" spans="1:19" x14ac:dyDescent="0.35">
      <c r="A1429">
        <v>200167</v>
      </c>
      <c r="B1429">
        <v>1854</v>
      </c>
      <c r="C1429" t="s">
        <v>33</v>
      </c>
      <c r="D1429" t="s">
        <v>20</v>
      </c>
      <c r="E1429" t="s">
        <v>26</v>
      </c>
      <c r="F1429" t="s">
        <v>36</v>
      </c>
      <c r="G1429" s="1">
        <v>45518</v>
      </c>
      <c r="H1429" s="1">
        <v>45522</v>
      </c>
      <c r="I1429" s="1">
        <v>45526</v>
      </c>
      <c r="J1429">
        <v>8</v>
      </c>
      <c r="K1429">
        <v>4</v>
      </c>
      <c r="L1429">
        <v>12</v>
      </c>
      <c r="M1429">
        <v>222.38</v>
      </c>
      <c r="N1429">
        <v>2668.56</v>
      </c>
      <c r="O1429">
        <v>7.0000000000000007E-2</v>
      </c>
      <c r="P1429">
        <v>186.8</v>
      </c>
      <c r="Q1429">
        <v>2481.7600000000002</v>
      </c>
      <c r="R1429">
        <v>1867.99</v>
      </c>
      <c r="S1429">
        <v>613.77</v>
      </c>
    </row>
    <row r="1430" spans="1:19" x14ac:dyDescent="0.35">
      <c r="A1430">
        <v>200168</v>
      </c>
      <c r="B1430">
        <v>2620</v>
      </c>
      <c r="C1430" t="s">
        <v>28</v>
      </c>
      <c r="D1430" t="s">
        <v>20</v>
      </c>
      <c r="E1430" t="s">
        <v>24</v>
      </c>
      <c r="F1430" t="s">
        <v>30</v>
      </c>
      <c r="G1430" s="1">
        <v>45395</v>
      </c>
      <c r="H1430" s="1">
        <v>45399</v>
      </c>
      <c r="I1430" s="1">
        <v>45419</v>
      </c>
      <c r="J1430">
        <v>24</v>
      </c>
      <c r="K1430">
        <v>4</v>
      </c>
      <c r="L1430">
        <v>1</v>
      </c>
      <c r="M1430">
        <v>653.29999999999995</v>
      </c>
      <c r="N1430">
        <v>653.29999999999995</v>
      </c>
      <c r="O1430">
        <v>0.11</v>
      </c>
      <c r="P1430">
        <v>71.86</v>
      </c>
      <c r="Q1430">
        <v>581.44000000000005</v>
      </c>
      <c r="R1430">
        <v>424.64</v>
      </c>
      <c r="S1430">
        <v>156.80000000000001</v>
      </c>
    </row>
    <row r="1431" spans="1:19" x14ac:dyDescent="0.35">
      <c r="A1431">
        <v>200169</v>
      </c>
      <c r="B1431">
        <v>4406</v>
      </c>
      <c r="C1431" t="s">
        <v>28</v>
      </c>
      <c r="D1431" t="s">
        <v>31</v>
      </c>
      <c r="E1431" t="s">
        <v>21</v>
      </c>
      <c r="F1431" t="s">
        <v>39</v>
      </c>
      <c r="G1431" s="1">
        <v>45494</v>
      </c>
      <c r="H1431" s="1">
        <v>45499</v>
      </c>
      <c r="I1431" s="1">
        <v>45511</v>
      </c>
      <c r="J1431">
        <v>17</v>
      </c>
      <c r="K1431">
        <v>5</v>
      </c>
      <c r="L1431">
        <v>3</v>
      </c>
      <c r="M1431">
        <v>56.21</v>
      </c>
      <c r="N1431">
        <v>168.63</v>
      </c>
      <c r="O1431">
        <v>0.12</v>
      </c>
      <c r="P1431">
        <v>20.239999999999998</v>
      </c>
      <c r="Q1431">
        <v>148.38999999999999</v>
      </c>
      <c r="R1431">
        <v>106.24</v>
      </c>
      <c r="S1431">
        <v>42.15</v>
      </c>
    </row>
    <row r="1432" spans="1:19" x14ac:dyDescent="0.35">
      <c r="A1432">
        <v>200170</v>
      </c>
      <c r="B1432">
        <v>2157</v>
      </c>
      <c r="C1432" t="s">
        <v>19</v>
      </c>
      <c r="D1432" t="s">
        <v>31</v>
      </c>
      <c r="E1432" t="s">
        <v>21</v>
      </c>
      <c r="F1432" t="s">
        <v>41</v>
      </c>
      <c r="G1432" s="1">
        <v>45564</v>
      </c>
      <c r="H1432" s="1">
        <v>45565</v>
      </c>
      <c r="I1432" s="1">
        <v>45586</v>
      </c>
      <c r="J1432">
        <v>22</v>
      </c>
      <c r="K1432">
        <v>1</v>
      </c>
      <c r="L1432">
        <v>14</v>
      </c>
      <c r="M1432">
        <v>436.3</v>
      </c>
      <c r="N1432">
        <v>6108.2</v>
      </c>
      <c r="O1432">
        <v>0.15</v>
      </c>
      <c r="P1432">
        <v>916.23</v>
      </c>
      <c r="Q1432">
        <v>5191.97</v>
      </c>
      <c r="R1432">
        <v>4031.41</v>
      </c>
      <c r="S1432">
        <v>1160.56</v>
      </c>
    </row>
    <row r="1433" spans="1:19" x14ac:dyDescent="0.35">
      <c r="A1433">
        <v>200171</v>
      </c>
      <c r="B1433">
        <v>3633</v>
      </c>
      <c r="C1433" t="s">
        <v>33</v>
      </c>
      <c r="D1433" t="s">
        <v>20</v>
      </c>
      <c r="E1433" t="s">
        <v>21</v>
      </c>
      <c r="F1433" t="s">
        <v>39</v>
      </c>
      <c r="G1433" s="1">
        <v>45596</v>
      </c>
      <c r="H1433" s="1">
        <v>45597</v>
      </c>
      <c r="I1433" s="1">
        <v>45619</v>
      </c>
      <c r="J1433">
        <v>23</v>
      </c>
      <c r="K1433">
        <v>1</v>
      </c>
      <c r="L1433">
        <v>6</v>
      </c>
      <c r="M1433">
        <v>657.07</v>
      </c>
      <c r="N1433">
        <v>3942.42</v>
      </c>
      <c r="O1433">
        <v>0.01</v>
      </c>
      <c r="P1433">
        <v>39.42</v>
      </c>
      <c r="Q1433">
        <v>3903</v>
      </c>
      <c r="R1433">
        <v>2404.88</v>
      </c>
      <c r="S1433">
        <v>1498.12</v>
      </c>
    </row>
    <row r="1434" spans="1:19" x14ac:dyDescent="0.35">
      <c r="A1434">
        <v>200172</v>
      </c>
      <c r="B1434">
        <v>1853</v>
      </c>
      <c r="C1434" t="s">
        <v>19</v>
      </c>
      <c r="D1434" t="s">
        <v>31</v>
      </c>
      <c r="E1434" t="s">
        <v>21</v>
      </c>
      <c r="F1434" t="s">
        <v>22</v>
      </c>
      <c r="G1434" s="1">
        <v>45637</v>
      </c>
      <c r="H1434" s="1">
        <v>45641</v>
      </c>
      <c r="I1434" s="1">
        <v>45649</v>
      </c>
      <c r="J1434">
        <v>12</v>
      </c>
      <c r="K1434">
        <v>4</v>
      </c>
      <c r="L1434">
        <v>7</v>
      </c>
      <c r="M1434">
        <v>511.94</v>
      </c>
      <c r="N1434">
        <v>3583.58</v>
      </c>
      <c r="O1434">
        <v>0.18</v>
      </c>
      <c r="P1434">
        <v>645.04</v>
      </c>
      <c r="Q1434">
        <v>2938.54</v>
      </c>
      <c r="R1434">
        <v>2185.98</v>
      </c>
      <c r="S1434">
        <v>752.56</v>
      </c>
    </row>
    <row r="1435" spans="1:19" x14ac:dyDescent="0.35">
      <c r="A1435">
        <v>200173</v>
      </c>
      <c r="B1435">
        <v>2736</v>
      </c>
      <c r="C1435" t="s">
        <v>19</v>
      </c>
      <c r="D1435" t="s">
        <v>29</v>
      </c>
      <c r="E1435" t="s">
        <v>26</v>
      </c>
      <c r="F1435" t="s">
        <v>36</v>
      </c>
      <c r="G1435" s="1">
        <v>45453</v>
      </c>
      <c r="H1435" s="1">
        <v>45456</v>
      </c>
      <c r="I1435" s="1">
        <v>45458</v>
      </c>
      <c r="J1435">
        <v>5</v>
      </c>
      <c r="K1435">
        <v>3</v>
      </c>
      <c r="L1435">
        <v>14</v>
      </c>
      <c r="M1435">
        <v>330.99</v>
      </c>
      <c r="N1435">
        <v>4633.8599999999997</v>
      </c>
      <c r="O1435">
        <v>0.12</v>
      </c>
      <c r="P1435">
        <v>556.05999999999995</v>
      </c>
      <c r="Q1435">
        <v>4077.8</v>
      </c>
      <c r="R1435">
        <v>2780.32</v>
      </c>
      <c r="S1435">
        <v>1297.48</v>
      </c>
    </row>
    <row r="1436" spans="1:19" x14ac:dyDescent="0.35">
      <c r="A1436">
        <v>200174</v>
      </c>
      <c r="B1436">
        <v>3599</v>
      </c>
      <c r="C1436" t="s">
        <v>33</v>
      </c>
      <c r="D1436" t="s">
        <v>31</v>
      </c>
      <c r="E1436" t="s">
        <v>21</v>
      </c>
      <c r="F1436" t="s">
        <v>39</v>
      </c>
      <c r="G1436" s="1">
        <v>45459</v>
      </c>
      <c r="H1436" s="1">
        <v>45462</v>
      </c>
      <c r="I1436" s="1">
        <v>45466</v>
      </c>
      <c r="J1436">
        <v>7</v>
      </c>
      <c r="K1436">
        <v>3</v>
      </c>
      <c r="L1436">
        <v>1</v>
      </c>
      <c r="M1436">
        <v>766.04</v>
      </c>
      <c r="N1436">
        <v>766.04</v>
      </c>
      <c r="O1436">
        <v>0.2</v>
      </c>
      <c r="P1436">
        <v>153.21</v>
      </c>
      <c r="Q1436">
        <v>612.83000000000004</v>
      </c>
      <c r="R1436">
        <v>444.3</v>
      </c>
      <c r="S1436">
        <v>168.53</v>
      </c>
    </row>
    <row r="1437" spans="1:19" x14ac:dyDescent="0.35">
      <c r="A1437">
        <v>200175</v>
      </c>
      <c r="B1437">
        <v>4826</v>
      </c>
      <c r="C1437" t="s">
        <v>23</v>
      </c>
      <c r="D1437" t="s">
        <v>29</v>
      </c>
      <c r="E1437" t="s">
        <v>24</v>
      </c>
      <c r="F1437" t="s">
        <v>42</v>
      </c>
      <c r="G1437" s="1">
        <v>45300</v>
      </c>
      <c r="H1437" s="1">
        <v>45305</v>
      </c>
      <c r="I1437" s="1">
        <v>45326</v>
      </c>
      <c r="J1437">
        <v>26</v>
      </c>
      <c r="K1437">
        <v>5</v>
      </c>
      <c r="L1437">
        <v>10</v>
      </c>
      <c r="M1437">
        <v>413.05</v>
      </c>
      <c r="N1437">
        <v>4130.5</v>
      </c>
      <c r="O1437">
        <v>0.09</v>
      </c>
      <c r="P1437">
        <v>371.74</v>
      </c>
      <c r="Q1437">
        <v>3758.76</v>
      </c>
      <c r="R1437">
        <v>2395.69</v>
      </c>
      <c r="S1437">
        <v>1363.07</v>
      </c>
    </row>
    <row r="1438" spans="1:19" x14ac:dyDescent="0.35">
      <c r="A1438">
        <v>200176</v>
      </c>
      <c r="B1438">
        <v>2265</v>
      </c>
      <c r="C1438" t="s">
        <v>33</v>
      </c>
      <c r="D1438" t="s">
        <v>29</v>
      </c>
      <c r="E1438" t="s">
        <v>34</v>
      </c>
      <c r="F1438" t="s">
        <v>45</v>
      </c>
      <c r="G1438" s="1">
        <v>45575</v>
      </c>
      <c r="H1438" s="1">
        <v>45580</v>
      </c>
      <c r="I1438" s="1">
        <v>45585</v>
      </c>
      <c r="J1438">
        <v>10</v>
      </c>
      <c r="K1438">
        <v>5</v>
      </c>
      <c r="L1438">
        <v>9</v>
      </c>
      <c r="M1438">
        <v>292.02999999999997</v>
      </c>
      <c r="N1438">
        <v>2628.27</v>
      </c>
      <c r="O1438">
        <v>0.1</v>
      </c>
      <c r="P1438">
        <v>262.83</v>
      </c>
      <c r="Q1438">
        <v>2365.44</v>
      </c>
      <c r="R1438">
        <v>1682.09</v>
      </c>
      <c r="S1438">
        <v>683.35</v>
      </c>
    </row>
    <row r="1439" spans="1:19" x14ac:dyDescent="0.35">
      <c r="A1439">
        <v>200177</v>
      </c>
      <c r="B1439">
        <v>1288</v>
      </c>
      <c r="C1439" t="s">
        <v>19</v>
      </c>
      <c r="D1439" t="s">
        <v>31</v>
      </c>
      <c r="E1439" t="s">
        <v>34</v>
      </c>
      <c r="F1439" t="s">
        <v>40</v>
      </c>
      <c r="G1439" s="1">
        <v>45588</v>
      </c>
      <c r="H1439" s="1">
        <v>45590</v>
      </c>
      <c r="I1439" s="1">
        <v>45605</v>
      </c>
      <c r="J1439">
        <v>17</v>
      </c>
      <c r="K1439">
        <v>2</v>
      </c>
      <c r="L1439">
        <v>4</v>
      </c>
      <c r="M1439">
        <v>453.67</v>
      </c>
      <c r="N1439">
        <v>1814.68</v>
      </c>
      <c r="O1439">
        <v>0.14000000000000001</v>
      </c>
      <c r="P1439">
        <v>254.06</v>
      </c>
      <c r="Q1439">
        <v>1560.62</v>
      </c>
      <c r="R1439">
        <v>1233.98</v>
      </c>
      <c r="S1439">
        <v>326.64</v>
      </c>
    </row>
    <row r="1440" spans="1:19" x14ac:dyDescent="0.35">
      <c r="A1440">
        <v>200178</v>
      </c>
      <c r="B1440">
        <v>3917</v>
      </c>
      <c r="C1440" t="s">
        <v>19</v>
      </c>
      <c r="D1440" t="s">
        <v>29</v>
      </c>
      <c r="E1440" t="s">
        <v>34</v>
      </c>
      <c r="F1440" t="s">
        <v>35</v>
      </c>
      <c r="G1440" s="1">
        <v>45623</v>
      </c>
      <c r="H1440" s="1">
        <v>45624</v>
      </c>
      <c r="I1440" s="1">
        <v>45635</v>
      </c>
      <c r="J1440">
        <v>12</v>
      </c>
      <c r="K1440">
        <v>1</v>
      </c>
      <c r="L1440">
        <v>1</v>
      </c>
      <c r="M1440">
        <v>297.58</v>
      </c>
      <c r="N1440">
        <v>297.58</v>
      </c>
      <c r="O1440">
        <v>0.06</v>
      </c>
      <c r="P1440">
        <v>17.850000000000001</v>
      </c>
      <c r="Q1440">
        <v>279.73</v>
      </c>
      <c r="R1440">
        <v>214.26</v>
      </c>
      <c r="S1440">
        <v>65.47</v>
      </c>
    </row>
    <row r="1441" spans="1:19" x14ac:dyDescent="0.35">
      <c r="A1441">
        <v>200179</v>
      </c>
      <c r="B1441">
        <v>2220</v>
      </c>
      <c r="C1441" t="s">
        <v>33</v>
      </c>
      <c r="D1441" t="s">
        <v>31</v>
      </c>
      <c r="E1441" t="s">
        <v>34</v>
      </c>
      <c r="F1441" t="s">
        <v>45</v>
      </c>
      <c r="G1441" s="1">
        <v>45314</v>
      </c>
      <c r="H1441" s="1">
        <v>45315</v>
      </c>
      <c r="I1441" s="1">
        <v>45319</v>
      </c>
      <c r="J1441">
        <v>5</v>
      </c>
      <c r="K1441">
        <v>1</v>
      </c>
      <c r="L1441">
        <v>14</v>
      </c>
      <c r="M1441">
        <v>294.43</v>
      </c>
      <c r="N1441">
        <v>4122.0200000000004</v>
      </c>
      <c r="O1441">
        <v>0.12</v>
      </c>
      <c r="P1441">
        <v>494.64</v>
      </c>
      <c r="Q1441">
        <v>3627.38</v>
      </c>
      <c r="R1441">
        <v>2720.53</v>
      </c>
      <c r="S1441">
        <v>906.85</v>
      </c>
    </row>
    <row r="1442" spans="1:19" x14ac:dyDescent="0.35">
      <c r="A1442">
        <v>200180</v>
      </c>
      <c r="B1442">
        <v>4065</v>
      </c>
      <c r="C1442" t="s">
        <v>19</v>
      </c>
      <c r="D1442" t="s">
        <v>29</v>
      </c>
      <c r="E1442" t="s">
        <v>21</v>
      </c>
      <c r="F1442" t="s">
        <v>22</v>
      </c>
      <c r="G1442" s="1">
        <v>45542</v>
      </c>
      <c r="H1442" s="1">
        <v>45546</v>
      </c>
      <c r="I1442" s="1">
        <v>45550</v>
      </c>
      <c r="J1442">
        <v>8</v>
      </c>
      <c r="K1442">
        <v>4</v>
      </c>
      <c r="L1442">
        <v>11</v>
      </c>
      <c r="M1442">
        <v>338.8</v>
      </c>
      <c r="N1442">
        <v>3726.8</v>
      </c>
      <c r="O1442">
        <v>0.1</v>
      </c>
      <c r="P1442">
        <v>372.68</v>
      </c>
      <c r="Q1442">
        <v>3354.12</v>
      </c>
      <c r="R1442">
        <v>2385.15</v>
      </c>
      <c r="S1442">
        <v>968.97</v>
      </c>
    </row>
    <row r="1443" spans="1:19" x14ac:dyDescent="0.35">
      <c r="A1443">
        <v>200181</v>
      </c>
      <c r="B1443">
        <v>2168</v>
      </c>
      <c r="C1443" t="s">
        <v>28</v>
      </c>
      <c r="D1443" t="s">
        <v>31</v>
      </c>
      <c r="E1443" t="s">
        <v>21</v>
      </c>
      <c r="F1443" t="s">
        <v>41</v>
      </c>
      <c r="G1443" s="1">
        <v>45429</v>
      </c>
      <c r="H1443" s="1">
        <v>45434</v>
      </c>
      <c r="I1443" s="1">
        <v>45447</v>
      </c>
      <c r="J1443">
        <v>18</v>
      </c>
      <c r="K1443">
        <v>5</v>
      </c>
      <c r="L1443">
        <v>3</v>
      </c>
      <c r="M1443">
        <v>32.020000000000003</v>
      </c>
      <c r="N1443">
        <v>96.06</v>
      </c>
      <c r="O1443">
        <v>0.18</v>
      </c>
      <c r="P1443">
        <v>17.29</v>
      </c>
      <c r="Q1443">
        <v>78.77</v>
      </c>
      <c r="R1443">
        <v>54.75</v>
      </c>
      <c r="S1443">
        <v>24.02</v>
      </c>
    </row>
    <row r="1444" spans="1:19" x14ac:dyDescent="0.35">
      <c r="A1444">
        <v>200182</v>
      </c>
      <c r="B1444">
        <v>3583</v>
      </c>
      <c r="C1444" t="s">
        <v>23</v>
      </c>
      <c r="D1444" t="s">
        <v>31</v>
      </c>
      <c r="E1444" t="s">
        <v>34</v>
      </c>
      <c r="F1444" t="s">
        <v>45</v>
      </c>
      <c r="G1444" s="1">
        <v>45514</v>
      </c>
      <c r="H1444" s="1">
        <v>45519</v>
      </c>
      <c r="I1444" s="1">
        <v>45517</v>
      </c>
      <c r="J1444">
        <v>3</v>
      </c>
      <c r="K1444">
        <v>5</v>
      </c>
      <c r="L1444">
        <v>5</v>
      </c>
      <c r="M1444">
        <v>748.77</v>
      </c>
      <c r="N1444">
        <v>3743.85</v>
      </c>
      <c r="O1444">
        <v>0.13</v>
      </c>
      <c r="P1444">
        <v>486.7</v>
      </c>
      <c r="Q1444">
        <v>3257.15</v>
      </c>
      <c r="R1444">
        <v>2620.69</v>
      </c>
      <c r="S1444">
        <v>636.46</v>
      </c>
    </row>
    <row r="1445" spans="1:19" x14ac:dyDescent="0.35">
      <c r="A1445">
        <v>200183</v>
      </c>
      <c r="B1445">
        <v>4455</v>
      </c>
      <c r="C1445" t="s">
        <v>33</v>
      </c>
      <c r="D1445" t="s">
        <v>20</v>
      </c>
      <c r="E1445" t="s">
        <v>26</v>
      </c>
      <c r="F1445" t="s">
        <v>44</v>
      </c>
      <c r="G1445" s="1">
        <v>45474</v>
      </c>
      <c r="H1445" s="1">
        <v>45479</v>
      </c>
      <c r="I1445" s="1">
        <v>45501</v>
      </c>
      <c r="J1445">
        <v>27</v>
      </c>
      <c r="K1445">
        <v>5</v>
      </c>
      <c r="L1445">
        <v>11</v>
      </c>
      <c r="M1445">
        <v>401.45</v>
      </c>
      <c r="N1445">
        <v>4415.95</v>
      </c>
      <c r="O1445">
        <v>0.08</v>
      </c>
      <c r="P1445">
        <v>353.28</v>
      </c>
      <c r="Q1445">
        <v>4062.67</v>
      </c>
      <c r="R1445">
        <v>2737.89</v>
      </c>
      <c r="S1445">
        <v>1324.78</v>
      </c>
    </row>
    <row r="1446" spans="1:19" x14ac:dyDescent="0.35">
      <c r="A1446">
        <v>200184</v>
      </c>
      <c r="B1446">
        <v>2466</v>
      </c>
      <c r="C1446" t="s">
        <v>19</v>
      </c>
      <c r="D1446" t="s">
        <v>31</v>
      </c>
      <c r="E1446" t="s">
        <v>34</v>
      </c>
      <c r="F1446" t="s">
        <v>45</v>
      </c>
      <c r="G1446" s="1">
        <v>45460</v>
      </c>
      <c r="H1446" s="1">
        <v>45464</v>
      </c>
      <c r="I1446" s="1">
        <v>45463</v>
      </c>
      <c r="J1446">
        <v>3</v>
      </c>
      <c r="K1446">
        <v>4</v>
      </c>
      <c r="L1446">
        <v>11</v>
      </c>
      <c r="M1446">
        <v>193.23</v>
      </c>
      <c r="N1446">
        <v>2125.5300000000002</v>
      </c>
      <c r="O1446">
        <v>0.05</v>
      </c>
      <c r="P1446">
        <v>106.28</v>
      </c>
      <c r="Q1446">
        <v>2019.25</v>
      </c>
      <c r="R1446">
        <v>1466.62</v>
      </c>
      <c r="S1446">
        <v>552.63</v>
      </c>
    </row>
    <row r="1447" spans="1:19" x14ac:dyDescent="0.35">
      <c r="A1447">
        <v>200185</v>
      </c>
      <c r="B1447">
        <v>1881</v>
      </c>
      <c r="C1447" t="s">
        <v>28</v>
      </c>
      <c r="D1447" t="s">
        <v>31</v>
      </c>
      <c r="E1447" t="s">
        <v>34</v>
      </c>
      <c r="F1447" t="s">
        <v>40</v>
      </c>
      <c r="G1447" s="1">
        <v>45528</v>
      </c>
      <c r="H1447" s="1">
        <v>45532</v>
      </c>
      <c r="I1447" s="1">
        <v>45535</v>
      </c>
      <c r="J1447">
        <v>7</v>
      </c>
      <c r="K1447">
        <v>4</v>
      </c>
      <c r="L1447">
        <v>10</v>
      </c>
      <c r="M1447">
        <v>420.23</v>
      </c>
      <c r="N1447">
        <v>4202.3</v>
      </c>
      <c r="O1447">
        <v>0.08</v>
      </c>
      <c r="P1447">
        <v>336.18</v>
      </c>
      <c r="Q1447">
        <v>3866.12</v>
      </c>
      <c r="R1447">
        <v>2605.4299999999998</v>
      </c>
      <c r="S1447">
        <v>1260.69</v>
      </c>
    </row>
    <row r="1448" spans="1:19" x14ac:dyDescent="0.35">
      <c r="A1448">
        <v>200186</v>
      </c>
      <c r="B1448">
        <v>3849</v>
      </c>
      <c r="C1448" t="s">
        <v>33</v>
      </c>
      <c r="D1448" t="s">
        <v>29</v>
      </c>
      <c r="E1448" t="s">
        <v>26</v>
      </c>
      <c r="F1448" t="s">
        <v>36</v>
      </c>
      <c r="G1448" s="1">
        <v>45384</v>
      </c>
      <c r="H1448" s="1">
        <v>45387</v>
      </c>
      <c r="I1448" s="1">
        <v>45399</v>
      </c>
      <c r="J1448">
        <v>15</v>
      </c>
      <c r="K1448">
        <v>3</v>
      </c>
      <c r="L1448">
        <v>6</v>
      </c>
      <c r="M1448">
        <v>72.94</v>
      </c>
      <c r="N1448">
        <v>437.64</v>
      </c>
      <c r="O1448">
        <v>7.0000000000000007E-2</v>
      </c>
      <c r="P1448">
        <v>30.63</v>
      </c>
      <c r="Q1448">
        <v>407.01</v>
      </c>
      <c r="R1448">
        <v>306.35000000000002</v>
      </c>
      <c r="S1448">
        <v>100.66</v>
      </c>
    </row>
    <row r="1449" spans="1:19" x14ac:dyDescent="0.35">
      <c r="A1449">
        <v>200187</v>
      </c>
      <c r="B1449">
        <v>1398</v>
      </c>
      <c r="C1449" t="s">
        <v>33</v>
      </c>
      <c r="D1449" t="s">
        <v>31</v>
      </c>
      <c r="E1449" t="s">
        <v>34</v>
      </c>
      <c r="F1449" t="s">
        <v>40</v>
      </c>
      <c r="G1449" s="1">
        <v>45463</v>
      </c>
      <c r="H1449" s="1">
        <v>45466</v>
      </c>
      <c r="I1449" s="1">
        <v>45475</v>
      </c>
      <c r="J1449">
        <v>12</v>
      </c>
      <c r="K1449">
        <v>3</v>
      </c>
      <c r="L1449">
        <v>9</v>
      </c>
      <c r="M1449">
        <v>513.89</v>
      </c>
      <c r="N1449">
        <v>4625.01</v>
      </c>
      <c r="O1449">
        <v>0.09</v>
      </c>
      <c r="P1449">
        <v>416.25</v>
      </c>
      <c r="Q1449">
        <v>4208.76</v>
      </c>
      <c r="R1449">
        <v>2682.51</v>
      </c>
      <c r="S1449">
        <v>1526.25</v>
      </c>
    </row>
    <row r="1450" spans="1:19" x14ac:dyDescent="0.35">
      <c r="A1450">
        <v>200188</v>
      </c>
      <c r="B1450">
        <v>1055</v>
      </c>
      <c r="C1450" t="s">
        <v>19</v>
      </c>
      <c r="D1450" t="s">
        <v>29</v>
      </c>
      <c r="E1450" t="s">
        <v>34</v>
      </c>
      <c r="F1450" t="s">
        <v>43</v>
      </c>
      <c r="G1450" s="1">
        <v>45457</v>
      </c>
      <c r="H1450" s="1">
        <v>45462</v>
      </c>
      <c r="I1450" s="1">
        <v>45487</v>
      </c>
      <c r="J1450">
        <v>30</v>
      </c>
      <c r="K1450">
        <v>5</v>
      </c>
      <c r="L1450">
        <v>13</v>
      </c>
      <c r="M1450">
        <v>200.15</v>
      </c>
      <c r="N1450">
        <v>2601.9499999999998</v>
      </c>
      <c r="O1450">
        <v>0</v>
      </c>
      <c r="P1450">
        <v>0</v>
      </c>
      <c r="Q1450">
        <v>2601.9499999999998</v>
      </c>
      <c r="R1450">
        <v>1639.23</v>
      </c>
      <c r="S1450">
        <v>962.72</v>
      </c>
    </row>
    <row r="1451" spans="1:19" x14ac:dyDescent="0.35">
      <c r="A1451">
        <v>200189</v>
      </c>
      <c r="B1451">
        <v>4160</v>
      </c>
      <c r="C1451" t="s">
        <v>19</v>
      </c>
      <c r="D1451" t="s">
        <v>20</v>
      </c>
      <c r="E1451" t="s">
        <v>21</v>
      </c>
      <c r="F1451" t="s">
        <v>38</v>
      </c>
      <c r="G1451" s="1">
        <v>45350</v>
      </c>
      <c r="H1451" s="1">
        <v>45351</v>
      </c>
      <c r="I1451" s="1">
        <v>45367</v>
      </c>
      <c r="J1451">
        <v>17</v>
      </c>
      <c r="K1451">
        <v>1</v>
      </c>
      <c r="L1451">
        <v>1</v>
      </c>
      <c r="M1451">
        <v>408.58</v>
      </c>
      <c r="N1451">
        <v>408.58</v>
      </c>
      <c r="O1451">
        <v>0.05</v>
      </c>
      <c r="P1451">
        <v>20.43</v>
      </c>
      <c r="Q1451">
        <v>388.15</v>
      </c>
      <c r="R1451">
        <v>232.89</v>
      </c>
      <c r="S1451">
        <v>155.26</v>
      </c>
    </row>
    <row r="1452" spans="1:19" x14ac:dyDescent="0.35">
      <c r="A1452">
        <v>200190</v>
      </c>
      <c r="B1452">
        <v>1676</v>
      </c>
      <c r="C1452" t="s">
        <v>28</v>
      </c>
      <c r="D1452" t="s">
        <v>29</v>
      </c>
      <c r="E1452" t="s">
        <v>24</v>
      </c>
      <c r="F1452" t="s">
        <v>25</v>
      </c>
      <c r="G1452" s="1">
        <v>45470</v>
      </c>
      <c r="H1452" s="1">
        <v>45471</v>
      </c>
      <c r="I1452" s="1">
        <v>45500</v>
      </c>
      <c r="J1452">
        <v>30</v>
      </c>
      <c r="K1452">
        <v>1</v>
      </c>
      <c r="L1452">
        <v>14</v>
      </c>
      <c r="M1452">
        <v>633.36</v>
      </c>
      <c r="N1452">
        <v>8867.0400000000009</v>
      </c>
      <c r="O1452">
        <v>0.1</v>
      </c>
      <c r="P1452">
        <v>886.7</v>
      </c>
      <c r="Q1452">
        <v>7980.34</v>
      </c>
      <c r="R1452">
        <v>6118.26</v>
      </c>
      <c r="S1452">
        <v>1862.08</v>
      </c>
    </row>
    <row r="1453" spans="1:19" x14ac:dyDescent="0.35">
      <c r="A1453">
        <v>200191</v>
      </c>
      <c r="B1453">
        <v>1500</v>
      </c>
      <c r="C1453" t="s">
        <v>28</v>
      </c>
      <c r="D1453" t="s">
        <v>20</v>
      </c>
      <c r="E1453" t="s">
        <v>24</v>
      </c>
      <c r="F1453" t="s">
        <v>42</v>
      </c>
      <c r="G1453" s="1">
        <v>45551</v>
      </c>
      <c r="H1453" s="1">
        <v>45555</v>
      </c>
      <c r="I1453" s="1">
        <v>45555</v>
      </c>
      <c r="J1453">
        <v>4</v>
      </c>
      <c r="K1453">
        <v>4</v>
      </c>
      <c r="L1453">
        <v>4</v>
      </c>
      <c r="M1453">
        <v>250.43</v>
      </c>
      <c r="N1453">
        <v>1001.72</v>
      </c>
      <c r="O1453">
        <v>7.0000000000000007E-2</v>
      </c>
      <c r="P1453">
        <v>70.12</v>
      </c>
      <c r="Q1453">
        <v>931.6</v>
      </c>
      <c r="R1453">
        <v>641.1</v>
      </c>
      <c r="S1453">
        <v>290.5</v>
      </c>
    </row>
    <row r="1454" spans="1:19" x14ac:dyDescent="0.35">
      <c r="A1454">
        <v>200192</v>
      </c>
      <c r="B1454">
        <v>1886</v>
      </c>
      <c r="C1454" t="s">
        <v>28</v>
      </c>
      <c r="D1454" t="s">
        <v>29</v>
      </c>
      <c r="E1454" t="s">
        <v>34</v>
      </c>
      <c r="F1454" t="s">
        <v>40</v>
      </c>
      <c r="G1454" s="1">
        <v>45566</v>
      </c>
      <c r="H1454" s="1">
        <v>45570</v>
      </c>
      <c r="I1454" s="1">
        <v>45594</v>
      </c>
      <c r="J1454">
        <v>28</v>
      </c>
      <c r="K1454">
        <v>4</v>
      </c>
      <c r="L1454">
        <v>10</v>
      </c>
      <c r="M1454">
        <v>284.91000000000003</v>
      </c>
      <c r="N1454">
        <v>2849.1</v>
      </c>
      <c r="O1454">
        <v>0.1</v>
      </c>
      <c r="P1454">
        <v>284.91000000000003</v>
      </c>
      <c r="Q1454">
        <v>2564.19</v>
      </c>
      <c r="R1454">
        <v>1766.44</v>
      </c>
      <c r="S1454">
        <v>797.75</v>
      </c>
    </row>
    <row r="1455" spans="1:19" x14ac:dyDescent="0.35">
      <c r="A1455">
        <v>200193</v>
      </c>
      <c r="B1455">
        <v>4272</v>
      </c>
      <c r="C1455" t="s">
        <v>19</v>
      </c>
      <c r="D1455" t="s">
        <v>31</v>
      </c>
      <c r="E1455" t="s">
        <v>21</v>
      </c>
      <c r="F1455" t="s">
        <v>22</v>
      </c>
      <c r="G1455" s="1">
        <v>45361</v>
      </c>
      <c r="H1455" s="1">
        <v>45362</v>
      </c>
      <c r="I1455" s="1">
        <v>45383</v>
      </c>
      <c r="J1455">
        <v>22</v>
      </c>
      <c r="K1455">
        <v>1</v>
      </c>
      <c r="L1455">
        <v>10</v>
      </c>
      <c r="M1455">
        <v>599.95000000000005</v>
      </c>
      <c r="N1455">
        <v>5999.5</v>
      </c>
      <c r="O1455">
        <v>0.05</v>
      </c>
      <c r="P1455">
        <v>299.98</v>
      </c>
      <c r="Q1455">
        <v>5699.52</v>
      </c>
      <c r="R1455">
        <v>4019.67</v>
      </c>
      <c r="S1455">
        <v>1679.85</v>
      </c>
    </row>
    <row r="1456" spans="1:19" x14ac:dyDescent="0.35">
      <c r="A1456">
        <v>200194</v>
      </c>
      <c r="B1456">
        <v>3841</v>
      </c>
      <c r="C1456" t="s">
        <v>33</v>
      </c>
      <c r="D1456" t="s">
        <v>20</v>
      </c>
      <c r="E1456" t="s">
        <v>34</v>
      </c>
      <c r="F1456" t="s">
        <v>45</v>
      </c>
      <c r="G1456" s="1">
        <v>45320</v>
      </c>
      <c r="H1456" s="1">
        <v>45323</v>
      </c>
      <c r="I1456" s="1">
        <v>45336</v>
      </c>
      <c r="J1456">
        <v>16</v>
      </c>
      <c r="K1456">
        <v>3</v>
      </c>
      <c r="L1456">
        <v>7</v>
      </c>
      <c r="M1456">
        <v>240.36</v>
      </c>
      <c r="N1456">
        <v>1682.52</v>
      </c>
      <c r="O1456">
        <v>0.15</v>
      </c>
      <c r="P1456">
        <v>252.38</v>
      </c>
      <c r="Q1456">
        <v>1430.14</v>
      </c>
      <c r="R1456">
        <v>1026.3399999999999</v>
      </c>
      <c r="S1456">
        <v>403.8</v>
      </c>
    </row>
    <row r="1457" spans="1:19" x14ac:dyDescent="0.35">
      <c r="A1457">
        <v>200195</v>
      </c>
      <c r="B1457">
        <v>3389</v>
      </c>
      <c r="C1457" t="s">
        <v>23</v>
      </c>
      <c r="D1457" t="s">
        <v>31</v>
      </c>
      <c r="E1457" t="s">
        <v>24</v>
      </c>
      <c r="F1457" t="s">
        <v>25</v>
      </c>
      <c r="G1457" s="1">
        <v>45344</v>
      </c>
      <c r="H1457" s="1">
        <v>45349</v>
      </c>
      <c r="I1457" s="1">
        <v>45355</v>
      </c>
      <c r="J1457">
        <v>11</v>
      </c>
      <c r="K1457">
        <v>5</v>
      </c>
      <c r="L1457">
        <v>8</v>
      </c>
      <c r="M1457">
        <v>644.97</v>
      </c>
      <c r="N1457">
        <v>5159.76</v>
      </c>
      <c r="O1457">
        <v>0.16</v>
      </c>
      <c r="P1457">
        <v>825.56</v>
      </c>
      <c r="Q1457">
        <v>4334.2</v>
      </c>
      <c r="R1457">
        <v>2889.47</v>
      </c>
      <c r="S1457">
        <v>1444.73</v>
      </c>
    </row>
    <row r="1458" spans="1:19" x14ac:dyDescent="0.35">
      <c r="A1458">
        <v>200196</v>
      </c>
      <c r="B1458">
        <v>3450</v>
      </c>
      <c r="C1458" t="s">
        <v>19</v>
      </c>
      <c r="D1458" t="s">
        <v>29</v>
      </c>
      <c r="E1458" t="s">
        <v>21</v>
      </c>
      <c r="F1458" t="s">
        <v>41</v>
      </c>
      <c r="G1458" s="1">
        <v>45514</v>
      </c>
      <c r="H1458" s="1">
        <v>45517</v>
      </c>
      <c r="I1458" s="1">
        <v>45543</v>
      </c>
      <c r="J1458">
        <v>29</v>
      </c>
      <c r="K1458">
        <v>3</v>
      </c>
      <c r="L1458">
        <v>11</v>
      </c>
      <c r="M1458">
        <v>66.47</v>
      </c>
      <c r="N1458">
        <v>731.17</v>
      </c>
      <c r="O1458">
        <v>0.11</v>
      </c>
      <c r="P1458">
        <v>80.430000000000007</v>
      </c>
      <c r="Q1458">
        <v>650.74</v>
      </c>
      <c r="R1458">
        <v>475.26</v>
      </c>
      <c r="S1458">
        <v>175.48</v>
      </c>
    </row>
    <row r="1459" spans="1:19" x14ac:dyDescent="0.35">
      <c r="A1459">
        <v>200197</v>
      </c>
      <c r="B1459">
        <v>2202</v>
      </c>
      <c r="C1459" t="s">
        <v>28</v>
      </c>
      <c r="D1459" t="s">
        <v>20</v>
      </c>
      <c r="E1459" t="s">
        <v>34</v>
      </c>
      <c r="F1459" t="s">
        <v>40</v>
      </c>
      <c r="G1459" s="1">
        <v>45375</v>
      </c>
      <c r="H1459" s="1">
        <v>45379</v>
      </c>
      <c r="I1459" s="1">
        <v>45386</v>
      </c>
      <c r="J1459">
        <v>11</v>
      </c>
      <c r="K1459">
        <v>4</v>
      </c>
      <c r="L1459">
        <v>14</v>
      </c>
      <c r="M1459">
        <v>232.24</v>
      </c>
      <c r="N1459">
        <v>3251.36</v>
      </c>
      <c r="O1459">
        <v>0.08</v>
      </c>
      <c r="P1459">
        <v>260.11</v>
      </c>
      <c r="Q1459">
        <v>2991.25</v>
      </c>
      <c r="R1459">
        <v>2308.4699999999998</v>
      </c>
      <c r="S1459">
        <v>682.78</v>
      </c>
    </row>
    <row r="1460" spans="1:19" x14ac:dyDescent="0.35">
      <c r="A1460">
        <v>200198</v>
      </c>
      <c r="B1460">
        <v>3460</v>
      </c>
      <c r="C1460" t="s">
        <v>28</v>
      </c>
      <c r="D1460" t="s">
        <v>20</v>
      </c>
      <c r="E1460" t="s">
        <v>26</v>
      </c>
      <c r="F1460" t="s">
        <v>44</v>
      </c>
      <c r="G1460" s="1">
        <v>45456</v>
      </c>
      <c r="H1460" s="1">
        <v>45458</v>
      </c>
      <c r="I1460" s="1">
        <v>45482</v>
      </c>
      <c r="J1460">
        <v>26</v>
      </c>
      <c r="K1460">
        <v>2</v>
      </c>
      <c r="L1460">
        <v>14</v>
      </c>
      <c r="M1460">
        <v>329.35</v>
      </c>
      <c r="N1460">
        <v>4610.8999999999996</v>
      </c>
      <c r="O1460">
        <v>0.08</v>
      </c>
      <c r="P1460">
        <v>368.87</v>
      </c>
      <c r="Q1460">
        <v>4242.03</v>
      </c>
      <c r="R1460">
        <v>3043.19</v>
      </c>
      <c r="S1460">
        <v>1198.8399999999999</v>
      </c>
    </row>
    <row r="1461" spans="1:19" x14ac:dyDescent="0.35">
      <c r="A1461">
        <v>200199</v>
      </c>
      <c r="B1461">
        <v>4735</v>
      </c>
      <c r="C1461" t="s">
        <v>23</v>
      </c>
      <c r="D1461" t="s">
        <v>29</v>
      </c>
      <c r="E1461" t="s">
        <v>24</v>
      </c>
      <c r="F1461" t="s">
        <v>32</v>
      </c>
      <c r="G1461" s="1">
        <v>45415</v>
      </c>
      <c r="H1461" s="1">
        <v>45419</v>
      </c>
      <c r="I1461" s="1">
        <v>45433</v>
      </c>
      <c r="J1461">
        <v>18</v>
      </c>
      <c r="K1461">
        <v>4</v>
      </c>
      <c r="L1461">
        <v>11</v>
      </c>
      <c r="M1461">
        <v>424.45</v>
      </c>
      <c r="N1461">
        <v>4668.95</v>
      </c>
      <c r="O1461">
        <v>7.0000000000000007E-2</v>
      </c>
      <c r="P1461">
        <v>326.83</v>
      </c>
      <c r="Q1461">
        <v>4342.12</v>
      </c>
      <c r="R1461">
        <v>3081.51</v>
      </c>
      <c r="S1461">
        <v>1260.6099999999999</v>
      </c>
    </row>
    <row r="1462" spans="1:19" x14ac:dyDescent="0.35">
      <c r="A1462">
        <v>200200</v>
      </c>
      <c r="B1462">
        <v>3203</v>
      </c>
      <c r="C1462" t="s">
        <v>19</v>
      </c>
      <c r="D1462" t="s">
        <v>29</v>
      </c>
      <c r="E1462" t="s">
        <v>26</v>
      </c>
      <c r="F1462" t="s">
        <v>37</v>
      </c>
      <c r="G1462" s="1">
        <v>45482</v>
      </c>
      <c r="H1462" s="1">
        <v>45485</v>
      </c>
      <c r="I1462" s="1">
        <v>45485</v>
      </c>
      <c r="J1462">
        <v>3</v>
      </c>
      <c r="K1462">
        <v>3</v>
      </c>
      <c r="L1462">
        <v>13</v>
      </c>
      <c r="M1462">
        <v>438.84</v>
      </c>
      <c r="N1462">
        <v>5704.92</v>
      </c>
      <c r="O1462">
        <v>0.13</v>
      </c>
      <c r="P1462">
        <v>741.64</v>
      </c>
      <c r="Q1462">
        <v>4963.28</v>
      </c>
      <c r="R1462">
        <v>3765.25</v>
      </c>
      <c r="S1462">
        <v>1198.03</v>
      </c>
    </row>
    <row r="1463" spans="1:19" x14ac:dyDescent="0.35">
      <c r="A1463">
        <v>200201</v>
      </c>
      <c r="B1463">
        <v>3425</v>
      </c>
      <c r="C1463" t="s">
        <v>23</v>
      </c>
      <c r="D1463" t="s">
        <v>31</v>
      </c>
      <c r="E1463" t="s">
        <v>24</v>
      </c>
      <c r="F1463" t="s">
        <v>32</v>
      </c>
      <c r="G1463" s="1">
        <v>45388</v>
      </c>
      <c r="H1463" s="1">
        <v>45389</v>
      </c>
      <c r="I1463" s="1">
        <v>45401</v>
      </c>
      <c r="J1463">
        <v>13</v>
      </c>
      <c r="K1463">
        <v>1</v>
      </c>
      <c r="L1463">
        <v>6</v>
      </c>
      <c r="M1463">
        <v>309.31</v>
      </c>
      <c r="N1463">
        <v>1855.86</v>
      </c>
      <c r="O1463">
        <v>0.13</v>
      </c>
      <c r="P1463">
        <v>241.26</v>
      </c>
      <c r="Q1463">
        <v>1614.6</v>
      </c>
      <c r="R1463">
        <v>1206.31</v>
      </c>
      <c r="S1463">
        <v>408.29</v>
      </c>
    </row>
    <row r="1464" spans="1:19" x14ac:dyDescent="0.35">
      <c r="A1464">
        <v>200202</v>
      </c>
      <c r="B1464">
        <v>1820</v>
      </c>
      <c r="C1464" t="s">
        <v>33</v>
      </c>
      <c r="D1464" t="s">
        <v>29</v>
      </c>
      <c r="E1464" t="s">
        <v>34</v>
      </c>
      <c r="F1464" t="s">
        <v>43</v>
      </c>
      <c r="G1464" s="1">
        <v>45391</v>
      </c>
      <c r="H1464" s="1">
        <v>45392</v>
      </c>
      <c r="I1464" s="1">
        <v>45404</v>
      </c>
      <c r="J1464">
        <v>13</v>
      </c>
      <c r="K1464">
        <v>1</v>
      </c>
      <c r="L1464">
        <v>7</v>
      </c>
      <c r="M1464">
        <v>590.5</v>
      </c>
      <c r="N1464">
        <v>4133.5</v>
      </c>
      <c r="O1464">
        <v>0.11</v>
      </c>
      <c r="P1464">
        <v>454.68</v>
      </c>
      <c r="Q1464">
        <v>3678.82</v>
      </c>
      <c r="R1464">
        <v>2852.12</v>
      </c>
      <c r="S1464">
        <v>826.7</v>
      </c>
    </row>
    <row r="1465" spans="1:19" x14ac:dyDescent="0.35">
      <c r="A1465">
        <v>200203</v>
      </c>
      <c r="B1465">
        <v>4461</v>
      </c>
      <c r="C1465" t="s">
        <v>19</v>
      </c>
      <c r="D1465" t="s">
        <v>31</v>
      </c>
      <c r="E1465" t="s">
        <v>24</v>
      </c>
      <c r="F1465" t="s">
        <v>32</v>
      </c>
      <c r="G1465" s="1">
        <v>45518</v>
      </c>
      <c r="H1465" s="1">
        <v>45519</v>
      </c>
      <c r="I1465" s="1">
        <v>45522</v>
      </c>
      <c r="J1465">
        <v>4</v>
      </c>
      <c r="K1465">
        <v>1</v>
      </c>
      <c r="L1465">
        <v>5</v>
      </c>
      <c r="M1465">
        <v>184.86</v>
      </c>
      <c r="N1465">
        <v>924.3</v>
      </c>
      <c r="O1465">
        <v>0.04</v>
      </c>
      <c r="P1465">
        <v>36.97</v>
      </c>
      <c r="Q1465">
        <v>887.33</v>
      </c>
      <c r="R1465">
        <v>610.04</v>
      </c>
      <c r="S1465">
        <v>277.29000000000002</v>
      </c>
    </row>
    <row r="1466" spans="1:19" x14ac:dyDescent="0.35">
      <c r="A1466">
        <v>200204</v>
      </c>
      <c r="B1466">
        <v>4340</v>
      </c>
      <c r="C1466" t="s">
        <v>33</v>
      </c>
      <c r="D1466" t="s">
        <v>20</v>
      </c>
      <c r="E1466" t="s">
        <v>34</v>
      </c>
      <c r="F1466" t="s">
        <v>35</v>
      </c>
      <c r="G1466" s="1">
        <v>45486</v>
      </c>
      <c r="H1466" s="1">
        <v>45491</v>
      </c>
      <c r="I1466" s="1">
        <v>45495</v>
      </c>
      <c r="J1466">
        <v>9</v>
      </c>
      <c r="K1466">
        <v>5</v>
      </c>
      <c r="L1466">
        <v>6</v>
      </c>
      <c r="M1466">
        <v>571.35</v>
      </c>
      <c r="N1466">
        <v>3428.1</v>
      </c>
      <c r="O1466">
        <v>0.02</v>
      </c>
      <c r="P1466">
        <v>68.56</v>
      </c>
      <c r="Q1466">
        <v>3359.54</v>
      </c>
      <c r="R1466">
        <v>2228.27</v>
      </c>
      <c r="S1466">
        <v>1131.27</v>
      </c>
    </row>
    <row r="1467" spans="1:19" x14ac:dyDescent="0.35">
      <c r="A1467">
        <v>200205</v>
      </c>
      <c r="B1467">
        <v>1782</v>
      </c>
      <c r="C1467" t="s">
        <v>19</v>
      </c>
      <c r="D1467" t="s">
        <v>31</v>
      </c>
      <c r="E1467" t="s">
        <v>26</v>
      </c>
      <c r="F1467" t="s">
        <v>27</v>
      </c>
      <c r="G1467" s="1">
        <v>45335</v>
      </c>
      <c r="H1467" s="1">
        <v>45337</v>
      </c>
      <c r="I1467" s="1">
        <v>45357</v>
      </c>
      <c r="J1467">
        <v>22</v>
      </c>
      <c r="K1467">
        <v>2</v>
      </c>
      <c r="L1467">
        <v>1</v>
      </c>
      <c r="M1467">
        <v>642.62</v>
      </c>
      <c r="N1467">
        <v>642.62</v>
      </c>
      <c r="O1467">
        <v>0.04</v>
      </c>
      <c r="P1467">
        <v>25.7</v>
      </c>
      <c r="Q1467">
        <v>616.91999999999996</v>
      </c>
      <c r="R1467">
        <v>430.56</v>
      </c>
      <c r="S1467">
        <v>186.36</v>
      </c>
    </row>
    <row r="1468" spans="1:19" x14ac:dyDescent="0.35">
      <c r="A1468">
        <v>200206</v>
      </c>
      <c r="B1468">
        <v>1062</v>
      </c>
      <c r="C1468" t="s">
        <v>19</v>
      </c>
      <c r="D1468" t="s">
        <v>29</v>
      </c>
      <c r="E1468" t="s">
        <v>24</v>
      </c>
      <c r="F1468" t="s">
        <v>42</v>
      </c>
      <c r="G1468" s="1">
        <v>45567</v>
      </c>
      <c r="H1468" s="1">
        <v>45572</v>
      </c>
      <c r="I1468" s="1">
        <v>45583</v>
      </c>
      <c r="J1468">
        <v>16</v>
      </c>
      <c r="K1468">
        <v>5</v>
      </c>
      <c r="L1468">
        <v>7</v>
      </c>
      <c r="M1468">
        <v>739.62</v>
      </c>
      <c r="N1468">
        <v>5177.34</v>
      </c>
      <c r="O1468">
        <v>0.12</v>
      </c>
      <c r="P1468">
        <v>621.28</v>
      </c>
      <c r="Q1468">
        <v>4556.0600000000004</v>
      </c>
      <c r="R1468">
        <v>3158.18</v>
      </c>
      <c r="S1468">
        <v>1397.88</v>
      </c>
    </row>
    <row r="1469" spans="1:19" x14ac:dyDescent="0.35">
      <c r="A1469">
        <v>200207</v>
      </c>
      <c r="B1469">
        <v>1567</v>
      </c>
      <c r="C1469" t="s">
        <v>28</v>
      </c>
      <c r="D1469" t="s">
        <v>31</v>
      </c>
      <c r="E1469" t="s">
        <v>24</v>
      </c>
      <c r="F1469" t="s">
        <v>25</v>
      </c>
      <c r="G1469" s="1">
        <v>45348</v>
      </c>
      <c r="H1469" s="1">
        <v>45350</v>
      </c>
      <c r="I1469" s="1">
        <v>45375</v>
      </c>
      <c r="J1469">
        <v>27</v>
      </c>
      <c r="K1469">
        <v>2</v>
      </c>
      <c r="L1469">
        <v>12</v>
      </c>
      <c r="M1469">
        <v>664.84</v>
      </c>
      <c r="N1469">
        <v>7978.08</v>
      </c>
      <c r="O1469">
        <v>0.1</v>
      </c>
      <c r="P1469">
        <v>797.81</v>
      </c>
      <c r="Q1469">
        <v>7180.27</v>
      </c>
      <c r="R1469">
        <v>4387.9399999999996</v>
      </c>
      <c r="S1469">
        <v>2792.33</v>
      </c>
    </row>
    <row r="1470" spans="1:19" x14ac:dyDescent="0.35">
      <c r="A1470">
        <v>200208</v>
      </c>
      <c r="B1470">
        <v>4370</v>
      </c>
      <c r="C1470" t="s">
        <v>28</v>
      </c>
      <c r="D1470" t="s">
        <v>31</v>
      </c>
      <c r="E1470" t="s">
        <v>21</v>
      </c>
      <c r="F1470" t="s">
        <v>38</v>
      </c>
      <c r="G1470" s="1">
        <v>45339</v>
      </c>
      <c r="H1470" s="1">
        <v>45340</v>
      </c>
      <c r="I1470" s="1">
        <v>45368</v>
      </c>
      <c r="J1470">
        <v>29</v>
      </c>
      <c r="K1470">
        <v>1</v>
      </c>
      <c r="L1470">
        <v>12</v>
      </c>
      <c r="M1470">
        <v>24.35</v>
      </c>
      <c r="N1470">
        <v>292.2</v>
      </c>
      <c r="O1470">
        <v>0</v>
      </c>
      <c r="P1470">
        <v>0</v>
      </c>
      <c r="Q1470">
        <v>292.2</v>
      </c>
      <c r="R1470">
        <v>169.48</v>
      </c>
      <c r="S1470">
        <v>122.72</v>
      </c>
    </row>
    <row r="1471" spans="1:19" x14ac:dyDescent="0.35">
      <c r="A1471">
        <v>200209</v>
      </c>
      <c r="B1471">
        <v>3272</v>
      </c>
      <c r="C1471" t="s">
        <v>33</v>
      </c>
      <c r="D1471" t="s">
        <v>20</v>
      </c>
      <c r="E1471" t="s">
        <v>24</v>
      </c>
      <c r="F1471" t="s">
        <v>30</v>
      </c>
      <c r="G1471" s="1">
        <v>45458</v>
      </c>
      <c r="H1471" s="1">
        <v>45462</v>
      </c>
      <c r="I1471" s="1">
        <v>45482</v>
      </c>
      <c r="J1471">
        <v>24</v>
      </c>
      <c r="K1471">
        <v>4</v>
      </c>
      <c r="L1471">
        <v>1</v>
      </c>
      <c r="M1471">
        <v>652.64</v>
      </c>
      <c r="N1471">
        <v>652.64</v>
      </c>
      <c r="O1471">
        <v>0.1</v>
      </c>
      <c r="P1471">
        <v>65.260000000000005</v>
      </c>
      <c r="Q1471">
        <v>587.38</v>
      </c>
      <c r="R1471">
        <v>443.8</v>
      </c>
      <c r="S1471">
        <v>143.58000000000001</v>
      </c>
    </row>
    <row r="1472" spans="1:19" x14ac:dyDescent="0.35">
      <c r="A1472">
        <v>200210</v>
      </c>
      <c r="B1472">
        <v>4936</v>
      </c>
      <c r="C1472" t="s">
        <v>33</v>
      </c>
      <c r="D1472" t="s">
        <v>31</v>
      </c>
      <c r="E1472" t="s">
        <v>24</v>
      </c>
      <c r="F1472" t="s">
        <v>42</v>
      </c>
      <c r="G1472" s="1">
        <v>45419</v>
      </c>
      <c r="H1472" s="1">
        <v>45423</v>
      </c>
      <c r="I1472" s="1">
        <v>45425</v>
      </c>
      <c r="J1472">
        <v>6</v>
      </c>
      <c r="K1472">
        <v>4</v>
      </c>
      <c r="L1472">
        <v>3</v>
      </c>
      <c r="M1472">
        <v>169.96</v>
      </c>
      <c r="N1472">
        <v>509.88</v>
      </c>
      <c r="O1472">
        <v>0.09</v>
      </c>
      <c r="P1472">
        <v>45.89</v>
      </c>
      <c r="Q1472">
        <v>463.99</v>
      </c>
      <c r="R1472">
        <v>336.52</v>
      </c>
      <c r="S1472">
        <v>127.47</v>
      </c>
    </row>
    <row r="1473" spans="1:19" x14ac:dyDescent="0.35">
      <c r="A1473">
        <v>200211</v>
      </c>
      <c r="B1473">
        <v>4693</v>
      </c>
      <c r="C1473" t="s">
        <v>28</v>
      </c>
      <c r="D1473" t="s">
        <v>20</v>
      </c>
      <c r="E1473" t="s">
        <v>21</v>
      </c>
      <c r="F1473" t="s">
        <v>39</v>
      </c>
      <c r="G1473" s="1">
        <v>45640</v>
      </c>
      <c r="H1473" s="1">
        <v>45642</v>
      </c>
      <c r="I1473" s="1">
        <v>45667</v>
      </c>
      <c r="J1473">
        <v>27</v>
      </c>
      <c r="K1473">
        <v>2</v>
      </c>
      <c r="L1473">
        <v>2</v>
      </c>
      <c r="M1473">
        <v>386.99</v>
      </c>
      <c r="N1473">
        <v>773.98</v>
      </c>
      <c r="O1473">
        <v>0</v>
      </c>
      <c r="P1473">
        <v>0</v>
      </c>
      <c r="Q1473">
        <v>773.98</v>
      </c>
      <c r="R1473">
        <v>479.87</v>
      </c>
      <c r="S1473">
        <v>294.11</v>
      </c>
    </row>
    <row r="1474" spans="1:19" x14ac:dyDescent="0.35">
      <c r="A1474">
        <v>200212</v>
      </c>
      <c r="B1474">
        <v>1091</v>
      </c>
      <c r="C1474" t="s">
        <v>23</v>
      </c>
      <c r="D1474" t="s">
        <v>31</v>
      </c>
      <c r="E1474" t="s">
        <v>26</v>
      </c>
      <c r="F1474" t="s">
        <v>44</v>
      </c>
      <c r="G1474" s="1">
        <v>45300</v>
      </c>
      <c r="H1474" s="1">
        <v>45303</v>
      </c>
      <c r="I1474" s="1">
        <v>45322</v>
      </c>
      <c r="J1474">
        <v>22</v>
      </c>
      <c r="K1474">
        <v>3</v>
      </c>
      <c r="L1474">
        <v>7</v>
      </c>
      <c r="M1474">
        <v>123.51</v>
      </c>
      <c r="N1474">
        <v>864.57</v>
      </c>
      <c r="O1474">
        <v>0.05</v>
      </c>
      <c r="P1474">
        <v>43.23</v>
      </c>
      <c r="Q1474">
        <v>821.34</v>
      </c>
      <c r="R1474">
        <v>544.67999999999995</v>
      </c>
      <c r="S1474">
        <v>276.66000000000003</v>
      </c>
    </row>
    <row r="1475" spans="1:19" x14ac:dyDescent="0.35">
      <c r="A1475">
        <v>200213</v>
      </c>
      <c r="B1475">
        <v>1681</v>
      </c>
      <c r="C1475" t="s">
        <v>23</v>
      </c>
      <c r="D1475" t="s">
        <v>31</v>
      </c>
      <c r="E1475" t="s">
        <v>26</v>
      </c>
      <c r="F1475" t="s">
        <v>37</v>
      </c>
      <c r="G1475" s="1">
        <v>45537</v>
      </c>
      <c r="H1475" s="1">
        <v>45538</v>
      </c>
      <c r="I1475" s="1">
        <v>45565</v>
      </c>
      <c r="J1475">
        <v>28</v>
      </c>
      <c r="K1475">
        <v>1</v>
      </c>
      <c r="L1475">
        <v>10</v>
      </c>
      <c r="M1475">
        <v>512.47</v>
      </c>
      <c r="N1475">
        <v>5124.7</v>
      </c>
      <c r="O1475">
        <v>0.02</v>
      </c>
      <c r="P1475">
        <v>102.49</v>
      </c>
      <c r="Q1475">
        <v>5022.21</v>
      </c>
      <c r="R1475">
        <v>3433.55</v>
      </c>
      <c r="S1475">
        <v>1588.66</v>
      </c>
    </row>
    <row r="1476" spans="1:19" x14ac:dyDescent="0.35">
      <c r="A1476">
        <v>200214</v>
      </c>
      <c r="B1476">
        <v>3911</v>
      </c>
      <c r="C1476" t="s">
        <v>28</v>
      </c>
      <c r="D1476" t="s">
        <v>29</v>
      </c>
      <c r="E1476" t="s">
        <v>24</v>
      </c>
      <c r="F1476" t="s">
        <v>32</v>
      </c>
      <c r="G1476" s="1">
        <v>45378</v>
      </c>
      <c r="H1476" s="1">
        <v>45381</v>
      </c>
      <c r="I1476" s="1">
        <v>45406</v>
      </c>
      <c r="J1476">
        <v>28</v>
      </c>
      <c r="K1476">
        <v>3</v>
      </c>
      <c r="L1476">
        <v>1</v>
      </c>
      <c r="M1476">
        <v>223.08</v>
      </c>
      <c r="N1476">
        <v>223.08</v>
      </c>
      <c r="O1476">
        <v>0.12</v>
      </c>
      <c r="P1476">
        <v>26.77</v>
      </c>
      <c r="Q1476">
        <v>196.31</v>
      </c>
      <c r="R1476">
        <v>165.08</v>
      </c>
      <c r="S1476">
        <v>31.23</v>
      </c>
    </row>
    <row r="1477" spans="1:19" x14ac:dyDescent="0.35">
      <c r="A1477">
        <v>200215</v>
      </c>
      <c r="B1477">
        <v>1980</v>
      </c>
      <c r="C1477" t="s">
        <v>23</v>
      </c>
      <c r="D1477" t="s">
        <v>31</v>
      </c>
      <c r="E1477" t="s">
        <v>21</v>
      </c>
      <c r="F1477" t="s">
        <v>38</v>
      </c>
      <c r="G1477" s="1">
        <v>45594</v>
      </c>
      <c r="H1477" s="1">
        <v>45596</v>
      </c>
      <c r="I1477" s="1">
        <v>45606</v>
      </c>
      <c r="J1477">
        <v>12</v>
      </c>
      <c r="K1477">
        <v>2</v>
      </c>
      <c r="L1477">
        <v>10</v>
      </c>
      <c r="M1477">
        <v>479.93</v>
      </c>
      <c r="N1477">
        <v>4799.3</v>
      </c>
      <c r="O1477">
        <v>0.06</v>
      </c>
      <c r="P1477">
        <v>287.95999999999998</v>
      </c>
      <c r="Q1477">
        <v>4511.34</v>
      </c>
      <c r="R1477">
        <v>3455.5</v>
      </c>
      <c r="S1477">
        <v>1055.8399999999999</v>
      </c>
    </row>
    <row r="1478" spans="1:19" x14ac:dyDescent="0.35">
      <c r="A1478">
        <v>200216</v>
      </c>
      <c r="B1478">
        <v>1034</v>
      </c>
      <c r="C1478" t="s">
        <v>33</v>
      </c>
      <c r="D1478" t="s">
        <v>31</v>
      </c>
      <c r="E1478" t="s">
        <v>21</v>
      </c>
      <c r="F1478" t="s">
        <v>41</v>
      </c>
      <c r="G1478" s="1">
        <v>45449</v>
      </c>
      <c r="H1478" s="1">
        <v>45453</v>
      </c>
      <c r="I1478" s="1">
        <v>45452</v>
      </c>
      <c r="J1478">
        <v>3</v>
      </c>
      <c r="K1478">
        <v>4</v>
      </c>
      <c r="L1478">
        <v>8</v>
      </c>
      <c r="M1478">
        <v>33.67</v>
      </c>
      <c r="N1478">
        <v>269.36</v>
      </c>
      <c r="O1478">
        <v>0.09</v>
      </c>
      <c r="P1478">
        <v>24.24</v>
      </c>
      <c r="Q1478">
        <v>245.12</v>
      </c>
      <c r="R1478">
        <v>156.22999999999999</v>
      </c>
      <c r="S1478">
        <v>88.89</v>
      </c>
    </row>
    <row r="1479" spans="1:19" x14ac:dyDescent="0.35">
      <c r="A1479">
        <v>200217</v>
      </c>
      <c r="B1479">
        <v>3223</v>
      </c>
      <c r="C1479" t="s">
        <v>19</v>
      </c>
      <c r="D1479" t="s">
        <v>31</v>
      </c>
      <c r="E1479" t="s">
        <v>34</v>
      </c>
      <c r="F1479" t="s">
        <v>35</v>
      </c>
      <c r="G1479" s="1">
        <v>45493</v>
      </c>
      <c r="H1479" s="1">
        <v>45497</v>
      </c>
      <c r="I1479" s="1">
        <v>45512</v>
      </c>
      <c r="J1479">
        <v>19</v>
      </c>
      <c r="K1479">
        <v>4</v>
      </c>
      <c r="L1479">
        <v>8</v>
      </c>
      <c r="M1479">
        <v>13.62</v>
      </c>
      <c r="N1479">
        <v>108.96</v>
      </c>
      <c r="O1479">
        <v>0.12</v>
      </c>
      <c r="P1479">
        <v>13.08</v>
      </c>
      <c r="Q1479">
        <v>95.88</v>
      </c>
      <c r="R1479">
        <v>73</v>
      </c>
      <c r="S1479">
        <v>22.88</v>
      </c>
    </row>
    <row r="1480" spans="1:19" x14ac:dyDescent="0.35">
      <c r="A1480">
        <v>200218</v>
      </c>
      <c r="B1480">
        <v>4420</v>
      </c>
      <c r="C1480" t="s">
        <v>23</v>
      </c>
      <c r="D1480" t="s">
        <v>29</v>
      </c>
      <c r="E1480" t="s">
        <v>21</v>
      </c>
      <c r="F1480" t="s">
        <v>22</v>
      </c>
      <c r="G1480" s="1">
        <v>45318</v>
      </c>
      <c r="H1480" s="1">
        <v>45320</v>
      </c>
      <c r="I1480" s="1">
        <v>45336</v>
      </c>
      <c r="J1480">
        <v>18</v>
      </c>
      <c r="K1480">
        <v>2</v>
      </c>
      <c r="L1480">
        <v>9</v>
      </c>
      <c r="M1480">
        <v>654.28</v>
      </c>
      <c r="N1480">
        <v>5888.52</v>
      </c>
      <c r="O1480">
        <v>0.13</v>
      </c>
      <c r="P1480">
        <v>765.51</v>
      </c>
      <c r="Q1480">
        <v>5123.01</v>
      </c>
      <c r="R1480">
        <v>3768.65</v>
      </c>
      <c r="S1480">
        <v>1354.36</v>
      </c>
    </row>
    <row r="1481" spans="1:19" x14ac:dyDescent="0.35">
      <c r="A1481">
        <v>200219</v>
      </c>
      <c r="B1481">
        <v>4169</v>
      </c>
      <c r="C1481" t="s">
        <v>19</v>
      </c>
      <c r="D1481" t="s">
        <v>31</v>
      </c>
      <c r="E1481" t="s">
        <v>21</v>
      </c>
      <c r="F1481" t="s">
        <v>38</v>
      </c>
      <c r="G1481" s="1">
        <v>45525</v>
      </c>
      <c r="H1481" s="1">
        <v>45529</v>
      </c>
      <c r="I1481" s="1">
        <v>45532</v>
      </c>
      <c r="J1481">
        <v>7</v>
      </c>
      <c r="K1481">
        <v>4</v>
      </c>
      <c r="L1481">
        <v>14</v>
      </c>
      <c r="M1481">
        <v>128.87</v>
      </c>
      <c r="N1481">
        <v>1804.18</v>
      </c>
      <c r="O1481">
        <v>0.1</v>
      </c>
      <c r="P1481">
        <v>180.42</v>
      </c>
      <c r="Q1481">
        <v>1623.76</v>
      </c>
      <c r="R1481">
        <v>1046.42</v>
      </c>
      <c r="S1481">
        <v>577.34</v>
      </c>
    </row>
    <row r="1482" spans="1:19" x14ac:dyDescent="0.35">
      <c r="A1482">
        <v>200220</v>
      </c>
      <c r="B1482">
        <v>4244</v>
      </c>
      <c r="C1482" t="s">
        <v>19</v>
      </c>
      <c r="D1482" t="s">
        <v>31</v>
      </c>
      <c r="E1482" t="s">
        <v>26</v>
      </c>
      <c r="F1482" t="s">
        <v>37</v>
      </c>
      <c r="G1482" s="1">
        <v>45332</v>
      </c>
      <c r="H1482" s="1">
        <v>45336</v>
      </c>
      <c r="I1482" s="1">
        <v>45335</v>
      </c>
      <c r="J1482">
        <v>3</v>
      </c>
      <c r="K1482">
        <v>4</v>
      </c>
      <c r="L1482">
        <v>10</v>
      </c>
      <c r="M1482">
        <v>92.59</v>
      </c>
      <c r="N1482">
        <v>925.9</v>
      </c>
      <c r="O1482">
        <v>0.14000000000000001</v>
      </c>
      <c r="P1482">
        <v>129.63</v>
      </c>
      <c r="Q1482">
        <v>796.27</v>
      </c>
      <c r="R1482">
        <v>592.58000000000004</v>
      </c>
      <c r="S1482">
        <v>203.69</v>
      </c>
    </row>
    <row r="1483" spans="1:19" x14ac:dyDescent="0.35">
      <c r="A1483">
        <v>200221</v>
      </c>
      <c r="B1483">
        <v>4000</v>
      </c>
      <c r="C1483" t="s">
        <v>23</v>
      </c>
      <c r="D1483" t="s">
        <v>29</v>
      </c>
      <c r="E1483" t="s">
        <v>21</v>
      </c>
      <c r="F1483" t="s">
        <v>22</v>
      </c>
      <c r="G1483" s="1">
        <v>45334</v>
      </c>
      <c r="H1483" s="1">
        <v>45336</v>
      </c>
      <c r="I1483" s="1">
        <v>45360</v>
      </c>
      <c r="J1483">
        <v>26</v>
      </c>
      <c r="K1483">
        <v>2</v>
      </c>
      <c r="L1483">
        <v>5</v>
      </c>
      <c r="M1483">
        <v>86.02</v>
      </c>
      <c r="N1483">
        <v>430.1</v>
      </c>
      <c r="O1483">
        <v>0.06</v>
      </c>
      <c r="P1483">
        <v>25.81</v>
      </c>
      <c r="Q1483">
        <v>404.29</v>
      </c>
      <c r="R1483">
        <v>249.46</v>
      </c>
      <c r="S1483">
        <v>154.83000000000001</v>
      </c>
    </row>
    <row r="1484" spans="1:19" x14ac:dyDescent="0.35">
      <c r="A1484">
        <v>200222</v>
      </c>
      <c r="B1484">
        <v>3595</v>
      </c>
      <c r="C1484" t="s">
        <v>28</v>
      </c>
      <c r="D1484" t="s">
        <v>29</v>
      </c>
      <c r="E1484" t="s">
        <v>21</v>
      </c>
      <c r="F1484" t="s">
        <v>38</v>
      </c>
      <c r="G1484" s="1">
        <v>45633</v>
      </c>
      <c r="H1484" s="1">
        <v>45634</v>
      </c>
      <c r="I1484" s="1">
        <v>45653</v>
      </c>
      <c r="J1484">
        <v>20</v>
      </c>
      <c r="K1484">
        <v>1</v>
      </c>
      <c r="L1484">
        <v>12</v>
      </c>
      <c r="M1484">
        <v>461.73</v>
      </c>
      <c r="N1484">
        <v>5540.76</v>
      </c>
      <c r="O1484">
        <v>0.06</v>
      </c>
      <c r="P1484">
        <v>332.45</v>
      </c>
      <c r="Q1484">
        <v>5208.3100000000004</v>
      </c>
      <c r="R1484">
        <v>3490.68</v>
      </c>
      <c r="S1484">
        <v>1717.63</v>
      </c>
    </row>
    <row r="1485" spans="1:19" x14ac:dyDescent="0.35">
      <c r="A1485">
        <v>200223</v>
      </c>
      <c r="B1485">
        <v>3093</v>
      </c>
      <c r="C1485" t="s">
        <v>19</v>
      </c>
      <c r="D1485" t="s">
        <v>29</v>
      </c>
      <c r="E1485" t="s">
        <v>26</v>
      </c>
      <c r="F1485" t="s">
        <v>44</v>
      </c>
      <c r="G1485" s="1">
        <v>45562</v>
      </c>
      <c r="H1485" s="1">
        <v>45564</v>
      </c>
      <c r="I1485" s="1">
        <v>45580</v>
      </c>
      <c r="J1485">
        <v>18</v>
      </c>
      <c r="K1485">
        <v>2</v>
      </c>
      <c r="L1485">
        <v>9</v>
      </c>
      <c r="M1485">
        <v>168.57</v>
      </c>
      <c r="N1485">
        <v>1517.13</v>
      </c>
      <c r="O1485">
        <v>0.02</v>
      </c>
      <c r="P1485">
        <v>30.34</v>
      </c>
      <c r="Q1485">
        <v>1486.79</v>
      </c>
      <c r="R1485">
        <v>940.62</v>
      </c>
      <c r="S1485">
        <v>546.16999999999996</v>
      </c>
    </row>
    <row r="1486" spans="1:19" x14ac:dyDescent="0.35">
      <c r="A1486">
        <v>200224</v>
      </c>
      <c r="B1486">
        <v>3713</v>
      </c>
      <c r="C1486" t="s">
        <v>19</v>
      </c>
      <c r="D1486" t="s">
        <v>20</v>
      </c>
      <c r="E1486" t="s">
        <v>24</v>
      </c>
      <c r="F1486" t="s">
        <v>42</v>
      </c>
      <c r="G1486" s="1">
        <v>45474</v>
      </c>
      <c r="H1486" s="1">
        <v>45478</v>
      </c>
      <c r="I1486" s="1">
        <v>45477</v>
      </c>
      <c r="J1486">
        <v>3</v>
      </c>
      <c r="K1486">
        <v>4</v>
      </c>
      <c r="L1486">
        <v>13</v>
      </c>
      <c r="M1486">
        <v>223.53</v>
      </c>
      <c r="N1486">
        <v>2905.89</v>
      </c>
      <c r="O1486">
        <v>0.03</v>
      </c>
      <c r="P1486">
        <v>87.18</v>
      </c>
      <c r="Q1486">
        <v>2818.71</v>
      </c>
      <c r="R1486">
        <v>1946.95</v>
      </c>
      <c r="S1486">
        <v>871.76</v>
      </c>
    </row>
    <row r="1487" spans="1:19" x14ac:dyDescent="0.35">
      <c r="A1487">
        <v>200225</v>
      </c>
      <c r="B1487">
        <v>3971</v>
      </c>
      <c r="C1487" t="s">
        <v>28</v>
      </c>
      <c r="D1487" t="s">
        <v>20</v>
      </c>
      <c r="E1487" t="s">
        <v>34</v>
      </c>
      <c r="F1487" t="s">
        <v>45</v>
      </c>
      <c r="G1487" s="1">
        <v>45435</v>
      </c>
      <c r="H1487" s="1">
        <v>45436</v>
      </c>
      <c r="I1487" s="1">
        <v>45438</v>
      </c>
      <c r="J1487">
        <v>3</v>
      </c>
      <c r="K1487">
        <v>1</v>
      </c>
      <c r="L1487">
        <v>13</v>
      </c>
      <c r="M1487">
        <v>405.93</v>
      </c>
      <c r="N1487">
        <v>5277.09</v>
      </c>
      <c r="O1487">
        <v>0</v>
      </c>
      <c r="P1487">
        <v>0</v>
      </c>
      <c r="Q1487">
        <v>5277.09</v>
      </c>
      <c r="R1487">
        <v>2849.63</v>
      </c>
      <c r="S1487">
        <v>2427.46</v>
      </c>
    </row>
    <row r="1488" spans="1:19" x14ac:dyDescent="0.35">
      <c r="A1488">
        <v>200226</v>
      </c>
      <c r="B1488">
        <v>2976</v>
      </c>
      <c r="C1488" t="s">
        <v>23</v>
      </c>
      <c r="D1488" t="s">
        <v>31</v>
      </c>
      <c r="E1488" t="s">
        <v>34</v>
      </c>
      <c r="F1488" t="s">
        <v>45</v>
      </c>
      <c r="G1488" s="1">
        <v>45308</v>
      </c>
      <c r="H1488" s="1">
        <v>45310</v>
      </c>
      <c r="I1488" s="1">
        <v>45321</v>
      </c>
      <c r="J1488">
        <v>13</v>
      </c>
      <c r="K1488">
        <v>2</v>
      </c>
      <c r="L1488">
        <v>10</v>
      </c>
      <c r="M1488">
        <v>324.69</v>
      </c>
      <c r="N1488">
        <v>3246.9</v>
      </c>
      <c r="O1488">
        <v>0.2</v>
      </c>
      <c r="P1488">
        <v>649.38</v>
      </c>
      <c r="Q1488">
        <v>2597.52</v>
      </c>
      <c r="R1488">
        <v>2110.48</v>
      </c>
      <c r="S1488">
        <v>487.04</v>
      </c>
    </row>
    <row r="1489" spans="1:19" x14ac:dyDescent="0.35">
      <c r="A1489">
        <v>200227</v>
      </c>
      <c r="B1489">
        <v>4678</v>
      </c>
      <c r="C1489" t="s">
        <v>23</v>
      </c>
      <c r="D1489" t="s">
        <v>20</v>
      </c>
      <c r="E1489" t="s">
        <v>24</v>
      </c>
      <c r="F1489" t="s">
        <v>42</v>
      </c>
      <c r="G1489" s="1">
        <v>45520</v>
      </c>
      <c r="H1489" s="1">
        <v>45522</v>
      </c>
      <c r="I1489" s="1">
        <v>45528</v>
      </c>
      <c r="J1489">
        <v>8</v>
      </c>
      <c r="K1489">
        <v>2</v>
      </c>
      <c r="L1489">
        <v>11</v>
      </c>
      <c r="M1489">
        <v>602.9</v>
      </c>
      <c r="N1489">
        <v>6631.9</v>
      </c>
      <c r="O1489">
        <v>0.17</v>
      </c>
      <c r="P1489">
        <v>1127.42</v>
      </c>
      <c r="Q1489">
        <v>5504.48</v>
      </c>
      <c r="R1489">
        <v>4111.78</v>
      </c>
      <c r="S1489">
        <v>1392.7</v>
      </c>
    </row>
    <row r="1490" spans="1:19" x14ac:dyDescent="0.35">
      <c r="A1490">
        <v>200228</v>
      </c>
      <c r="B1490">
        <v>1192</v>
      </c>
      <c r="C1490" t="s">
        <v>28</v>
      </c>
      <c r="D1490" t="s">
        <v>29</v>
      </c>
      <c r="E1490" t="s">
        <v>24</v>
      </c>
      <c r="F1490" t="s">
        <v>42</v>
      </c>
      <c r="G1490" s="1">
        <v>45326</v>
      </c>
      <c r="H1490" s="1">
        <v>45329</v>
      </c>
      <c r="I1490" s="1">
        <v>45346</v>
      </c>
      <c r="J1490">
        <v>20</v>
      </c>
      <c r="K1490">
        <v>3</v>
      </c>
      <c r="L1490">
        <v>14</v>
      </c>
      <c r="M1490">
        <v>562.87</v>
      </c>
      <c r="N1490">
        <v>7880.18</v>
      </c>
      <c r="O1490">
        <v>0.12</v>
      </c>
      <c r="P1490">
        <v>945.62</v>
      </c>
      <c r="Q1490">
        <v>6934.56</v>
      </c>
      <c r="R1490">
        <v>5752.53</v>
      </c>
      <c r="S1490">
        <v>1182.03</v>
      </c>
    </row>
    <row r="1491" spans="1:19" x14ac:dyDescent="0.35">
      <c r="A1491">
        <v>200229</v>
      </c>
      <c r="B1491">
        <v>2119</v>
      </c>
      <c r="C1491" t="s">
        <v>28</v>
      </c>
      <c r="D1491" t="s">
        <v>20</v>
      </c>
      <c r="E1491" t="s">
        <v>26</v>
      </c>
      <c r="F1491" t="s">
        <v>27</v>
      </c>
      <c r="G1491" s="1">
        <v>45615</v>
      </c>
      <c r="H1491" s="1">
        <v>45620</v>
      </c>
      <c r="I1491" s="1">
        <v>45631</v>
      </c>
      <c r="J1491">
        <v>16</v>
      </c>
      <c r="K1491">
        <v>5</v>
      </c>
      <c r="L1491">
        <v>3</v>
      </c>
      <c r="M1491">
        <v>740.11</v>
      </c>
      <c r="N1491">
        <v>2220.33</v>
      </c>
      <c r="O1491">
        <v>0.2</v>
      </c>
      <c r="P1491">
        <v>444.07</v>
      </c>
      <c r="Q1491">
        <v>1776.26</v>
      </c>
      <c r="R1491">
        <v>1309.99</v>
      </c>
      <c r="S1491">
        <v>466.27</v>
      </c>
    </row>
    <row r="1492" spans="1:19" x14ac:dyDescent="0.35">
      <c r="A1492">
        <v>200230</v>
      </c>
      <c r="B1492">
        <v>2019</v>
      </c>
      <c r="C1492" t="s">
        <v>23</v>
      </c>
      <c r="D1492" t="s">
        <v>29</v>
      </c>
      <c r="E1492" t="s">
        <v>34</v>
      </c>
      <c r="F1492" t="s">
        <v>45</v>
      </c>
      <c r="G1492" s="1">
        <v>45435</v>
      </c>
      <c r="H1492" s="1">
        <v>45437</v>
      </c>
      <c r="I1492" s="1">
        <v>45444</v>
      </c>
      <c r="J1492">
        <v>9</v>
      </c>
      <c r="K1492">
        <v>2</v>
      </c>
      <c r="L1492">
        <v>9</v>
      </c>
      <c r="M1492">
        <v>347.56</v>
      </c>
      <c r="N1492">
        <v>3128.04</v>
      </c>
      <c r="O1492">
        <v>0.08</v>
      </c>
      <c r="P1492">
        <v>250.24</v>
      </c>
      <c r="Q1492">
        <v>2877.8</v>
      </c>
      <c r="R1492">
        <v>1595.3</v>
      </c>
      <c r="S1492">
        <v>1282.5</v>
      </c>
    </row>
    <row r="1493" spans="1:19" x14ac:dyDescent="0.35">
      <c r="A1493">
        <v>200231</v>
      </c>
      <c r="B1493">
        <v>3389</v>
      </c>
      <c r="C1493" t="s">
        <v>23</v>
      </c>
      <c r="D1493" t="s">
        <v>20</v>
      </c>
      <c r="E1493" t="s">
        <v>34</v>
      </c>
      <c r="F1493" t="s">
        <v>45</v>
      </c>
      <c r="G1493" s="1">
        <v>45555</v>
      </c>
      <c r="H1493" s="1">
        <v>45560</v>
      </c>
      <c r="I1493" s="1">
        <v>45585</v>
      </c>
      <c r="J1493">
        <v>30</v>
      </c>
      <c r="K1493">
        <v>5</v>
      </c>
      <c r="L1493">
        <v>6</v>
      </c>
      <c r="M1493">
        <v>308.22000000000003</v>
      </c>
      <c r="N1493">
        <v>1849.32</v>
      </c>
      <c r="O1493">
        <v>0.13</v>
      </c>
      <c r="P1493">
        <v>240.41</v>
      </c>
      <c r="Q1493">
        <v>1608.91</v>
      </c>
      <c r="R1493">
        <v>1276.03</v>
      </c>
      <c r="S1493">
        <v>332.88</v>
      </c>
    </row>
    <row r="1494" spans="1:19" x14ac:dyDescent="0.35">
      <c r="A1494">
        <v>200232</v>
      </c>
      <c r="B1494">
        <v>2567</v>
      </c>
      <c r="C1494" t="s">
        <v>23</v>
      </c>
      <c r="D1494" t="s">
        <v>29</v>
      </c>
      <c r="E1494" t="s">
        <v>34</v>
      </c>
      <c r="F1494" t="s">
        <v>35</v>
      </c>
      <c r="G1494" s="1">
        <v>45453</v>
      </c>
      <c r="H1494" s="1">
        <v>45454</v>
      </c>
      <c r="I1494" s="1">
        <v>45472</v>
      </c>
      <c r="J1494">
        <v>19</v>
      </c>
      <c r="K1494">
        <v>1</v>
      </c>
      <c r="L1494">
        <v>7</v>
      </c>
      <c r="M1494">
        <v>110.88</v>
      </c>
      <c r="N1494">
        <v>776.16</v>
      </c>
      <c r="O1494">
        <v>0.08</v>
      </c>
      <c r="P1494">
        <v>62.09</v>
      </c>
      <c r="Q1494">
        <v>714.07</v>
      </c>
      <c r="R1494">
        <v>496.74</v>
      </c>
      <c r="S1494">
        <v>217.33</v>
      </c>
    </row>
    <row r="1495" spans="1:19" x14ac:dyDescent="0.35">
      <c r="A1495">
        <v>200233</v>
      </c>
      <c r="B1495">
        <v>2960</v>
      </c>
      <c r="C1495" t="s">
        <v>28</v>
      </c>
      <c r="D1495" t="s">
        <v>20</v>
      </c>
      <c r="E1495" t="s">
        <v>21</v>
      </c>
      <c r="F1495" t="s">
        <v>41</v>
      </c>
      <c r="G1495" s="1">
        <v>45318</v>
      </c>
      <c r="H1495" s="1">
        <v>45321</v>
      </c>
      <c r="I1495" s="1">
        <v>45336</v>
      </c>
      <c r="J1495">
        <v>18</v>
      </c>
      <c r="K1495">
        <v>3</v>
      </c>
      <c r="L1495">
        <v>10</v>
      </c>
      <c r="M1495">
        <v>360.51</v>
      </c>
      <c r="N1495">
        <v>3605.1</v>
      </c>
      <c r="O1495">
        <v>7.0000000000000007E-2</v>
      </c>
      <c r="P1495">
        <v>252.36</v>
      </c>
      <c r="Q1495">
        <v>3352.74</v>
      </c>
      <c r="R1495">
        <v>2379.37</v>
      </c>
      <c r="S1495">
        <v>973.37</v>
      </c>
    </row>
    <row r="1496" spans="1:19" x14ac:dyDescent="0.35">
      <c r="A1496">
        <v>200234</v>
      </c>
      <c r="B1496">
        <v>4160</v>
      </c>
      <c r="C1496" t="s">
        <v>19</v>
      </c>
      <c r="D1496" t="s">
        <v>31</v>
      </c>
      <c r="E1496" t="s">
        <v>34</v>
      </c>
      <c r="F1496" t="s">
        <v>40</v>
      </c>
      <c r="G1496" s="1">
        <v>45550</v>
      </c>
      <c r="H1496" s="1">
        <v>45552</v>
      </c>
      <c r="I1496" s="1">
        <v>45578</v>
      </c>
      <c r="J1496">
        <v>28</v>
      </c>
      <c r="K1496">
        <v>2</v>
      </c>
      <c r="L1496">
        <v>13</v>
      </c>
      <c r="M1496">
        <v>280.39999999999998</v>
      </c>
      <c r="N1496">
        <v>3645.2</v>
      </c>
      <c r="O1496">
        <v>0.17</v>
      </c>
      <c r="P1496">
        <v>619.67999999999995</v>
      </c>
      <c r="Q1496">
        <v>3025.52</v>
      </c>
      <c r="R1496">
        <v>2442.2800000000002</v>
      </c>
      <c r="S1496">
        <v>583.24</v>
      </c>
    </row>
    <row r="1497" spans="1:19" x14ac:dyDescent="0.35">
      <c r="A1497">
        <v>200235</v>
      </c>
      <c r="B1497">
        <v>4380</v>
      </c>
      <c r="C1497" t="s">
        <v>19</v>
      </c>
      <c r="D1497" t="s">
        <v>31</v>
      </c>
      <c r="E1497" t="s">
        <v>21</v>
      </c>
      <c r="F1497" t="s">
        <v>39</v>
      </c>
      <c r="G1497" s="1">
        <v>45416</v>
      </c>
      <c r="H1497" s="1">
        <v>45418</v>
      </c>
      <c r="I1497" s="1">
        <v>45430</v>
      </c>
      <c r="J1497">
        <v>14</v>
      </c>
      <c r="K1497">
        <v>2</v>
      </c>
      <c r="L1497">
        <v>4</v>
      </c>
      <c r="M1497">
        <v>205.91</v>
      </c>
      <c r="N1497">
        <v>823.64</v>
      </c>
      <c r="O1497">
        <v>0.14000000000000001</v>
      </c>
      <c r="P1497">
        <v>115.31</v>
      </c>
      <c r="Q1497">
        <v>708.33</v>
      </c>
      <c r="R1497">
        <v>576.54999999999995</v>
      </c>
      <c r="S1497">
        <v>131.78</v>
      </c>
    </row>
    <row r="1498" spans="1:19" x14ac:dyDescent="0.35">
      <c r="A1498">
        <v>200236</v>
      </c>
      <c r="B1498">
        <v>1151</v>
      </c>
      <c r="C1498" t="s">
        <v>23</v>
      </c>
      <c r="D1498" t="s">
        <v>20</v>
      </c>
      <c r="E1498" t="s">
        <v>24</v>
      </c>
      <c r="F1498" t="s">
        <v>30</v>
      </c>
      <c r="G1498" s="1">
        <v>45626</v>
      </c>
      <c r="H1498" s="1">
        <v>45627</v>
      </c>
      <c r="I1498" s="1">
        <v>45655</v>
      </c>
      <c r="J1498">
        <v>29</v>
      </c>
      <c r="K1498">
        <v>1</v>
      </c>
      <c r="L1498">
        <v>7</v>
      </c>
      <c r="M1498">
        <v>452.23</v>
      </c>
      <c r="N1498">
        <v>3165.61</v>
      </c>
      <c r="O1498">
        <v>0.09</v>
      </c>
      <c r="P1498">
        <v>284.89999999999998</v>
      </c>
      <c r="Q1498">
        <v>2880.71</v>
      </c>
      <c r="R1498">
        <v>2089.3000000000002</v>
      </c>
      <c r="S1498">
        <v>791.41</v>
      </c>
    </row>
    <row r="1499" spans="1:19" x14ac:dyDescent="0.35">
      <c r="A1499">
        <v>200237</v>
      </c>
      <c r="B1499">
        <v>2425</v>
      </c>
      <c r="C1499" t="s">
        <v>19</v>
      </c>
      <c r="D1499" t="s">
        <v>29</v>
      </c>
      <c r="E1499" t="s">
        <v>24</v>
      </c>
      <c r="F1499" t="s">
        <v>42</v>
      </c>
      <c r="G1499" s="1">
        <v>45431</v>
      </c>
      <c r="H1499" s="1">
        <v>45436</v>
      </c>
      <c r="I1499" s="1">
        <v>45456</v>
      </c>
      <c r="J1499">
        <v>25</v>
      </c>
      <c r="K1499">
        <v>5</v>
      </c>
      <c r="L1499">
        <v>4</v>
      </c>
      <c r="M1499">
        <v>580.51</v>
      </c>
      <c r="N1499">
        <v>2322.04</v>
      </c>
      <c r="O1499">
        <v>0.08</v>
      </c>
      <c r="P1499">
        <v>185.76</v>
      </c>
      <c r="Q1499">
        <v>2136.2800000000002</v>
      </c>
      <c r="R1499">
        <v>1462.89</v>
      </c>
      <c r="S1499">
        <v>673.39</v>
      </c>
    </row>
    <row r="1500" spans="1:19" x14ac:dyDescent="0.35">
      <c r="A1500">
        <v>200238</v>
      </c>
      <c r="B1500">
        <v>4936</v>
      </c>
      <c r="C1500" t="s">
        <v>33</v>
      </c>
      <c r="D1500" t="s">
        <v>29</v>
      </c>
      <c r="E1500" t="s">
        <v>26</v>
      </c>
      <c r="F1500" t="s">
        <v>37</v>
      </c>
      <c r="G1500" s="1">
        <v>45514</v>
      </c>
      <c r="H1500" s="1">
        <v>45517</v>
      </c>
      <c r="I1500" s="1">
        <v>45526</v>
      </c>
      <c r="J1500">
        <v>12</v>
      </c>
      <c r="K1500">
        <v>3</v>
      </c>
      <c r="L1500">
        <v>13</v>
      </c>
      <c r="M1500">
        <v>42.84</v>
      </c>
      <c r="N1500">
        <v>556.91999999999996</v>
      </c>
      <c r="O1500">
        <v>0.08</v>
      </c>
      <c r="P1500">
        <v>44.55</v>
      </c>
      <c r="Q1500">
        <v>512.37</v>
      </c>
      <c r="R1500">
        <v>350.86</v>
      </c>
      <c r="S1500">
        <v>161.51</v>
      </c>
    </row>
    <row r="1501" spans="1:19" x14ac:dyDescent="0.35">
      <c r="A1501">
        <v>200239</v>
      </c>
      <c r="B1501">
        <v>1476</v>
      </c>
      <c r="C1501" t="s">
        <v>33</v>
      </c>
      <c r="D1501" t="s">
        <v>20</v>
      </c>
      <c r="E1501" t="s">
        <v>24</v>
      </c>
      <c r="F1501" t="s">
        <v>32</v>
      </c>
      <c r="G1501" s="1">
        <v>45463</v>
      </c>
      <c r="H1501" s="1">
        <v>45465</v>
      </c>
      <c r="I1501" s="1">
        <v>45476</v>
      </c>
      <c r="J1501">
        <v>13</v>
      </c>
      <c r="K1501">
        <v>2</v>
      </c>
      <c r="L1501">
        <v>7</v>
      </c>
      <c r="M1501">
        <v>506.89</v>
      </c>
      <c r="N1501">
        <v>3548.23</v>
      </c>
      <c r="O1501">
        <v>0.09</v>
      </c>
      <c r="P1501">
        <v>319.33999999999997</v>
      </c>
      <c r="Q1501">
        <v>3228.89</v>
      </c>
      <c r="R1501">
        <v>2164.42</v>
      </c>
      <c r="S1501">
        <v>1064.47</v>
      </c>
    </row>
    <row r="1502" spans="1:19" x14ac:dyDescent="0.35">
      <c r="A1502">
        <v>200240</v>
      </c>
      <c r="B1502">
        <v>4407</v>
      </c>
      <c r="C1502" t="s">
        <v>19</v>
      </c>
      <c r="D1502" t="s">
        <v>29</v>
      </c>
      <c r="E1502" t="s">
        <v>26</v>
      </c>
      <c r="F1502" t="s">
        <v>37</v>
      </c>
      <c r="G1502" s="1">
        <v>45525</v>
      </c>
      <c r="H1502" s="1">
        <v>45527</v>
      </c>
      <c r="I1502" s="1">
        <v>45549</v>
      </c>
      <c r="J1502">
        <v>24</v>
      </c>
      <c r="K1502">
        <v>2</v>
      </c>
      <c r="L1502">
        <v>10</v>
      </c>
      <c r="M1502">
        <v>395.99</v>
      </c>
      <c r="N1502">
        <v>3959.9</v>
      </c>
      <c r="O1502">
        <v>0.04</v>
      </c>
      <c r="P1502">
        <v>158.4</v>
      </c>
      <c r="Q1502">
        <v>3801.5</v>
      </c>
      <c r="R1502">
        <v>2732.33</v>
      </c>
      <c r="S1502">
        <v>1069.17</v>
      </c>
    </row>
    <row r="1503" spans="1:19" x14ac:dyDescent="0.35">
      <c r="A1503">
        <v>200241</v>
      </c>
      <c r="B1503">
        <v>1089</v>
      </c>
      <c r="C1503" t="s">
        <v>19</v>
      </c>
      <c r="D1503" t="s">
        <v>29</v>
      </c>
      <c r="E1503" t="s">
        <v>24</v>
      </c>
      <c r="F1503" t="s">
        <v>25</v>
      </c>
      <c r="G1503" s="1">
        <v>45512</v>
      </c>
      <c r="H1503" s="1">
        <v>45517</v>
      </c>
      <c r="I1503" s="1">
        <v>45538</v>
      </c>
      <c r="J1503">
        <v>26</v>
      </c>
      <c r="K1503">
        <v>5</v>
      </c>
      <c r="L1503">
        <v>13</v>
      </c>
      <c r="M1503">
        <v>522.04999999999995</v>
      </c>
      <c r="N1503">
        <v>6786.65</v>
      </c>
      <c r="O1503">
        <v>0</v>
      </c>
      <c r="P1503">
        <v>0</v>
      </c>
      <c r="Q1503">
        <v>6786.65</v>
      </c>
      <c r="R1503">
        <v>4071.99</v>
      </c>
      <c r="S1503">
        <v>2714.66</v>
      </c>
    </row>
    <row r="1504" spans="1:19" x14ac:dyDescent="0.35">
      <c r="A1504">
        <v>200242</v>
      </c>
      <c r="B1504">
        <v>2624</v>
      </c>
      <c r="C1504" t="s">
        <v>33</v>
      </c>
      <c r="D1504" t="s">
        <v>29</v>
      </c>
      <c r="E1504" t="s">
        <v>34</v>
      </c>
      <c r="F1504" t="s">
        <v>43</v>
      </c>
      <c r="G1504" s="1">
        <v>45653</v>
      </c>
      <c r="H1504" s="1">
        <v>45657</v>
      </c>
      <c r="I1504" s="1">
        <v>45681</v>
      </c>
      <c r="J1504">
        <v>28</v>
      </c>
      <c r="K1504">
        <v>4</v>
      </c>
      <c r="L1504">
        <v>9</v>
      </c>
      <c r="M1504">
        <v>21.05</v>
      </c>
      <c r="N1504">
        <v>189.45</v>
      </c>
      <c r="O1504">
        <v>0.04</v>
      </c>
      <c r="P1504">
        <v>7.58</v>
      </c>
      <c r="Q1504">
        <v>181.87</v>
      </c>
      <c r="R1504">
        <v>126.93</v>
      </c>
      <c r="S1504">
        <v>54.94</v>
      </c>
    </row>
    <row r="1505" spans="1:19" x14ac:dyDescent="0.35">
      <c r="A1505">
        <v>200243</v>
      </c>
      <c r="B1505">
        <v>1107</v>
      </c>
      <c r="C1505" t="s">
        <v>23</v>
      </c>
      <c r="D1505" t="s">
        <v>31</v>
      </c>
      <c r="E1505" t="s">
        <v>24</v>
      </c>
      <c r="F1505" t="s">
        <v>30</v>
      </c>
      <c r="G1505" s="1">
        <v>45327</v>
      </c>
      <c r="H1505" s="1">
        <v>45331</v>
      </c>
      <c r="I1505" s="1">
        <v>45344</v>
      </c>
      <c r="J1505">
        <v>17</v>
      </c>
      <c r="K1505">
        <v>4</v>
      </c>
      <c r="L1505">
        <v>5</v>
      </c>
      <c r="M1505">
        <v>430.94</v>
      </c>
      <c r="N1505">
        <v>2154.6999999999998</v>
      </c>
      <c r="O1505">
        <v>0.18</v>
      </c>
      <c r="P1505">
        <v>387.85</v>
      </c>
      <c r="Q1505">
        <v>1766.85</v>
      </c>
      <c r="R1505">
        <v>1400.55</v>
      </c>
      <c r="S1505">
        <v>366.3</v>
      </c>
    </row>
    <row r="1506" spans="1:19" x14ac:dyDescent="0.35">
      <c r="A1506">
        <v>200244</v>
      </c>
      <c r="B1506">
        <v>3736</v>
      </c>
      <c r="C1506" t="s">
        <v>19</v>
      </c>
      <c r="D1506" t="s">
        <v>31</v>
      </c>
      <c r="E1506" t="s">
        <v>21</v>
      </c>
      <c r="F1506" t="s">
        <v>39</v>
      </c>
      <c r="G1506" s="1">
        <v>45387</v>
      </c>
      <c r="H1506" s="1">
        <v>45388</v>
      </c>
      <c r="I1506" s="1">
        <v>45410</v>
      </c>
      <c r="J1506">
        <v>23</v>
      </c>
      <c r="K1506">
        <v>1</v>
      </c>
      <c r="L1506">
        <v>14</v>
      </c>
      <c r="M1506">
        <v>736.57</v>
      </c>
      <c r="N1506">
        <v>10311.98</v>
      </c>
      <c r="O1506">
        <v>0.15</v>
      </c>
      <c r="P1506">
        <v>1546.8</v>
      </c>
      <c r="Q1506">
        <v>8765.18</v>
      </c>
      <c r="R1506">
        <v>7115.27</v>
      </c>
      <c r="S1506">
        <v>1649.91</v>
      </c>
    </row>
    <row r="1507" spans="1:19" x14ac:dyDescent="0.35">
      <c r="A1507">
        <v>200245</v>
      </c>
      <c r="B1507">
        <v>2223</v>
      </c>
      <c r="C1507" t="s">
        <v>33</v>
      </c>
      <c r="D1507" t="s">
        <v>20</v>
      </c>
      <c r="E1507" t="s">
        <v>34</v>
      </c>
      <c r="F1507" t="s">
        <v>40</v>
      </c>
      <c r="G1507" s="1">
        <v>45388</v>
      </c>
      <c r="H1507" s="1">
        <v>45390</v>
      </c>
      <c r="I1507" s="1">
        <v>45402</v>
      </c>
      <c r="J1507">
        <v>14</v>
      </c>
      <c r="K1507">
        <v>2</v>
      </c>
      <c r="L1507">
        <v>7</v>
      </c>
      <c r="M1507">
        <v>520.19000000000005</v>
      </c>
      <c r="N1507">
        <v>3641.33</v>
      </c>
      <c r="O1507">
        <v>0.09</v>
      </c>
      <c r="P1507">
        <v>327.72</v>
      </c>
      <c r="Q1507">
        <v>3313.61</v>
      </c>
      <c r="R1507">
        <v>2366.86</v>
      </c>
      <c r="S1507">
        <v>946.75</v>
      </c>
    </row>
    <row r="1508" spans="1:19" x14ac:dyDescent="0.35">
      <c r="A1508">
        <v>200246</v>
      </c>
      <c r="B1508">
        <v>2044</v>
      </c>
      <c r="C1508" t="s">
        <v>28</v>
      </c>
      <c r="D1508" t="s">
        <v>20</v>
      </c>
      <c r="E1508" t="s">
        <v>34</v>
      </c>
      <c r="F1508" t="s">
        <v>40</v>
      </c>
      <c r="G1508" s="1">
        <v>45340</v>
      </c>
      <c r="H1508" s="1">
        <v>45345</v>
      </c>
      <c r="I1508" s="1">
        <v>45344</v>
      </c>
      <c r="J1508">
        <v>4</v>
      </c>
      <c r="K1508">
        <v>5</v>
      </c>
      <c r="L1508">
        <v>3</v>
      </c>
      <c r="M1508">
        <v>606.04</v>
      </c>
      <c r="N1508">
        <v>1818.12</v>
      </c>
      <c r="O1508">
        <v>0.11</v>
      </c>
      <c r="P1508">
        <v>199.99</v>
      </c>
      <c r="Q1508">
        <v>1618.13</v>
      </c>
      <c r="R1508">
        <v>1109.05</v>
      </c>
      <c r="S1508">
        <v>509.08</v>
      </c>
    </row>
    <row r="1509" spans="1:19" x14ac:dyDescent="0.35">
      <c r="A1509">
        <v>200247</v>
      </c>
      <c r="B1509">
        <v>2635</v>
      </c>
      <c r="C1509" t="s">
        <v>28</v>
      </c>
      <c r="D1509" t="s">
        <v>20</v>
      </c>
      <c r="E1509" t="s">
        <v>26</v>
      </c>
      <c r="F1509" t="s">
        <v>44</v>
      </c>
      <c r="G1509" s="1">
        <v>45639</v>
      </c>
      <c r="H1509" s="1">
        <v>45644</v>
      </c>
      <c r="I1509" s="1">
        <v>45656</v>
      </c>
      <c r="J1509">
        <v>17</v>
      </c>
      <c r="K1509">
        <v>5</v>
      </c>
      <c r="L1509">
        <v>8</v>
      </c>
      <c r="M1509">
        <v>445.84</v>
      </c>
      <c r="N1509">
        <v>3566.72</v>
      </c>
      <c r="O1509">
        <v>0.15</v>
      </c>
      <c r="P1509">
        <v>535.01</v>
      </c>
      <c r="Q1509">
        <v>3031.71</v>
      </c>
      <c r="R1509">
        <v>2247.0300000000002</v>
      </c>
      <c r="S1509">
        <v>784.68</v>
      </c>
    </row>
    <row r="1510" spans="1:19" x14ac:dyDescent="0.35">
      <c r="A1510">
        <v>200248</v>
      </c>
      <c r="B1510">
        <v>2187</v>
      </c>
      <c r="C1510" t="s">
        <v>33</v>
      </c>
      <c r="D1510" t="s">
        <v>20</v>
      </c>
      <c r="E1510" t="s">
        <v>34</v>
      </c>
      <c r="F1510" t="s">
        <v>35</v>
      </c>
      <c r="G1510" s="1">
        <v>45515</v>
      </c>
      <c r="H1510" s="1">
        <v>45520</v>
      </c>
      <c r="I1510" s="1">
        <v>45534</v>
      </c>
      <c r="J1510">
        <v>19</v>
      </c>
      <c r="K1510">
        <v>5</v>
      </c>
      <c r="L1510">
        <v>4</v>
      </c>
      <c r="M1510">
        <v>394.5</v>
      </c>
      <c r="N1510">
        <v>1578</v>
      </c>
      <c r="O1510">
        <v>0.14000000000000001</v>
      </c>
      <c r="P1510">
        <v>220.92</v>
      </c>
      <c r="Q1510">
        <v>1357.08</v>
      </c>
      <c r="R1510">
        <v>899.46</v>
      </c>
      <c r="S1510">
        <v>457.62</v>
      </c>
    </row>
    <row r="1511" spans="1:19" x14ac:dyDescent="0.35">
      <c r="A1511">
        <v>200249</v>
      </c>
      <c r="B1511">
        <v>4304</v>
      </c>
      <c r="C1511" t="s">
        <v>19</v>
      </c>
      <c r="D1511" t="s">
        <v>20</v>
      </c>
      <c r="E1511" t="s">
        <v>26</v>
      </c>
      <c r="F1511" t="s">
        <v>36</v>
      </c>
      <c r="G1511" s="1">
        <v>45417</v>
      </c>
      <c r="H1511" s="1">
        <v>45419</v>
      </c>
      <c r="I1511" s="1">
        <v>45426</v>
      </c>
      <c r="J1511">
        <v>9</v>
      </c>
      <c r="K1511">
        <v>2</v>
      </c>
      <c r="L1511">
        <v>13</v>
      </c>
      <c r="M1511">
        <v>577.30999999999995</v>
      </c>
      <c r="N1511">
        <v>7505.03</v>
      </c>
      <c r="O1511">
        <v>0.05</v>
      </c>
      <c r="P1511">
        <v>375.25</v>
      </c>
      <c r="Q1511">
        <v>7129.78</v>
      </c>
      <c r="R1511">
        <v>4578.07</v>
      </c>
      <c r="S1511">
        <v>2551.71</v>
      </c>
    </row>
    <row r="1512" spans="1:19" x14ac:dyDescent="0.35">
      <c r="A1512">
        <v>200250</v>
      </c>
      <c r="B1512">
        <v>2963</v>
      </c>
      <c r="C1512" t="s">
        <v>28</v>
      </c>
      <c r="D1512" t="s">
        <v>29</v>
      </c>
      <c r="E1512" t="s">
        <v>34</v>
      </c>
      <c r="F1512" t="s">
        <v>43</v>
      </c>
      <c r="G1512" s="1">
        <v>45313</v>
      </c>
      <c r="H1512" s="1">
        <v>45315</v>
      </c>
      <c r="I1512" s="1">
        <v>45323</v>
      </c>
      <c r="J1512">
        <v>10</v>
      </c>
      <c r="K1512">
        <v>2</v>
      </c>
      <c r="L1512">
        <v>1</v>
      </c>
      <c r="M1512">
        <v>578.07000000000005</v>
      </c>
      <c r="N1512">
        <v>578.07000000000005</v>
      </c>
      <c r="O1512">
        <v>0</v>
      </c>
      <c r="P1512">
        <v>0</v>
      </c>
      <c r="Q1512">
        <v>578.07000000000005</v>
      </c>
      <c r="R1512">
        <v>369.96</v>
      </c>
      <c r="S1512">
        <v>208.11</v>
      </c>
    </row>
    <row r="1513" spans="1:19" x14ac:dyDescent="0.35">
      <c r="A1513">
        <v>200251</v>
      </c>
      <c r="B1513">
        <v>3519</v>
      </c>
      <c r="C1513" t="s">
        <v>28</v>
      </c>
      <c r="D1513" t="s">
        <v>20</v>
      </c>
      <c r="E1513" t="s">
        <v>21</v>
      </c>
      <c r="F1513" t="s">
        <v>38</v>
      </c>
      <c r="G1513" s="1">
        <v>45383</v>
      </c>
      <c r="H1513" s="1">
        <v>45388</v>
      </c>
      <c r="I1513" s="1">
        <v>45393</v>
      </c>
      <c r="J1513">
        <v>10</v>
      </c>
      <c r="K1513">
        <v>5</v>
      </c>
      <c r="L1513">
        <v>9</v>
      </c>
      <c r="M1513">
        <v>18.52</v>
      </c>
      <c r="N1513">
        <v>166.68</v>
      </c>
      <c r="O1513">
        <v>0.17</v>
      </c>
      <c r="P1513">
        <v>28.34</v>
      </c>
      <c r="Q1513">
        <v>138.34</v>
      </c>
      <c r="R1513">
        <v>108.34</v>
      </c>
      <c r="S1513">
        <v>30</v>
      </c>
    </row>
    <row r="1514" spans="1:19" x14ac:dyDescent="0.35">
      <c r="A1514">
        <v>200252</v>
      </c>
      <c r="B1514">
        <v>2556</v>
      </c>
      <c r="C1514" t="s">
        <v>19</v>
      </c>
      <c r="D1514" t="s">
        <v>31</v>
      </c>
      <c r="E1514" t="s">
        <v>34</v>
      </c>
      <c r="F1514" t="s">
        <v>43</v>
      </c>
      <c r="G1514" s="1">
        <v>45436</v>
      </c>
      <c r="H1514" s="1">
        <v>45440</v>
      </c>
      <c r="I1514" s="1">
        <v>45441</v>
      </c>
      <c r="J1514">
        <v>5</v>
      </c>
      <c r="K1514">
        <v>4</v>
      </c>
      <c r="L1514">
        <v>10</v>
      </c>
      <c r="M1514">
        <v>140.81</v>
      </c>
      <c r="N1514">
        <v>1408.1</v>
      </c>
      <c r="O1514">
        <v>0.11</v>
      </c>
      <c r="P1514">
        <v>154.88999999999999</v>
      </c>
      <c r="Q1514">
        <v>1253.21</v>
      </c>
      <c r="R1514">
        <v>802.62</v>
      </c>
      <c r="S1514">
        <v>450.59</v>
      </c>
    </row>
    <row r="1515" spans="1:19" x14ac:dyDescent="0.35">
      <c r="A1515">
        <v>200253</v>
      </c>
      <c r="B1515">
        <v>3703</v>
      </c>
      <c r="C1515" t="s">
        <v>28</v>
      </c>
      <c r="D1515" t="s">
        <v>20</v>
      </c>
      <c r="E1515" t="s">
        <v>26</v>
      </c>
      <c r="F1515" t="s">
        <v>44</v>
      </c>
      <c r="G1515" s="1">
        <v>45465</v>
      </c>
      <c r="H1515" s="1">
        <v>45467</v>
      </c>
      <c r="I1515" s="1">
        <v>45481</v>
      </c>
      <c r="J1515">
        <v>16</v>
      </c>
      <c r="K1515">
        <v>2</v>
      </c>
      <c r="L1515">
        <v>9</v>
      </c>
      <c r="M1515">
        <v>248.54</v>
      </c>
      <c r="N1515">
        <v>2236.86</v>
      </c>
      <c r="O1515">
        <v>0.12</v>
      </c>
      <c r="P1515">
        <v>268.42</v>
      </c>
      <c r="Q1515">
        <v>1968.44</v>
      </c>
      <c r="R1515">
        <v>1319.75</v>
      </c>
      <c r="S1515">
        <v>648.69000000000005</v>
      </c>
    </row>
    <row r="1516" spans="1:19" x14ac:dyDescent="0.35">
      <c r="A1516">
        <v>200254</v>
      </c>
      <c r="B1516">
        <v>3888</v>
      </c>
      <c r="C1516" t="s">
        <v>33</v>
      </c>
      <c r="D1516" t="s">
        <v>29</v>
      </c>
      <c r="E1516" t="s">
        <v>24</v>
      </c>
      <c r="F1516" t="s">
        <v>25</v>
      </c>
      <c r="G1516" s="1">
        <v>45368</v>
      </c>
      <c r="H1516" s="1">
        <v>45369</v>
      </c>
      <c r="I1516" s="1">
        <v>45375</v>
      </c>
      <c r="J1516">
        <v>7</v>
      </c>
      <c r="K1516">
        <v>1</v>
      </c>
      <c r="L1516">
        <v>1</v>
      </c>
      <c r="M1516">
        <v>596.88</v>
      </c>
      <c r="N1516">
        <v>596.88</v>
      </c>
      <c r="O1516">
        <v>0.04</v>
      </c>
      <c r="P1516">
        <v>23.88</v>
      </c>
      <c r="Q1516">
        <v>573</v>
      </c>
      <c r="R1516">
        <v>393.94</v>
      </c>
      <c r="S1516">
        <v>179.06</v>
      </c>
    </row>
    <row r="1517" spans="1:19" x14ac:dyDescent="0.35">
      <c r="A1517">
        <v>200255</v>
      </c>
      <c r="B1517">
        <v>2482</v>
      </c>
      <c r="C1517" t="s">
        <v>23</v>
      </c>
      <c r="D1517" t="s">
        <v>29</v>
      </c>
      <c r="E1517" t="s">
        <v>34</v>
      </c>
      <c r="F1517" t="s">
        <v>45</v>
      </c>
      <c r="G1517" s="1">
        <v>45408</v>
      </c>
      <c r="H1517" s="1">
        <v>45409</v>
      </c>
      <c r="I1517" s="1">
        <v>45429</v>
      </c>
      <c r="J1517">
        <v>21</v>
      </c>
      <c r="K1517">
        <v>1</v>
      </c>
      <c r="L1517">
        <v>8</v>
      </c>
      <c r="M1517">
        <v>734.16</v>
      </c>
      <c r="N1517">
        <v>5873.28</v>
      </c>
      <c r="O1517">
        <v>0.2</v>
      </c>
      <c r="P1517">
        <v>1174.6600000000001</v>
      </c>
      <c r="Q1517">
        <v>4698.62</v>
      </c>
      <c r="R1517">
        <v>3230.3</v>
      </c>
      <c r="S1517">
        <v>1468.32</v>
      </c>
    </row>
    <row r="1518" spans="1:19" x14ac:dyDescent="0.35">
      <c r="A1518">
        <v>200256</v>
      </c>
      <c r="B1518">
        <v>2216</v>
      </c>
      <c r="C1518" t="s">
        <v>28</v>
      </c>
      <c r="D1518" t="s">
        <v>29</v>
      </c>
      <c r="E1518" t="s">
        <v>34</v>
      </c>
      <c r="F1518" t="s">
        <v>45</v>
      </c>
      <c r="G1518" s="1">
        <v>45439</v>
      </c>
      <c r="H1518" s="1">
        <v>45441</v>
      </c>
      <c r="I1518" s="1">
        <v>45464</v>
      </c>
      <c r="J1518">
        <v>25</v>
      </c>
      <c r="K1518">
        <v>2</v>
      </c>
      <c r="L1518">
        <v>9</v>
      </c>
      <c r="M1518">
        <v>335</v>
      </c>
      <c r="N1518">
        <v>3015</v>
      </c>
      <c r="O1518">
        <v>0.15</v>
      </c>
      <c r="P1518">
        <v>452.25</v>
      </c>
      <c r="Q1518">
        <v>2562.75</v>
      </c>
      <c r="R1518">
        <v>1718.55</v>
      </c>
      <c r="S1518">
        <v>844.2</v>
      </c>
    </row>
    <row r="1519" spans="1:19" x14ac:dyDescent="0.35">
      <c r="A1519">
        <v>200257</v>
      </c>
      <c r="B1519">
        <v>4543</v>
      </c>
      <c r="C1519" t="s">
        <v>19</v>
      </c>
      <c r="D1519" t="s">
        <v>20</v>
      </c>
      <c r="E1519" t="s">
        <v>24</v>
      </c>
      <c r="F1519" t="s">
        <v>32</v>
      </c>
      <c r="G1519" s="1">
        <v>45569</v>
      </c>
      <c r="H1519" s="1">
        <v>45570</v>
      </c>
      <c r="I1519" s="1">
        <v>45599</v>
      </c>
      <c r="J1519">
        <v>30</v>
      </c>
      <c r="K1519">
        <v>1</v>
      </c>
      <c r="L1519">
        <v>13</v>
      </c>
      <c r="M1519">
        <v>445.34</v>
      </c>
      <c r="N1519">
        <v>5789.42</v>
      </c>
      <c r="O1519">
        <v>0.09</v>
      </c>
      <c r="P1519">
        <v>521.04999999999995</v>
      </c>
      <c r="Q1519">
        <v>5268.37</v>
      </c>
      <c r="R1519">
        <v>3763.12</v>
      </c>
      <c r="S1519">
        <v>1505.25</v>
      </c>
    </row>
    <row r="1520" spans="1:19" x14ac:dyDescent="0.35">
      <c r="A1520">
        <v>200258</v>
      </c>
      <c r="B1520">
        <v>4915</v>
      </c>
      <c r="C1520" t="s">
        <v>19</v>
      </c>
      <c r="D1520" t="s">
        <v>20</v>
      </c>
      <c r="E1520" t="s">
        <v>21</v>
      </c>
      <c r="F1520" t="s">
        <v>39</v>
      </c>
      <c r="G1520" s="1">
        <v>45603</v>
      </c>
      <c r="H1520" s="1">
        <v>45608</v>
      </c>
      <c r="I1520" s="1">
        <v>45608</v>
      </c>
      <c r="J1520">
        <v>5</v>
      </c>
      <c r="K1520">
        <v>5</v>
      </c>
      <c r="L1520">
        <v>12</v>
      </c>
      <c r="M1520">
        <v>18.28</v>
      </c>
      <c r="N1520">
        <v>219.36</v>
      </c>
      <c r="O1520">
        <v>0.09</v>
      </c>
      <c r="P1520">
        <v>19.739999999999998</v>
      </c>
      <c r="Q1520">
        <v>199.62</v>
      </c>
      <c r="R1520">
        <v>133.81</v>
      </c>
      <c r="S1520">
        <v>65.81</v>
      </c>
    </row>
    <row r="1521" spans="1:19" x14ac:dyDescent="0.35">
      <c r="A1521">
        <v>200259</v>
      </c>
      <c r="B1521">
        <v>3221</v>
      </c>
      <c r="C1521" t="s">
        <v>33</v>
      </c>
      <c r="D1521" t="s">
        <v>29</v>
      </c>
      <c r="E1521" t="s">
        <v>24</v>
      </c>
      <c r="F1521" t="s">
        <v>32</v>
      </c>
      <c r="G1521" s="1">
        <v>45301</v>
      </c>
      <c r="H1521" s="1">
        <v>45304</v>
      </c>
      <c r="I1521" s="1">
        <v>45313</v>
      </c>
      <c r="J1521">
        <v>12</v>
      </c>
      <c r="K1521">
        <v>3</v>
      </c>
      <c r="L1521">
        <v>14</v>
      </c>
      <c r="M1521">
        <v>152.02000000000001</v>
      </c>
      <c r="N1521">
        <v>2128.2800000000002</v>
      </c>
      <c r="O1521">
        <v>0.18</v>
      </c>
      <c r="P1521">
        <v>383.09</v>
      </c>
      <c r="Q1521">
        <v>1745.19</v>
      </c>
      <c r="R1521">
        <v>1191.8399999999999</v>
      </c>
      <c r="S1521">
        <v>553.35</v>
      </c>
    </row>
    <row r="1522" spans="1:19" x14ac:dyDescent="0.35">
      <c r="A1522">
        <v>200260</v>
      </c>
      <c r="B1522">
        <v>2714</v>
      </c>
      <c r="C1522" t="s">
        <v>28</v>
      </c>
      <c r="D1522" t="s">
        <v>29</v>
      </c>
      <c r="E1522" t="s">
        <v>34</v>
      </c>
      <c r="F1522" t="s">
        <v>40</v>
      </c>
      <c r="G1522" s="1">
        <v>45656</v>
      </c>
      <c r="H1522" s="1">
        <v>45660</v>
      </c>
      <c r="I1522" s="1">
        <v>45662</v>
      </c>
      <c r="J1522">
        <v>6</v>
      </c>
      <c r="K1522">
        <v>4</v>
      </c>
      <c r="L1522">
        <v>3</v>
      </c>
      <c r="M1522">
        <v>157.81</v>
      </c>
      <c r="N1522">
        <v>473.43</v>
      </c>
      <c r="O1522">
        <v>0.14000000000000001</v>
      </c>
      <c r="P1522">
        <v>66.28</v>
      </c>
      <c r="Q1522">
        <v>407.15</v>
      </c>
      <c r="R1522">
        <v>307.73</v>
      </c>
      <c r="S1522">
        <v>99.42</v>
      </c>
    </row>
    <row r="1523" spans="1:19" x14ac:dyDescent="0.35">
      <c r="A1523">
        <v>200261</v>
      </c>
      <c r="B1523">
        <v>2861</v>
      </c>
      <c r="C1523" t="s">
        <v>19</v>
      </c>
      <c r="D1523" t="s">
        <v>20</v>
      </c>
      <c r="E1523" t="s">
        <v>34</v>
      </c>
      <c r="F1523" t="s">
        <v>43</v>
      </c>
      <c r="G1523" s="1">
        <v>45565</v>
      </c>
      <c r="H1523" s="1">
        <v>45568</v>
      </c>
      <c r="I1523" s="1">
        <v>45572</v>
      </c>
      <c r="J1523">
        <v>7</v>
      </c>
      <c r="K1523">
        <v>3</v>
      </c>
      <c r="L1523">
        <v>3</v>
      </c>
      <c r="M1523">
        <v>717.85</v>
      </c>
      <c r="N1523">
        <v>2153.5500000000002</v>
      </c>
      <c r="O1523">
        <v>0.01</v>
      </c>
      <c r="P1523">
        <v>21.54</v>
      </c>
      <c r="Q1523">
        <v>2132.0100000000002</v>
      </c>
      <c r="R1523">
        <v>1184.45</v>
      </c>
      <c r="S1523">
        <v>947.56</v>
      </c>
    </row>
    <row r="1524" spans="1:19" x14ac:dyDescent="0.35">
      <c r="A1524">
        <v>200262</v>
      </c>
      <c r="B1524">
        <v>4370</v>
      </c>
      <c r="C1524" t="s">
        <v>23</v>
      </c>
      <c r="D1524" t="s">
        <v>31</v>
      </c>
      <c r="E1524" t="s">
        <v>21</v>
      </c>
      <c r="F1524" t="s">
        <v>22</v>
      </c>
      <c r="G1524" s="1">
        <v>45317</v>
      </c>
      <c r="H1524" s="1">
        <v>45318</v>
      </c>
      <c r="I1524" s="1">
        <v>45332</v>
      </c>
      <c r="J1524">
        <v>15</v>
      </c>
      <c r="K1524">
        <v>1</v>
      </c>
      <c r="L1524">
        <v>1</v>
      </c>
      <c r="M1524">
        <v>703.23</v>
      </c>
      <c r="N1524">
        <v>703.23</v>
      </c>
      <c r="O1524">
        <v>0.12</v>
      </c>
      <c r="P1524">
        <v>84.39</v>
      </c>
      <c r="Q1524">
        <v>618.84</v>
      </c>
      <c r="R1524">
        <v>400.84</v>
      </c>
      <c r="S1524">
        <v>218</v>
      </c>
    </row>
    <row r="1525" spans="1:19" x14ac:dyDescent="0.35">
      <c r="A1525">
        <v>200263</v>
      </c>
      <c r="B1525">
        <v>1068</v>
      </c>
      <c r="C1525" t="s">
        <v>28</v>
      </c>
      <c r="D1525" t="s">
        <v>29</v>
      </c>
      <c r="E1525" t="s">
        <v>24</v>
      </c>
      <c r="F1525" t="s">
        <v>25</v>
      </c>
      <c r="G1525" s="1">
        <v>45526</v>
      </c>
      <c r="H1525" s="1">
        <v>45529</v>
      </c>
      <c r="I1525" s="1">
        <v>45542</v>
      </c>
      <c r="J1525">
        <v>16</v>
      </c>
      <c r="K1525">
        <v>3</v>
      </c>
      <c r="L1525">
        <v>6</v>
      </c>
      <c r="M1525">
        <v>6.66</v>
      </c>
      <c r="N1525">
        <v>39.96</v>
      </c>
      <c r="O1525">
        <v>0.05</v>
      </c>
      <c r="P1525">
        <v>2</v>
      </c>
      <c r="Q1525">
        <v>37.96</v>
      </c>
      <c r="R1525">
        <v>25.17</v>
      </c>
      <c r="S1525">
        <v>12.79</v>
      </c>
    </row>
    <row r="1526" spans="1:19" x14ac:dyDescent="0.35">
      <c r="A1526">
        <v>200264</v>
      </c>
      <c r="B1526">
        <v>3863</v>
      </c>
      <c r="C1526" t="s">
        <v>28</v>
      </c>
      <c r="D1526" t="s">
        <v>20</v>
      </c>
      <c r="E1526" t="s">
        <v>24</v>
      </c>
      <c r="F1526" t="s">
        <v>30</v>
      </c>
      <c r="G1526" s="1">
        <v>45502</v>
      </c>
      <c r="H1526" s="1">
        <v>45503</v>
      </c>
      <c r="I1526" s="1">
        <v>45516</v>
      </c>
      <c r="J1526">
        <v>14</v>
      </c>
      <c r="K1526">
        <v>1</v>
      </c>
      <c r="L1526">
        <v>14</v>
      </c>
      <c r="M1526">
        <v>91.49</v>
      </c>
      <c r="N1526">
        <v>1280.8599999999999</v>
      </c>
      <c r="O1526">
        <v>0.06</v>
      </c>
      <c r="P1526">
        <v>76.849999999999994</v>
      </c>
      <c r="Q1526">
        <v>1204.01</v>
      </c>
      <c r="R1526">
        <v>935.03</v>
      </c>
      <c r="S1526">
        <v>268.98</v>
      </c>
    </row>
    <row r="1527" spans="1:19" x14ac:dyDescent="0.35">
      <c r="A1527">
        <v>200265</v>
      </c>
      <c r="B1527">
        <v>3178</v>
      </c>
      <c r="C1527" t="s">
        <v>23</v>
      </c>
      <c r="D1527" t="s">
        <v>20</v>
      </c>
      <c r="E1527" t="s">
        <v>24</v>
      </c>
      <c r="F1527" t="s">
        <v>32</v>
      </c>
      <c r="G1527" s="1">
        <v>45341</v>
      </c>
      <c r="H1527" s="1">
        <v>45345</v>
      </c>
      <c r="I1527" s="1">
        <v>45355</v>
      </c>
      <c r="J1527">
        <v>14</v>
      </c>
      <c r="K1527">
        <v>4</v>
      </c>
      <c r="L1527">
        <v>1</v>
      </c>
      <c r="M1527">
        <v>651.63</v>
      </c>
      <c r="N1527">
        <v>651.63</v>
      </c>
      <c r="O1527">
        <v>0.17</v>
      </c>
      <c r="P1527">
        <v>110.78</v>
      </c>
      <c r="Q1527">
        <v>540.85</v>
      </c>
      <c r="R1527">
        <v>423.56</v>
      </c>
      <c r="S1527">
        <v>117.29</v>
      </c>
    </row>
    <row r="1528" spans="1:19" x14ac:dyDescent="0.35">
      <c r="A1528">
        <v>200266</v>
      </c>
      <c r="B1528">
        <v>4078</v>
      </c>
      <c r="C1528" t="s">
        <v>33</v>
      </c>
      <c r="D1528" t="s">
        <v>20</v>
      </c>
      <c r="E1528" t="s">
        <v>26</v>
      </c>
      <c r="F1528" t="s">
        <v>36</v>
      </c>
      <c r="G1528" s="1">
        <v>45405</v>
      </c>
      <c r="H1528" s="1">
        <v>45408</v>
      </c>
      <c r="I1528" s="1">
        <v>45432</v>
      </c>
      <c r="J1528">
        <v>27</v>
      </c>
      <c r="K1528">
        <v>3</v>
      </c>
      <c r="L1528">
        <v>11</v>
      </c>
      <c r="M1528">
        <v>756.2</v>
      </c>
      <c r="N1528">
        <v>8318.2000000000007</v>
      </c>
      <c r="O1528">
        <v>0.13</v>
      </c>
      <c r="P1528">
        <v>1081.3699999999999</v>
      </c>
      <c r="Q1528">
        <v>7236.83</v>
      </c>
      <c r="R1528">
        <v>5656.38</v>
      </c>
      <c r="S1528">
        <v>1580.45</v>
      </c>
    </row>
    <row r="1529" spans="1:19" x14ac:dyDescent="0.35">
      <c r="A1529">
        <v>200267</v>
      </c>
      <c r="B1529">
        <v>2976</v>
      </c>
      <c r="C1529" t="s">
        <v>23</v>
      </c>
      <c r="D1529" t="s">
        <v>20</v>
      </c>
      <c r="E1529" t="s">
        <v>26</v>
      </c>
      <c r="F1529" t="s">
        <v>37</v>
      </c>
      <c r="G1529" s="1">
        <v>45302</v>
      </c>
      <c r="H1529" s="1">
        <v>45307</v>
      </c>
      <c r="I1529" s="1">
        <v>45332</v>
      </c>
      <c r="J1529">
        <v>30</v>
      </c>
      <c r="K1529">
        <v>5</v>
      </c>
      <c r="L1529">
        <v>9</v>
      </c>
      <c r="M1529">
        <v>311.85000000000002</v>
      </c>
      <c r="N1529">
        <v>2806.65</v>
      </c>
      <c r="O1529">
        <v>0.13</v>
      </c>
      <c r="P1529">
        <v>364.86</v>
      </c>
      <c r="Q1529">
        <v>2441.79</v>
      </c>
      <c r="R1529">
        <v>1712.06</v>
      </c>
      <c r="S1529">
        <v>729.73</v>
      </c>
    </row>
    <row r="1530" spans="1:19" x14ac:dyDescent="0.35">
      <c r="A1530">
        <v>200268</v>
      </c>
      <c r="B1530">
        <v>2293</v>
      </c>
      <c r="C1530" t="s">
        <v>28</v>
      </c>
      <c r="D1530" t="s">
        <v>20</v>
      </c>
      <c r="E1530" t="s">
        <v>34</v>
      </c>
      <c r="F1530" t="s">
        <v>40</v>
      </c>
      <c r="G1530" s="1">
        <v>45427</v>
      </c>
      <c r="H1530" s="1">
        <v>45432</v>
      </c>
      <c r="I1530" s="1">
        <v>45449</v>
      </c>
      <c r="J1530">
        <v>22</v>
      </c>
      <c r="K1530">
        <v>5</v>
      </c>
      <c r="L1530">
        <v>5</v>
      </c>
      <c r="M1530">
        <v>653.4</v>
      </c>
      <c r="N1530">
        <v>3267</v>
      </c>
      <c r="O1530">
        <v>0.13</v>
      </c>
      <c r="P1530">
        <v>424.71</v>
      </c>
      <c r="Q1530">
        <v>2842.29</v>
      </c>
      <c r="R1530">
        <v>2319.5700000000002</v>
      </c>
      <c r="S1530">
        <v>522.72</v>
      </c>
    </row>
    <row r="1531" spans="1:19" x14ac:dyDescent="0.35">
      <c r="A1531">
        <v>200269</v>
      </c>
      <c r="B1531">
        <v>1662</v>
      </c>
      <c r="C1531" t="s">
        <v>28</v>
      </c>
      <c r="D1531" t="s">
        <v>29</v>
      </c>
      <c r="E1531" t="s">
        <v>26</v>
      </c>
      <c r="F1531" t="s">
        <v>37</v>
      </c>
      <c r="G1531" s="1">
        <v>45626</v>
      </c>
      <c r="H1531" s="1">
        <v>45629</v>
      </c>
      <c r="I1531" s="1">
        <v>45647</v>
      </c>
      <c r="J1531">
        <v>21</v>
      </c>
      <c r="K1531">
        <v>3</v>
      </c>
      <c r="L1531">
        <v>14</v>
      </c>
      <c r="M1531">
        <v>492.09</v>
      </c>
      <c r="N1531">
        <v>6889.26</v>
      </c>
      <c r="O1531">
        <v>0.01</v>
      </c>
      <c r="P1531">
        <v>68.89</v>
      </c>
      <c r="Q1531">
        <v>6820.37</v>
      </c>
      <c r="R1531">
        <v>3789.09</v>
      </c>
      <c r="S1531">
        <v>3031.28</v>
      </c>
    </row>
    <row r="1532" spans="1:19" x14ac:dyDescent="0.35">
      <c r="A1532">
        <v>200270</v>
      </c>
      <c r="B1532">
        <v>4210</v>
      </c>
      <c r="C1532" t="s">
        <v>28</v>
      </c>
      <c r="D1532" t="s">
        <v>20</v>
      </c>
      <c r="E1532" t="s">
        <v>21</v>
      </c>
      <c r="F1532" t="s">
        <v>38</v>
      </c>
      <c r="G1532" s="1">
        <v>45511</v>
      </c>
      <c r="H1532" s="1">
        <v>45512</v>
      </c>
      <c r="I1532" s="1">
        <v>45526</v>
      </c>
      <c r="J1532">
        <v>15</v>
      </c>
      <c r="K1532">
        <v>1</v>
      </c>
      <c r="L1532">
        <v>6</v>
      </c>
      <c r="M1532">
        <v>601.66999999999996</v>
      </c>
      <c r="N1532">
        <v>3610.02</v>
      </c>
      <c r="O1532">
        <v>0.04</v>
      </c>
      <c r="P1532">
        <v>144.4</v>
      </c>
      <c r="Q1532">
        <v>3465.62</v>
      </c>
      <c r="R1532">
        <v>2310.41</v>
      </c>
      <c r="S1532">
        <v>1155.21</v>
      </c>
    </row>
    <row r="1533" spans="1:19" x14ac:dyDescent="0.35">
      <c r="A1533">
        <v>200271</v>
      </c>
      <c r="B1533">
        <v>2739</v>
      </c>
      <c r="C1533" t="s">
        <v>19</v>
      </c>
      <c r="D1533" t="s">
        <v>20</v>
      </c>
      <c r="E1533" t="s">
        <v>21</v>
      </c>
      <c r="F1533" t="s">
        <v>38</v>
      </c>
      <c r="G1533" s="1">
        <v>45578</v>
      </c>
      <c r="H1533" s="1">
        <v>45581</v>
      </c>
      <c r="I1533" s="1">
        <v>45607</v>
      </c>
      <c r="J1533">
        <v>29</v>
      </c>
      <c r="K1533">
        <v>3</v>
      </c>
      <c r="L1533">
        <v>2</v>
      </c>
      <c r="M1533">
        <v>312.2</v>
      </c>
      <c r="N1533">
        <v>624.4</v>
      </c>
      <c r="O1533">
        <v>0.16</v>
      </c>
      <c r="P1533">
        <v>99.9</v>
      </c>
      <c r="Q1533">
        <v>524.5</v>
      </c>
      <c r="R1533">
        <v>405.86</v>
      </c>
      <c r="S1533">
        <v>118.64</v>
      </c>
    </row>
    <row r="1534" spans="1:19" x14ac:dyDescent="0.35">
      <c r="A1534">
        <v>200272</v>
      </c>
      <c r="B1534">
        <v>3303</v>
      </c>
      <c r="C1534" t="s">
        <v>23</v>
      </c>
      <c r="D1534" t="s">
        <v>20</v>
      </c>
      <c r="E1534" t="s">
        <v>21</v>
      </c>
      <c r="F1534" t="s">
        <v>22</v>
      </c>
      <c r="G1534" s="1">
        <v>45441</v>
      </c>
      <c r="H1534" s="1">
        <v>45445</v>
      </c>
      <c r="I1534" s="1">
        <v>45462</v>
      </c>
      <c r="J1534">
        <v>21</v>
      </c>
      <c r="K1534">
        <v>4</v>
      </c>
      <c r="L1534">
        <v>2</v>
      </c>
      <c r="M1534">
        <v>236.23</v>
      </c>
      <c r="N1534">
        <v>472.46</v>
      </c>
      <c r="O1534">
        <v>0.1</v>
      </c>
      <c r="P1534">
        <v>47.25</v>
      </c>
      <c r="Q1534">
        <v>425.21</v>
      </c>
      <c r="R1534">
        <v>283.48</v>
      </c>
      <c r="S1534">
        <v>141.72999999999999</v>
      </c>
    </row>
    <row r="1535" spans="1:19" x14ac:dyDescent="0.35">
      <c r="A1535">
        <v>200273</v>
      </c>
      <c r="B1535">
        <v>4706</v>
      </c>
      <c r="C1535" t="s">
        <v>33</v>
      </c>
      <c r="D1535" t="s">
        <v>29</v>
      </c>
      <c r="E1535" t="s">
        <v>34</v>
      </c>
      <c r="F1535" t="s">
        <v>43</v>
      </c>
      <c r="G1535" s="1">
        <v>45401</v>
      </c>
      <c r="H1535" s="1">
        <v>45404</v>
      </c>
      <c r="I1535" s="1">
        <v>45414</v>
      </c>
      <c r="J1535">
        <v>13</v>
      </c>
      <c r="K1535">
        <v>3</v>
      </c>
      <c r="L1535">
        <v>6</v>
      </c>
      <c r="M1535">
        <v>597.17999999999995</v>
      </c>
      <c r="N1535">
        <v>3583.08</v>
      </c>
      <c r="O1535">
        <v>0.1</v>
      </c>
      <c r="P1535">
        <v>358.31</v>
      </c>
      <c r="Q1535">
        <v>3224.77</v>
      </c>
      <c r="R1535">
        <v>2400.66</v>
      </c>
      <c r="S1535">
        <v>824.11</v>
      </c>
    </row>
    <row r="1536" spans="1:19" x14ac:dyDescent="0.35">
      <c r="A1536">
        <v>200274</v>
      </c>
      <c r="B1536">
        <v>4051</v>
      </c>
      <c r="C1536" t="s">
        <v>23</v>
      </c>
      <c r="D1536" t="s">
        <v>31</v>
      </c>
      <c r="E1536" t="s">
        <v>21</v>
      </c>
      <c r="F1536" t="s">
        <v>41</v>
      </c>
      <c r="G1536" s="1">
        <v>45394</v>
      </c>
      <c r="H1536" s="1">
        <v>45397</v>
      </c>
      <c r="I1536" s="1">
        <v>45396</v>
      </c>
      <c r="J1536">
        <v>2</v>
      </c>
      <c r="K1536">
        <v>3</v>
      </c>
      <c r="L1536">
        <v>11</v>
      </c>
      <c r="M1536">
        <v>302.52</v>
      </c>
      <c r="N1536">
        <v>3327.72</v>
      </c>
      <c r="O1536">
        <v>0.14000000000000001</v>
      </c>
      <c r="P1536">
        <v>465.88</v>
      </c>
      <c r="Q1536">
        <v>2861.84</v>
      </c>
      <c r="R1536">
        <v>2129.7399999999998</v>
      </c>
      <c r="S1536">
        <v>732.1</v>
      </c>
    </row>
    <row r="1537" spans="1:19" x14ac:dyDescent="0.35">
      <c r="A1537">
        <v>200275</v>
      </c>
      <c r="B1537">
        <v>2496</v>
      </c>
      <c r="C1537" t="s">
        <v>28</v>
      </c>
      <c r="D1537" t="s">
        <v>20</v>
      </c>
      <c r="E1537" t="s">
        <v>24</v>
      </c>
      <c r="F1537" t="s">
        <v>32</v>
      </c>
      <c r="G1537" s="1">
        <v>45641</v>
      </c>
      <c r="H1537" s="1">
        <v>45643</v>
      </c>
      <c r="I1537" s="1">
        <v>45647</v>
      </c>
      <c r="J1537">
        <v>6</v>
      </c>
      <c r="K1537">
        <v>2</v>
      </c>
      <c r="L1537">
        <v>5</v>
      </c>
      <c r="M1537">
        <v>713.97</v>
      </c>
      <c r="N1537">
        <v>3569.85</v>
      </c>
      <c r="O1537">
        <v>0.09</v>
      </c>
      <c r="P1537">
        <v>321.29000000000002</v>
      </c>
      <c r="Q1537">
        <v>3248.56</v>
      </c>
      <c r="R1537">
        <v>2677.39</v>
      </c>
      <c r="S1537">
        <v>571.16999999999996</v>
      </c>
    </row>
    <row r="1538" spans="1:19" x14ac:dyDescent="0.35">
      <c r="A1538">
        <v>200276</v>
      </c>
      <c r="B1538">
        <v>3084</v>
      </c>
      <c r="C1538" t="s">
        <v>23</v>
      </c>
      <c r="D1538" t="s">
        <v>20</v>
      </c>
      <c r="E1538" t="s">
        <v>34</v>
      </c>
      <c r="F1538" t="s">
        <v>35</v>
      </c>
      <c r="G1538" s="1">
        <v>45339</v>
      </c>
      <c r="H1538" s="1">
        <v>45342</v>
      </c>
      <c r="I1538" s="1">
        <v>45368</v>
      </c>
      <c r="J1538">
        <v>29</v>
      </c>
      <c r="K1538">
        <v>3</v>
      </c>
      <c r="L1538">
        <v>7</v>
      </c>
      <c r="M1538">
        <v>306.85000000000002</v>
      </c>
      <c r="N1538">
        <v>2147.9499999999998</v>
      </c>
      <c r="O1538">
        <v>0.02</v>
      </c>
      <c r="P1538">
        <v>42.96</v>
      </c>
      <c r="Q1538">
        <v>2104.9899999999998</v>
      </c>
      <c r="R1538">
        <v>1546.52</v>
      </c>
      <c r="S1538">
        <v>558.47</v>
      </c>
    </row>
    <row r="1539" spans="1:19" x14ac:dyDescent="0.35">
      <c r="A1539">
        <v>200277</v>
      </c>
      <c r="B1539">
        <v>2174</v>
      </c>
      <c r="C1539" t="s">
        <v>19</v>
      </c>
      <c r="D1539" t="s">
        <v>31</v>
      </c>
      <c r="E1539" t="s">
        <v>24</v>
      </c>
      <c r="F1539" t="s">
        <v>42</v>
      </c>
      <c r="G1539" s="1">
        <v>45633</v>
      </c>
      <c r="H1539" s="1">
        <v>45636</v>
      </c>
      <c r="I1539" s="1">
        <v>45654</v>
      </c>
      <c r="J1539">
        <v>21</v>
      </c>
      <c r="K1539">
        <v>3</v>
      </c>
      <c r="L1539">
        <v>8</v>
      </c>
      <c r="M1539">
        <v>462.98</v>
      </c>
      <c r="N1539">
        <v>3703.84</v>
      </c>
      <c r="O1539">
        <v>7.0000000000000007E-2</v>
      </c>
      <c r="P1539">
        <v>259.27</v>
      </c>
      <c r="Q1539">
        <v>3444.57</v>
      </c>
      <c r="R1539">
        <v>2629.73</v>
      </c>
      <c r="S1539">
        <v>814.84</v>
      </c>
    </row>
    <row r="1540" spans="1:19" x14ac:dyDescent="0.35">
      <c r="A1540">
        <v>200278</v>
      </c>
      <c r="B1540">
        <v>3230</v>
      </c>
      <c r="C1540" t="s">
        <v>28</v>
      </c>
      <c r="D1540" t="s">
        <v>20</v>
      </c>
      <c r="E1540" t="s">
        <v>21</v>
      </c>
      <c r="F1540" t="s">
        <v>38</v>
      </c>
      <c r="G1540" s="1">
        <v>45426</v>
      </c>
      <c r="H1540" s="1">
        <v>45431</v>
      </c>
      <c r="I1540" s="1">
        <v>45437</v>
      </c>
      <c r="J1540">
        <v>11</v>
      </c>
      <c r="K1540">
        <v>5</v>
      </c>
      <c r="L1540">
        <v>1</v>
      </c>
      <c r="M1540">
        <v>656.9</v>
      </c>
      <c r="N1540">
        <v>656.9</v>
      </c>
      <c r="O1540">
        <v>0.06</v>
      </c>
      <c r="P1540">
        <v>39.409999999999997</v>
      </c>
      <c r="Q1540">
        <v>617.49</v>
      </c>
      <c r="R1540">
        <v>440.12</v>
      </c>
      <c r="S1540">
        <v>177.37</v>
      </c>
    </row>
    <row r="1541" spans="1:19" x14ac:dyDescent="0.35">
      <c r="A1541">
        <v>200279</v>
      </c>
      <c r="B1541">
        <v>1528</v>
      </c>
      <c r="C1541" t="s">
        <v>23</v>
      </c>
      <c r="D1541" t="s">
        <v>20</v>
      </c>
      <c r="E1541" t="s">
        <v>34</v>
      </c>
      <c r="F1541" t="s">
        <v>43</v>
      </c>
      <c r="G1541" s="1">
        <v>45346</v>
      </c>
      <c r="H1541" s="1">
        <v>45350</v>
      </c>
      <c r="I1541" s="1">
        <v>45356</v>
      </c>
      <c r="J1541">
        <v>10</v>
      </c>
      <c r="K1541">
        <v>4</v>
      </c>
      <c r="L1541">
        <v>5</v>
      </c>
      <c r="M1541">
        <v>461.32</v>
      </c>
      <c r="N1541">
        <v>2306.6</v>
      </c>
      <c r="O1541">
        <v>0.11</v>
      </c>
      <c r="P1541">
        <v>253.73</v>
      </c>
      <c r="Q1541">
        <v>2052.87</v>
      </c>
      <c r="R1541">
        <v>1683.82</v>
      </c>
      <c r="S1541">
        <v>369.05</v>
      </c>
    </row>
    <row r="1542" spans="1:19" x14ac:dyDescent="0.35">
      <c r="A1542">
        <v>200280</v>
      </c>
      <c r="B1542">
        <v>4333</v>
      </c>
      <c r="C1542" t="s">
        <v>28</v>
      </c>
      <c r="D1542" t="s">
        <v>20</v>
      </c>
      <c r="E1542" t="s">
        <v>21</v>
      </c>
      <c r="F1542" t="s">
        <v>39</v>
      </c>
      <c r="G1542" s="1">
        <v>45532</v>
      </c>
      <c r="H1542" s="1">
        <v>45533</v>
      </c>
      <c r="I1542" s="1">
        <v>45541</v>
      </c>
      <c r="J1542">
        <v>9</v>
      </c>
      <c r="K1542">
        <v>1</v>
      </c>
      <c r="L1542">
        <v>6</v>
      </c>
      <c r="M1542">
        <v>65.91</v>
      </c>
      <c r="N1542">
        <v>395.46</v>
      </c>
      <c r="O1542">
        <v>7.0000000000000007E-2</v>
      </c>
      <c r="P1542">
        <v>27.68</v>
      </c>
      <c r="Q1542">
        <v>367.78</v>
      </c>
      <c r="R1542">
        <v>264.95999999999998</v>
      </c>
      <c r="S1542">
        <v>102.82</v>
      </c>
    </row>
    <row r="1543" spans="1:19" x14ac:dyDescent="0.35">
      <c r="A1543">
        <v>200281</v>
      </c>
      <c r="B1543">
        <v>4246</v>
      </c>
      <c r="C1543" t="s">
        <v>23</v>
      </c>
      <c r="D1543" t="s">
        <v>31</v>
      </c>
      <c r="E1543" t="s">
        <v>21</v>
      </c>
      <c r="F1543" t="s">
        <v>39</v>
      </c>
      <c r="G1543" s="1">
        <v>45477</v>
      </c>
      <c r="H1543" s="1">
        <v>45481</v>
      </c>
      <c r="I1543" s="1">
        <v>45492</v>
      </c>
      <c r="J1543">
        <v>15</v>
      </c>
      <c r="K1543">
        <v>4</v>
      </c>
      <c r="L1543">
        <v>14</v>
      </c>
      <c r="M1543">
        <v>8.5500000000000007</v>
      </c>
      <c r="N1543">
        <v>119.7</v>
      </c>
      <c r="O1543">
        <v>0.11</v>
      </c>
      <c r="P1543">
        <v>13.17</v>
      </c>
      <c r="Q1543">
        <v>106.53</v>
      </c>
      <c r="R1543">
        <v>83.79</v>
      </c>
      <c r="S1543">
        <v>22.74</v>
      </c>
    </row>
    <row r="1544" spans="1:19" x14ac:dyDescent="0.35">
      <c r="A1544">
        <v>200282</v>
      </c>
      <c r="B1544">
        <v>3671</v>
      </c>
      <c r="C1544" t="s">
        <v>28</v>
      </c>
      <c r="D1544" t="s">
        <v>20</v>
      </c>
      <c r="E1544" t="s">
        <v>24</v>
      </c>
      <c r="F1544" t="s">
        <v>32</v>
      </c>
      <c r="G1544" s="1">
        <v>45508</v>
      </c>
      <c r="H1544" s="1">
        <v>45513</v>
      </c>
      <c r="I1544" s="1">
        <v>45531</v>
      </c>
      <c r="J1544">
        <v>23</v>
      </c>
      <c r="K1544">
        <v>5</v>
      </c>
      <c r="L1544">
        <v>8</v>
      </c>
      <c r="M1544">
        <v>329.82</v>
      </c>
      <c r="N1544">
        <v>2638.56</v>
      </c>
      <c r="O1544">
        <v>0.18</v>
      </c>
      <c r="P1544">
        <v>474.94</v>
      </c>
      <c r="Q1544">
        <v>2163.62</v>
      </c>
      <c r="R1544">
        <v>1794.22</v>
      </c>
      <c r="S1544">
        <v>369.4</v>
      </c>
    </row>
    <row r="1545" spans="1:19" x14ac:dyDescent="0.35">
      <c r="A1545">
        <v>200283</v>
      </c>
      <c r="B1545">
        <v>3892</v>
      </c>
      <c r="C1545" t="s">
        <v>19</v>
      </c>
      <c r="D1545" t="s">
        <v>31</v>
      </c>
      <c r="E1545" t="s">
        <v>21</v>
      </c>
      <c r="F1545" t="s">
        <v>38</v>
      </c>
      <c r="G1545" s="1">
        <v>45322</v>
      </c>
      <c r="H1545" s="1">
        <v>45323</v>
      </c>
      <c r="I1545" s="1">
        <v>45326</v>
      </c>
      <c r="J1545">
        <v>4</v>
      </c>
      <c r="K1545">
        <v>1</v>
      </c>
      <c r="L1545">
        <v>1</v>
      </c>
      <c r="M1545">
        <v>371.6</v>
      </c>
      <c r="N1545">
        <v>371.6</v>
      </c>
      <c r="O1545">
        <v>7.0000000000000007E-2</v>
      </c>
      <c r="P1545">
        <v>26.01</v>
      </c>
      <c r="Q1545">
        <v>345.59</v>
      </c>
      <c r="R1545">
        <v>241.54</v>
      </c>
      <c r="S1545">
        <v>104.05</v>
      </c>
    </row>
    <row r="1546" spans="1:19" x14ac:dyDescent="0.35">
      <c r="A1546">
        <v>200284</v>
      </c>
      <c r="B1546">
        <v>2841</v>
      </c>
      <c r="C1546" t="s">
        <v>23</v>
      </c>
      <c r="D1546" t="s">
        <v>31</v>
      </c>
      <c r="E1546" t="s">
        <v>24</v>
      </c>
      <c r="F1546" t="s">
        <v>32</v>
      </c>
      <c r="G1546" s="1">
        <v>45320</v>
      </c>
      <c r="H1546" s="1">
        <v>45324</v>
      </c>
      <c r="I1546" s="1">
        <v>45346</v>
      </c>
      <c r="J1546">
        <v>26</v>
      </c>
      <c r="K1546">
        <v>4</v>
      </c>
      <c r="L1546">
        <v>13</v>
      </c>
      <c r="M1546">
        <v>734.99</v>
      </c>
      <c r="N1546">
        <v>9554.8700000000008</v>
      </c>
      <c r="O1546">
        <v>0.1</v>
      </c>
      <c r="P1546">
        <v>955.49</v>
      </c>
      <c r="Q1546">
        <v>8599.3799999999992</v>
      </c>
      <c r="R1546">
        <v>6115.12</v>
      </c>
      <c r="S1546">
        <v>2484.2600000000002</v>
      </c>
    </row>
    <row r="1547" spans="1:19" x14ac:dyDescent="0.35">
      <c r="A1547">
        <v>200285</v>
      </c>
      <c r="B1547">
        <v>4070</v>
      </c>
      <c r="C1547" t="s">
        <v>33</v>
      </c>
      <c r="D1547" t="s">
        <v>29</v>
      </c>
      <c r="E1547" t="s">
        <v>21</v>
      </c>
      <c r="F1547" t="s">
        <v>38</v>
      </c>
      <c r="G1547" s="1">
        <v>45575</v>
      </c>
      <c r="H1547" s="1">
        <v>45577</v>
      </c>
      <c r="I1547" s="1">
        <v>45595</v>
      </c>
      <c r="J1547">
        <v>20</v>
      </c>
      <c r="K1547">
        <v>2</v>
      </c>
      <c r="L1547">
        <v>12</v>
      </c>
      <c r="M1547">
        <v>198.89</v>
      </c>
      <c r="N1547">
        <v>2386.6799999999998</v>
      </c>
      <c r="O1547">
        <v>0.03</v>
      </c>
      <c r="P1547">
        <v>71.599999999999994</v>
      </c>
      <c r="Q1547">
        <v>2315.08</v>
      </c>
      <c r="R1547">
        <v>1384.27</v>
      </c>
      <c r="S1547">
        <v>930.81</v>
      </c>
    </row>
    <row r="1548" spans="1:19" x14ac:dyDescent="0.35">
      <c r="A1548">
        <v>200286</v>
      </c>
      <c r="B1548">
        <v>3791</v>
      </c>
      <c r="C1548" t="s">
        <v>19</v>
      </c>
      <c r="D1548" t="s">
        <v>29</v>
      </c>
      <c r="E1548" t="s">
        <v>34</v>
      </c>
      <c r="F1548" t="s">
        <v>40</v>
      </c>
      <c r="G1548" s="1">
        <v>45359</v>
      </c>
      <c r="H1548" s="1">
        <v>45362</v>
      </c>
      <c r="I1548" s="1">
        <v>45377</v>
      </c>
      <c r="J1548">
        <v>18</v>
      </c>
      <c r="K1548">
        <v>3</v>
      </c>
      <c r="L1548">
        <v>5</v>
      </c>
      <c r="M1548">
        <v>631.6</v>
      </c>
      <c r="N1548">
        <v>3158</v>
      </c>
      <c r="O1548">
        <v>0.09</v>
      </c>
      <c r="P1548">
        <v>284.22000000000003</v>
      </c>
      <c r="Q1548">
        <v>2873.78</v>
      </c>
      <c r="R1548">
        <v>1831.64</v>
      </c>
      <c r="S1548">
        <v>1042.1400000000001</v>
      </c>
    </row>
    <row r="1549" spans="1:19" x14ac:dyDescent="0.35">
      <c r="A1549">
        <v>200287</v>
      </c>
      <c r="B1549">
        <v>1223</v>
      </c>
      <c r="C1549" t="s">
        <v>23</v>
      </c>
      <c r="D1549" t="s">
        <v>20</v>
      </c>
      <c r="E1549" t="s">
        <v>21</v>
      </c>
      <c r="F1549" t="s">
        <v>38</v>
      </c>
      <c r="G1549" s="1">
        <v>45487</v>
      </c>
      <c r="H1549" s="1">
        <v>45490</v>
      </c>
      <c r="I1549" s="1">
        <v>45504</v>
      </c>
      <c r="J1549">
        <v>17</v>
      </c>
      <c r="K1549">
        <v>3</v>
      </c>
      <c r="L1549">
        <v>8</v>
      </c>
      <c r="M1549">
        <v>321.94</v>
      </c>
      <c r="N1549">
        <v>2575.52</v>
      </c>
      <c r="O1549">
        <v>0.2</v>
      </c>
      <c r="P1549">
        <v>515.1</v>
      </c>
      <c r="Q1549">
        <v>2060.42</v>
      </c>
      <c r="R1549">
        <v>1648.33</v>
      </c>
      <c r="S1549">
        <v>412.09</v>
      </c>
    </row>
    <row r="1550" spans="1:19" x14ac:dyDescent="0.35">
      <c r="A1550">
        <v>200288</v>
      </c>
      <c r="B1550">
        <v>1317</v>
      </c>
      <c r="C1550" t="s">
        <v>19</v>
      </c>
      <c r="D1550" t="s">
        <v>20</v>
      </c>
      <c r="E1550" t="s">
        <v>26</v>
      </c>
      <c r="F1550" t="s">
        <v>36</v>
      </c>
      <c r="G1550" s="1">
        <v>45534</v>
      </c>
      <c r="H1550" s="1">
        <v>45537</v>
      </c>
      <c r="I1550" s="1">
        <v>45543</v>
      </c>
      <c r="J1550">
        <v>9</v>
      </c>
      <c r="K1550">
        <v>3</v>
      </c>
      <c r="L1550">
        <v>8</v>
      </c>
      <c r="M1550">
        <v>180.15</v>
      </c>
      <c r="N1550">
        <v>1441.2</v>
      </c>
      <c r="O1550">
        <v>0.08</v>
      </c>
      <c r="P1550">
        <v>115.3</v>
      </c>
      <c r="Q1550">
        <v>1325.9</v>
      </c>
      <c r="R1550">
        <v>1109.72</v>
      </c>
      <c r="S1550">
        <v>216.18</v>
      </c>
    </row>
    <row r="1551" spans="1:19" x14ac:dyDescent="0.35">
      <c r="A1551">
        <v>200289</v>
      </c>
      <c r="B1551">
        <v>4275</v>
      </c>
      <c r="C1551" t="s">
        <v>33</v>
      </c>
      <c r="D1551" t="s">
        <v>20</v>
      </c>
      <c r="E1551" t="s">
        <v>34</v>
      </c>
      <c r="F1551" t="s">
        <v>45</v>
      </c>
      <c r="G1551" s="1">
        <v>45631</v>
      </c>
      <c r="H1551" s="1">
        <v>45635</v>
      </c>
      <c r="I1551" s="1">
        <v>45637</v>
      </c>
      <c r="J1551">
        <v>6</v>
      </c>
      <c r="K1551">
        <v>4</v>
      </c>
      <c r="L1551">
        <v>1</v>
      </c>
      <c r="M1551">
        <v>188.66</v>
      </c>
      <c r="N1551">
        <v>188.66</v>
      </c>
      <c r="O1551">
        <v>0.12</v>
      </c>
      <c r="P1551">
        <v>22.64</v>
      </c>
      <c r="Q1551">
        <v>166.02</v>
      </c>
      <c r="R1551">
        <v>122.63</v>
      </c>
      <c r="S1551">
        <v>43.39</v>
      </c>
    </row>
    <row r="1552" spans="1:19" x14ac:dyDescent="0.35">
      <c r="A1552">
        <v>200290</v>
      </c>
      <c r="B1552">
        <v>2491</v>
      </c>
      <c r="C1552" t="s">
        <v>19</v>
      </c>
      <c r="D1552" t="s">
        <v>31</v>
      </c>
      <c r="E1552" t="s">
        <v>24</v>
      </c>
      <c r="F1552" t="s">
        <v>25</v>
      </c>
      <c r="G1552" s="1">
        <v>45497</v>
      </c>
      <c r="H1552" s="1">
        <v>45501</v>
      </c>
      <c r="I1552" s="1">
        <v>45510</v>
      </c>
      <c r="J1552">
        <v>13</v>
      </c>
      <c r="K1552">
        <v>4</v>
      </c>
      <c r="L1552">
        <v>9</v>
      </c>
      <c r="M1552">
        <v>436.68</v>
      </c>
      <c r="N1552">
        <v>3930.12</v>
      </c>
      <c r="O1552">
        <v>7.0000000000000007E-2</v>
      </c>
      <c r="P1552">
        <v>275.11</v>
      </c>
      <c r="Q1552">
        <v>3655.01</v>
      </c>
      <c r="R1552">
        <v>2397.37</v>
      </c>
      <c r="S1552">
        <v>1257.6400000000001</v>
      </c>
    </row>
    <row r="1553" spans="1:19" x14ac:dyDescent="0.35">
      <c r="A1553">
        <v>200291</v>
      </c>
      <c r="B1553">
        <v>4100</v>
      </c>
      <c r="C1553" t="s">
        <v>23</v>
      </c>
      <c r="D1553" t="s">
        <v>20</v>
      </c>
      <c r="E1553" t="s">
        <v>34</v>
      </c>
      <c r="F1553" t="s">
        <v>45</v>
      </c>
      <c r="G1553" s="1">
        <v>45437</v>
      </c>
      <c r="H1553" s="1">
        <v>45440</v>
      </c>
      <c r="I1553" s="1">
        <v>45451</v>
      </c>
      <c r="J1553">
        <v>14</v>
      </c>
      <c r="K1553">
        <v>3</v>
      </c>
      <c r="L1553">
        <v>9</v>
      </c>
      <c r="M1553">
        <v>67.37</v>
      </c>
      <c r="N1553">
        <v>606.33000000000004</v>
      </c>
      <c r="O1553">
        <v>0</v>
      </c>
      <c r="P1553">
        <v>0</v>
      </c>
      <c r="Q1553">
        <v>606.33000000000004</v>
      </c>
      <c r="R1553">
        <v>345.61</v>
      </c>
      <c r="S1553">
        <v>260.72000000000003</v>
      </c>
    </row>
    <row r="1554" spans="1:19" x14ac:dyDescent="0.35">
      <c r="A1554">
        <v>200292</v>
      </c>
      <c r="B1554">
        <v>4420</v>
      </c>
      <c r="C1554" t="s">
        <v>28</v>
      </c>
      <c r="D1554" t="s">
        <v>20</v>
      </c>
      <c r="E1554" t="s">
        <v>26</v>
      </c>
      <c r="F1554" t="s">
        <v>37</v>
      </c>
      <c r="G1554" s="1">
        <v>45430</v>
      </c>
      <c r="H1554" s="1">
        <v>45434</v>
      </c>
      <c r="I1554" s="1">
        <v>45443</v>
      </c>
      <c r="J1554">
        <v>13</v>
      </c>
      <c r="K1554">
        <v>4</v>
      </c>
      <c r="L1554">
        <v>2</v>
      </c>
      <c r="M1554">
        <v>527.70000000000005</v>
      </c>
      <c r="N1554">
        <v>1055.4000000000001</v>
      </c>
      <c r="O1554">
        <v>0.12</v>
      </c>
      <c r="P1554">
        <v>126.65</v>
      </c>
      <c r="Q1554">
        <v>928.75</v>
      </c>
      <c r="R1554">
        <v>591.02</v>
      </c>
      <c r="S1554">
        <v>337.73</v>
      </c>
    </row>
    <row r="1555" spans="1:19" x14ac:dyDescent="0.35">
      <c r="A1555">
        <v>200293</v>
      </c>
      <c r="B1555">
        <v>1363</v>
      </c>
      <c r="C1555" t="s">
        <v>23</v>
      </c>
      <c r="D1555" t="s">
        <v>29</v>
      </c>
      <c r="E1555" t="s">
        <v>26</v>
      </c>
      <c r="F1555" t="s">
        <v>44</v>
      </c>
      <c r="G1555" s="1">
        <v>45323</v>
      </c>
      <c r="H1555" s="1">
        <v>45325</v>
      </c>
      <c r="I1555" s="1">
        <v>45337</v>
      </c>
      <c r="J1555">
        <v>14</v>
      </c>
      <c r="K1555">
        <v>2</v>
      </c>
      <c r="L1555">
        <v>7</v>
      </c>
      <c r="M1555">
        <v>441.26</v>
      </c>
      <c r="N1555">
        <v>3088.82</v>
      </c>
      <c r="O1555">
        <v>0.12</v>
      </c>
      <c r="P1555">
        <v>370.66</v>
      </c>
      <c r="Q1555">
        <v>2718.16</v>
      </c>
      <c r="R1555">
        <v>2069.5100000000002</v>
      </c>
      <c r="S1555">
        <v>648.65</v>
      </c>
    </row>
    <row r="1556" spans="1:19" x14ac:dyDescent="0.35">
      <c r="A1556">
        <v>200294</v>
      </c>
      <c r="B1556">
        <v>1215</v>
      </c>
      <c r="C1556" t="s">
        <v>19</v>
      </c>
      <c r="D1556" t="s">
        <v>29</v>
      </c>
      <c r="E1556" t="s">
        <v>21</v>
      </c>
      <c r="F1556" t="s">
        <v>38</v>
      </c>
      <c r="G1556" s="1">
        <v>45497</v>
      </c>
      <c r="H1556" s="1">
        <v>45499</v>
      </c>
      <c r="I1556" s="1">
        <v>45505</v>
      </c>
      <c r="J1556">
        <v>8</v>
      </c>
      <c r="K1556">
        <v>2</v>
      </c>
      <c r="L1556">
        <v>11</v>
      </c>
      <c r="M1556">
        <v>187.15</v>
      </c>
      <c r="N1556">
        <v>2058.65</v>
      </c>
      <c r="O1556">
        <v>0.12</v>
      </c>
      <c r="P1556">
        <v>247.04</v>
      </c>
      <c r="Q1556">
        <v>1811.61</v>
      </c>
      <c r="R1556">
        <v>1276.3599999999999</v>
      </c>
      <c r="S1556">
        <v>535.25</v>
      </c>
    </row>
    <row r="1557" spans="1:19" x14ac:dyDescent="0.35">
      <c r="A1557">
        <v>200295</v>
      </c>
      <c r="B1557">
        <v>3423</v>
      </c>
      <c r="C1557" t="s">
        <v>33</v>
      </c>
      <c r="D1557" t="s">
        <v>20</v>
      </c>
      <c r="E1557" t="s">
        <v>26</v>
      </c>
      <c r="F1557" t="s">
        <v>27</v>
      </c>
      <c r="G1557" s="1">
        <v>45534</v>
      </c>
      <c r="H1557" s="1">
        <v>45538</v>
      </c>
      <c r="I1557" s="1">
        <v>45540</v>
      </c>
      <c r="J1557">
        <v>6</v>
      </c>
      <c r="K1557">
        <v>4</v>
      </c>
      <c r="L1557">
        <v>10</v>
      </c>
      <c r="M1557">
        <v>300.08999999999997</v>
      </c>
      <c r="N1557">
        <v>3000.9</v>
      </c>
      <c r="O1557">
        <v>0.09</v>
      </c>
      <c r="P1557">
        <v>270.08</v>
      </c>
      <c r="Q1557">
        <v>2730.82</v>
      </c>
      <c r="R1557">
        <v>2010.6</v>
      </c>
      <c r="S1557">
        <v>720.22</v>
      </c>
    </row>
    <row r="1558" spans="1:19" x14ac:dyDescent="0.35">
      <c r="A1558">
        <v>200296</v>
      </c>
      <c r="B1558">
        <v>4020</v>
      </c>
      <c r="C1558" t="s">
        <v>23</v>
      </c>
      <c r="D1558" t="s">
        <v>31</v>
      </c>
      <c r="E1558" t="s">
        <v>21</v>
      </c>
      <c r="F1558" t="s">
        <v>38</v>
      </c>
      <c r="G1558" s="1">
        <v>45306</v>
      </c>
      <c r="H1558" s="1">
        <v>45311</v>
      </c>
      <c r="I1558" s="1">
        <v>45312</v>
      </c>
      <c r="J1558">
        <v>6</v>
      </c>
      <c r="K1558">
        <v>5</v>
      </c>
      <c r="L1558">
        <v>14</v>
      </c>
      <c r="M1558">
        <v>501.39</v>
      </c>
      <c r="N1558">
        <v>7019.46</v>
      </c>
      <c r="O1558">
        <v>0.12</v>
      </c>
      <c r="P1558">
        <v>842.34</v>
      </c>
      <c r="Q1558">
        <v>6177.12</v>
      </c>
      <c r="R1558">
        <v>4422.26</v>
      </c>
      <c r="S1558">
        <v>1754.86</v>
      </c>
    </row>
    <row r="1559" spans="1:19" x14ac:dyDescent="0.35">
      <c r="A1559">
        <v>200297</v>
      </c>
      <c r="B1559">
        <v>1709</v>
      </c>
      <c r="C1559" t="s">
        <v>19</v>
      </c>
      <c r="D1559" t="s">
        <v>20</v>
      </c>
      <c r="E1559" t="s">
        <v>34</v>
      </c>
      <c r="F1559" t="s">
        <v>35</v>
      </c>
      <c r="G1559" s="1">
        <v>45461</v>
      </c>
      <c r="H1559" s="1">
        <v>45466</v>
      </c>
      <c r="I1559" s="1">
        <v>45463</v>
      </c>
      <c r="J1559">
        <v>2</v>
      </c>
      <c r="K1559">
        <v>5</v>
      </c>
      <c r="L1559">
        <v>6</v>
      </c>
      <c r="M1559">
        <v>405.37</v>
      </c>
      <c r="N1559">
        <v>2432.2199999999998</v>
      </c>
      <c r="O1559">
        <v>0.08</v>
      </c>
      <c r="P1559">
        <v>194.58</v>
      </c>
      <c r="Q1559">
        <v>2237.64</v>
      </c>
      <c r="R1559">
        <v>1410.69</v>
      </c>
      <c r="S1559">
        <v>826.95</v>
      </c>
    </row>
    <row r="1560" spans="1:19" x14ac:dyDescent="0.35">
      <c r="A1560">
        <v>200298</v>
      </c>
      <c r="B1560">
        <v>3537</v>
      </c>
      <c r="C1560" t="s">
        <v>23</v>
      </c>
      <c r="D1560" t="s">
        <v>29</v>
      </c>
      <c r="E1560" t="s">
        <v>34</v>
      </c>
      <c r="F1560" t="s">
        <v>43</v>
      </c>
      <c r="G1560" s="1">
        <v>45452</v>
      </c>
      <c r="H1560" s="1">
        <v>45453</v>
      </c>
      <c r="I1560" s="1">
        <v>45467</v>
      </c>
      <c r="J1560">
        <v>15</v>
      </c>
      <c r="K1560">
        <v>1</v>
      </c>
      <c r="L1560">
        <v>1</v>
      </c>
      <c r="M1560">
        <v>493.18</v>
      </c>
      <c r="N1560">
        <v>493.18</v>
      </c>
      <c r="O1560">
        <v>0.09</v>
      </c>
      <c r="P1560">
        <v>44.39</v>
      </c>
      <c r="Q1560">
        <v>448.79</v>
      </c>
      <c r="R1560">
        <v>310.7</v>
      </c>
      <c r="S1560">
        <v>138.09</v>
      </c>
    </row>
    <row r="1561" spans="1:19" x14ac:dyDescent="0.35">
      <c r="A1561">
        <v>200299</v>
      </c>
      <c r="B1561">
        <v>1738</v>
      </c>
      <c r="C1561" t="s">
        <v>33</v>
      </c>
      <c r="D1561" t="s">
        <v>20</v>
      </c>
      <c r="E1561" t="s">
        <v>34</v>
      </c>
      <c r="F1561" t="s">
        <v>35</v>
      </c>
      <c r="G1561" s="1">
        <v>45398</v>
      </c>
      <c r="H1561" s="1">
        <v>45402</v>
      </c>
      <c r="I1561" s="1">
        <v>45409</v>
      </c>
      <c r="J1561">
        <v>11</v>
      </c>
      <c r="K1561">
        <v>4</v>
      </c>
      <c r="L1561">
        <v>3</v>
      </c>
      <c r="M1561">
        <v>45.32</v>
      </c>
      <c r="N1561">
        <v>135.96</v>
      </c>
      <c r="O1561">
        <v>0.05</v>
      </c>
      <c r="P1561">
        <v>6.8</v>
      </c>
      <c r="Q1561">
        <v>129.16</v>
      </c>
      <c r="R1561">
        <v>88.37</v>
      </c>
      <c r="S1561">
        <v>40.79</v>
      </c>
    </row>
    <row r="1562" spans="1:19" x14ac:dyDescent="0.35">
      <c r="A1562">
        <v>200300</v>
      </c>
      <c r="B1562">
        <v>2968</v>
      </c>
      <c r="C1562" t="s">
        <v>33</v>
      </c>
      <c r="D1562" t="s">
        <v>20</v>
      </c>
      <c r="E1562" t="s">
        <v>26</v>
      </c>
      <c r="F1562" t="s">
        <v>37</v>
      </c>
      <c r="G1562" s="1">
        <v>45548</v>
      </c>
      <c r="H1562" s="1">
        <v>45553</v>
      </c>
      <c r="I1562" s="1">
        <v>45558</v>
      </c>
      <c r="J1562">
        <v>10</v>
      </c>
      <c r="K1562">
        <v>5</v>
      </c>
      <c r="L1562">
        <v>14</v>
      </c>
      <c r="M1562">
        <v>660.26</v>
      </c>
      <c r="N1562">
        <v>9243.64</v>
      </c>
      <c r="O1562">
        <v>0.08</v>
      </c>
      <c r="P1562">
        <v>739.49</v>
      </c>
      <c r="Q1562">
        <v>8504.15</v>
      </c>
      <c r="R1562">
        <v>5546.18</v>
      </c>
      <c r="S1562">
        <v>2957.97</v>
      </c>
    </row>
    <row r="1563" spans="1:19" x14ac:dyDescent="0.35">
      <c r="A1563">
        <v>200301</v>
      </c>
      <c r="B1563">
        <v>2322</v>
      </c>
      <c r="C1563" t="s">
        <v>28</v>
      </c>
      <c r="D1563" t="s">
        <v>31</v>
      </c>
      <c r="E1563" t="s">
        <v>34</v>
      </c>
      <c r="F1563" t="s">
        <v>40</v>
      </c>
      <c r="G1563" s="1">
        <v>45416</v>
      </c>
      <c r="H1563" s="1">
        <v>45419</v>
      </c>
      <c r="I1563" s="1">
        <v>45423</v>
      </c>
      <c r="J1563">
        <v>7</v>
      </c>
      <c r="K1563">
        <v>3</v>
      </c>
      <c r="L1563">
        <v>11</v>
      </c>
      <c r="M1563">
        <v>196.65</v>
      </c>
      <c r="N1563">
        <v>2163.15</v>
      </c>
      <c r="O1563">
        <v>0.09</v>
      </c>
      <c r="P1563">
        <v>194.68</v>
      </c>
      <c r="Q1563">
        <v>1968.47</v>
      </c>
      <c r="R1563">
        <v>1449.31</v>
      </c>
      <c r="S1563">
        <v>519.16</v>
      </c>
    </row>
    <row r="1564" spans="1:19" x14ac:dyDescent="0.35">
      <c r="A1564">
        <v>200302</v>
      </c>
      <c r="B1564">
        <v>3260</v>
      </c>
      <c r="C1564" t="s">
        <v>23</v>
      </c>
      <c r="D1564" t="s">
        <v>29</v>
      </c>
      <c r="E1564" t="s">
        <v>21</v>
      </c>
      <c r="F1564" t="s">
        <v>39</v>
      </c>
      <c r="G1564" s="1">
        <v>45433</v>
      </c>
      <c r="H1564" s="1">
        <v>45438</v>
      </c>
      <c r="I1564" s="1">
        <v>45456</v>
      </c>
      <c r="J1564">
        <v>23</v>
      </c>
      <c r="K1564">
        <v>5</v>
      </c>
      <c r="L1564">
        <v>12</v>
      </c>
      <c r="M1564">
        <v>782.94</v>
      </c>
      <c r="N1564">
        <v>9395.2800000000007</v>
      </c>
      <c r="O1564">
        <v>0.12</v>
      </c>
      <c r="P1564">
        <v>1127.43</v>
      </c>
      <c r="Q1564">
        <v>8267.85</v>
      </c>
      <c r="R1564">
        <v>5637.17</v>
      </c>
      <c r="S1564">
        <v>2630.68</v>
      </c>
    </row>
    <row r="1565" spans="1:19" x14ac:dyDescent="0.35">
      <c r="A1565">
        <v>200303</v>
      </c>
      <c r="B1565">
        <v>2711</v>
      </c>
      <c r="C1565" t="s">
        <v>33</v>
      </c>
      <c r="D1565" t="s">
        <v>31</v>
      </c>
      <c r="E1565" t="s">
        <v>24</v>
      </c>
      <c r="F1565" t="s">
        <v>32</v>
      </c>
      <c r="G1565" s="1">
        <v>45354</v>
      </c>
      <c r="H1565" s="1">
        <v>45358</v>
      </c>
      <c r="I1565" s="1">
        <v>45373</v>
      </c>
      <c r="J1565">
        <v>19</v>
      </c>
      <c r="K1565">
        <v>4</v>
      </c>
      <c r="L1565">
        <v>3</v>
      </c>
      <c r="M1565">
        <v>501.67</v>
      </c>
      <c r="N1565">
        <v>1505.01</v>
      </c>
      <c r="O1565">
        <v>0.11</v>
      </c>
      <c r="P1565">
        <v>165.55</v>
      </c>
      <c r="Q1565">
        <v>1339.46</v>
      </c>
      <c r="R1565">
        <v>797.66</v>
      </c>
      <c r="S1565">
        <v>541.79999999999995</v>
      </c>
    </row>
    <row r="1566" spans="1:19" x14ac:dyDescent="0.35">
      <c r="A1566">
        <v>200304</v>
      </c>
      <c r="B1566">
        <v>3707</v>
      </c>
      <c r="C1566" t="s">
        <v>33</v>
      </c>
      <c r="D1566" t="s">
        <v>31</v>
      </c>
      <c r="E1566" t="s">
        <v>21</v>
      </c>
      <c r="F1566" t="s">
        <v>41</v>
      </c>
      <c r="G1566" s="1">
        <v>45444</v>
      </c>
      <c r="H1566" s="1">
        <v>45447</v>
      </c>
      <c r="I1566" s="1">
        <v>45457</v>
      </c>
      <c r="J1566">
        <v>13</v>
      </c>
      <c r="K1566">
        <v>3</v>
      </c>
      <c r="L1566">
        <v>1</v>
      </c>
      <c r="M1566">
        <v>95.18</v>
      </c>
      <c r="N1566">
        <v>95.18</v>
      </c>
      <c r="O1566">
        <v>0.14000000000000001</v>
      </c>
      <c r="P1566">
        <v>13.33</v>
      </c>
      <c r="Q1566">
        <v>81.849999999999994</v>
      </c>
      <c r="R1566">
        <v>59.01</v>
      </c>
      <c r="S1566">
        <v>22.84</v>
      </c>
    </row>
    <row r="1567" spans="1:19" x14ac:dyDescent="0.35">
      <c r="A1567">
        <v>200305</v>
      </c>
      <c r="B1567">
        <v>1443</v>
      </c>
      <c r="C1567" t="s">
        <v>23</v>
      </c>
      <c r="D1567" t="s">
        <v>31</v>
      </c>
      <c r="E1567" t="s">
        <v>24</v>
      </c>
      <c r="F1567" t="s">
        <v>30</v>
      </c>
      <c r="G1567" s="1">
        <v>45415</v>
      </c>
      <c r="H1567" s="1">
        <v>45418</v>
      </c>
      <c r="I1567" s="1">
        <v>45437</v>
      </c>
      <c r="J1567">
        <v>22</v>
      </c>
      <c r="K1567">
        <v>3</v>
      </c>
      <c r="L1567">
        <v>4</v>
      </c>
      <c r="M1567">
        <v>415.05</v>
      </c>
      <c r="N1567">
        <v>1660.2</v>
      </c>
      <c r="O1567">
        <v>0.04</v>
      </c>
      <c r="P1567">
        <v>66.41</v>
      </c>
      <c r="Q1567">
        <v>1593.79</v>
      </c>
      <c r="R1567">
        <v>1095.73</v>
      </c>
      <c r="S1567">
        <v>498.06</v>
      </c>
    </row>
    <row r="1568" spans="1:19" x14ac:dyDescent="0.35">
      <c r="A1568">
        <v>200306</v>
      </c>
      <c r="B1568">
        <v>4863</v>
      </c>
      <c r="C1568" t="s">
        <v>33</v>
      </c>
      <c r="D1568" t="s">
        <v>31</v>
      </c>
      <c r="E1568" t="s">
        <v>24</v>
      </c>
      <c r="F1568" t="s">
        <v>42</v>
      </c>
      <c r="G1568" s="1">
        <v>45415</v>
      </c>
      <c r="H1568" s="1">
        <v>45416</v>
      </c>
      <c r="I1568" s="1">
        <v>45441</v>
      </c>
      <c r="J1568">
        <v>26</v>
      </c>
      <c r="K1568">
        <v>1</v>
      </c>
      <c r="L1568">
        <v>11</v>
      </c>
      <c r="M1568">
        <v>239.92</v>
      </c>
      <c r="N1568">
        <v>2639.12</v>
      </c>
      <c r="O1568">
        <v>0.05</v>
      </c>
      <c r="P1568">
        <v>131.96</v>
      </c>
      <c r="Q1568">
        <v>2507.16</v>
      </c>
      <c r="R1568">
        <v>1820.99</v>
      </c>
      <c r="S1568">
        <v>686.17</v>
      </c>
    </row>
    <row r="1569" spans="1:19" x14ac:dyDescent="0.35">
      <c r="A1569">
        <v>200307</v>
      </c>
      <c r="B1569">
        <v>4488</v>
      </c>
      <c r="C1569" t="s">
        <v>23</v>
      </c>
      <c r="D1569" t="s">
        <v>20</v>
      </c>
      <c r="E1569" t="s">
        <v>24</v>
      </c>
      <c r="F1569" t="s">
        <v>30</v>
      </c>
      <c r="G1569" s="1">
        <v>45614</v>
      </c>
      <c r="H1569" s="1">
        <v>45619</v>
      </c>
      <c r="I1569" s="1">
        <v>45635</v>
      </c>
      <c r="J1569">
        <v>21</v>
      </c>
      <c r="K1569">
        <v>5</v>
      </c>
      <c r="L1569">
        <v>7</v>
      </c>
      <c r="M1569">
        <v>318.45</v>
      </c>
      <c r="N1569">
        <v>2229.15</v>
      </c>
      <c r="O1569">
        <v>0.08</v>
      </c>
      <c r="P1569">
        <v>178.33</v>
      </c>
      <c r="Q1569">
        <v>2050.8200000000002</v>
      </c>
      <c r="R1569">
        <v>1404.36</v>
      </c>
      <c r="S1569">
        <v>646.46</v>
      </c>
    </row>
    <row r="1570" spans="1:19" x14ac:dyDescent="0.35">
      <c r="A1570">
        <v>200308</v>
      </c>
      <c r="B1570">
        <v>3007</v>
      </c>
      <c r="C1570" t="s">
        <v>23</v>
      </c>
      <c r="D1570" t="s">
        <v>20</v>
      </c>
      <c r="E1570" t="s">
        <v>26</v>
      </c>
      <c r="F1570" t="s">
        <v>27</v>
      </c>
      <c r="G1570" s="1">
        <v>45385</v>
      </c>
      <c r="H1570" s="1">
        <v>45389</v>
      </c>
      <c r="I1570" s="1">
        <v>45411</v>
      </c>
      <c r="J1570">
        <v>26</v>
      </c>
      <c r="K1570">
        <v>4</v>
      </c>
      <c r="L1570">
        <v>3</v>
      </c>
      <c r="M1570">
        <v>403.29</v>
      </c>
      <c r="N1570">
        <v>1209.8699999999999</v>
      </c>
      <c r="O1570">
        <v>0.18</v>
      </c>
      <c r="P1570">
        <v>217.78</v>
      </c>
      <c r="Q1570">
        <v>992.09</v>
      </c>
      <c r="R1570">
        <v>713.82</v>
      </c>
      <c r="S1570">
        <v>278.27</v>
      </c>
    </row>
    <row r="1571" spans="1:19" x14ac:dyDescent="0.35">
      <c r="A1571">
        <v>200309</v>
      </c>
      <c r="B1571">
        <v>4460</v>
      </c>
      <c r="C1571" t="s">
        <v>23</v>
      </c>
      <c r="D1571" t="s">
        <v>29</v>
      </c>
      <c r="E1571" t="s">
        <v>21</v>
      </c>
      <c r="F1571" t="s">
        <v>39</v>
      </c>
      <c r="G1571" s="1">
        <v>45324</v>
      </c>
      <c r="H1571" s="1">
        <v>45325</v>
      </c>
      <c r="I1571" s="1">
        <v>45332</v>
      </c>
      <c r="J1571">
        <v>8</v>
      </c>
      <c r="K1571">
        <v>1</v>
      </c>
      <c r="L1571">
        <v>9</v>
      </c>
      <c r="M1571">
        <v>357.8</v>
      </c>
      <c r="N1571">
        <v>3220.2</v>
      </c>
      <c r="O1571">
        <v>0.17</v>
      </c>
      <c r="P1571">
        <v>547.42999999999995</v>
      </c>
      <c r="Q1571">
        <v>2672.77</v>
      </c>
      <c r="R1571">
        <v>1803.31</v>
      </c>
      <c r="S1571">
        <v>869.46</v>
      </c>
    </row>
    <row r="1572" spans="1:19" x14ac:dyDescent="0.35">
      <c r="A1572">
        <v>200310</v>
      </c>
      <c r="B1572">
        <v>3198</v>
      </c>
      <c r="C1572" t="s">
        <v>28</v>
      </c>
      <c r="D1572" t="s">
        <v>31</v>
      </c>
      <c r="E1572" t="s">
        <v>26</v>
      </c>
      <c r="F1572" t="s">
        <v>27</v>
      </c>
      <c r="G1572" s="1">
        <v>45478</v>
      </c>
      <c r="H1572" s="1">
        <v>45481</v>
      </c>
      <c r="I1572" s="1">
        <v>45504</v>
      </c>
      <c r="J1572">
        <v>26</v>
      </c>
      <c r="K1572">
        <v>3</v>
      </c>
      <c r="L1572">
        <v>4</v>
      </c>
      <c r="M1572">
        <v>327.33999999999997</v>
      </c>
      <c r="N1572">
        <v>1309.3599999999999</v>
      </c>
      <c r="O1572">
        <v>0.15</v>
      </c>
      <c r="P1572">
        <v>196.4</v>
      </c>
      <c r="Q1572">
        <v>1112.96</v>
      </c>
      <c r="R1572">
        <v>877.27</v>
      </c>
      <c r="S1572">
        <v>235.69</v>
      </c>
    </row>
    <row r="1573" spans="1:19" x14ac:dyDescent="0.35">
      <c r="A1573">
        <v>200311</v>
      </c>
      <c r="B1573">
        <v>4319</v>
      </c>
      <c r="C1573" t="s">
        <v>23</v>
      </c>
      <c r="D1573" t="s">
        <v>31</v>
      </c>
      <c r="E1573" t="s">
        <v>24</v>
      </c>
      <c r="F1573" t="s">
        <v>30</v>
      </c>
      <c r="G1573" s="1">
        <v>45318</v>
      </c>
      <c r="H1573" s="1">
        <v>45321</v>
      </c>
      <c r="I1573" s="1">
        <v>45343</v>
      </c>
      <c r="J1573">
        <v>25</v>
      </c>
      <c r="K1573">
        <v>3</v>
      </c>
      <c r="L1573">
        <v>9</v>
      </c>
      <c r="M1573">
        <v>517.84</v>
      </c>
      <c r="N1573">
        <v>4660.5600000000004</v>
      </c>
      <c r="O1573">
        <v>0.05</v>
      </c>
      <c r="P1573">
        <v>233.03</v>
      </c>
      <c r="Q1573">
        <v>4427.53</v>
      </c>
      <c r="R1573">
        <v>3262.39</v>
      </c>
      <c r="S1573">
        <v>1165.1400000000001</v>
      </c>
    </row>
    <row r="1574" spans="1:19" x14ac:dyDescent="0.35">
      <c r="A1574">
        <v>200312</v>
      </c>
      <c r="B1574">
        <v>1042</v>
      </c>
      <c r="C1574" t="s">
        <v>33</v>
      </c>
      <c r="D1574" t="s">
        <v>31</v>
      </c>
      <c r="E1574" t="s">
        <v>21</v>
      </c>
      <c r="F1574" t="s">
        <v>38</v>
      </c>
      <c r="G1574" s="1">
        <v>45331</v>
      </c>
      <c r="H1574" s="1">
        <v>45333</v>
      </c>
      <c r="I1574" s="1">
        <v>45346</v>
      </c>
      <c r="J1574">
        <v>15</v>
      </c>
      <c r="K1574">
        <v>2</v>
      </c>
      <c r="L1574">
        <v>12</v>
      </c>
      <c r="M1574">
        <v>54.84</v>
      </c>
      <c r="N1574">
        <v>658.08</v>
      </c>
      <c r="O1574">
        <v>0.16</v>
      </c>
      <c r="P1574">
        <v>105.29</v>
      </c>
      <c r="Q1574">
        <v>552.79</v>
      </c>
      <c r="R1574">
        <v>434.33</v>
      </c>
      <c r="S1574">
        <v>118.46</v>
      </c>
    </row>
    <row r="1575" spans="1:19" x14ac:dyDescent="0.35">
      <c r="A1575">
        <v>200313</v>
      </c>
      <c r="B1575">
        <v>4535</v>
      </c>
      <c r="C1575" t="s">
        <v>33</v>
      </c>
      <c r="D1575" t="s">
        <v>20</v>
      </c>
      <c r="E1575" t="s">
        <v>26</v>
      </c>
      <c r="F1575" t="s">
        <v>44</v>
      </c>
      <c r="G1575" s="1">
        <v>45412</v>
      </c>
      <c r="H1575" s="1">
        <v>45413</v>
      </c>
      <c r="I1575" s="1">
        <v>45419</v>
      </c>
      <c r="J1575">
        <v>7</v>
      </c>
      <c r="K1575">
        <v>1</v>
      </c>
      <c r="L1575">
        <v>5</v>
      </c>
      <c r="M1575">
        <v>138.62</v>
      </c>
      <c r="N1575">
        <v>693.1</v>
      </c>
      <c r="O1575">
        <v>0.14000000000000001</v>
      </c>
      <c r="P1575">
        <v>97.03</v>
      </c>
      <c r="Q1575">
        <v>596.07000000000005</v>
      </c>
      <c r="R1575">
        <v>478.24</v>
      </c>
      <c r="S1575">
        <v>117.83</v>
      </c>
    </row>
    <row r="1576" spans="1:19" x14ac:dyDescent="0.35">
      <c r="A1576">
        <v>200314</v>
      </c>
      <c r="B1576">
        <v>1663</v>
      </c>
      <c r="C1576" t="s">
        <v>19</v>
      </c>
      <c r="D1576" t="s">
        <v>20</v>
      </c>
      <c r="E1576" t="s">
        <v>26</v>
      </c>
      <c r="F1576" t="s">
        <v>44</v>
      </c>
      <c r="G1576" s="1">
        <v>45456</v>
      </c>
      <c r="H1576" s="1">
        <v>45459</v>
      </c>
      <c r="I1576" s="1">
        <v>45484</v>
      </c>
      <c r="J1576">
        <v>28</v>
      </c>
      <c r="K1576">
        <v>3</v>
      </c>
      <c r="L1576">
        <v>11</v>
      </c>
      <c r="M1576">
        <v>294.22000000000003</v>
      </c>
      <c r="N1576">
        <v>3236.42</v>
      </c>
      <c r="O1576">
        <v>0.03</v>
      </c>
      <c r="P1576">
        <v>97.09</v>
      </c>
      <c r="Q1576">
        <v>3139.33</v>
      </c>
      <c r="R1576">
        <v>1812.4</v>
      </c>
      <c r="S1576">
        <v>1326.93</v>
      </c>
    </row>
    <row r="1577" spans="1:19" x14ac:dyDescent="0.35">
      <c r="A1577">
        <v>200315</v>
      </c>
      <c r="B1577">
        <v>1721</v>
      </c>
      <c r="C1577" t="s">
        <v>23</v>
      </c>
      <c r="D1577" t="s">
        <v>31</v>
      </c>
      <c r="E1577" t="s">
        <v>21</v>
      </c>
      <c r="F1577" t="s">
        <v>22</v>
      </c>
      <c r="G1577" s="1">
        <v>45638</v>
      </c>
      <c r="H1577" s="1">
        <v>45641</v>
      </c>
      <c r="I1577" s="1">
        <v>45663</v>
      </c>
      <c r="J1577">
        <v>25</v>
      </c>
      <c r="K1577">
        <v>3</v>
      </c>
      <c r="L1577">
        <v>14</v>
      </c>
      <c r="M1577">
        <v>606.97</v>
      </c>
      <c r="N1577">
        <v>8497.58</v>
      </c>
      <c r="O1577">
        <v>0.04</v>
      </c>
      <c r="P1577">
        <v>339.9</v>
      </c>
      <c r="Q1577">
        <v>8157.68</v>
      </c>
      <c r="R1577">
        <v>5608.4</v>
      </c>
      <c r="S1577">
        <v>2549.2800000000002</v>
      </c>
    </row>
    <row r="1578" spans="1:19" x14ac:dyDescent="0.35">
      <c r="A1578">
        <v>200316</v>
      </c>
      <c r="B1578">
        <v>3276</v>
      </c>
      <c r="C1578" t="s">
        <v>33</v>
      </c>
      <c r="D1578" t="s">
        <v>29</v>
      </c>
      <c r="E1578" t="s">
        <v>21</v>
      </c>
      <c r="F1578" t="s">
        <v>41</v>
      </c>
      <c r="G1578" s="1">
        <v>45483</v>
      </c>
      <c r="H1578" s="1">
        <v>45488</v>
      </c>
      <c r="I1578" s="1">
        <v>45500</v>
      </c>
      <c r="J1578">
        <v>17</v>
      </c>
      <c r="K1578">
        <v>5</v>
      </c>
      <c r="L1578">
        <v>4</v>
      </c>
      <c r="M1578">
        <v>709.8</v>
      </c>
      <c r="N1578">
        <v>2839.2</v>
      </c>
      <c r="O1578">
        <v>7.0000000000000007E-2</v>
      </c>
      <c r="P1578">
        <v>198.74</v>
      </c>
      <c r="Q1578">
        <v>2640.46</v>
      </c>
      <c r="R1578">
        <v>1646.74</v>
      </c>
      <c r="S1578">
        <v>993.72</v>
      </c>
    </row>
    <row r="1579" spans="1:19" x14ac:dyDescent="0.35">
      <c r="A1579">
        <v>200317</v>
      </c>
      <c r="B1579">
        <v>2680</v>
      </c>
      <c r="C1579" t="s">
        <v>28</v>
      </c>
      <c r="D1579" t="s">
        <v>29</v>
      </c>
      <c r="E1579" t="s">
        <v>24</v>
      </c>
      <c r="F1579" t="s">
        <v>30</v>
      </c>
      <c r="G1579" s="1">
        <v>45406</v>
      </c>
      <c r="H1579" s="1">
        <v>45409</v>
      </c>
      <c r="I1579" s="1">
        <v>45414</v>
      </c>
      <c r="J1579">
        <v>8</v>
      </c>
      <c r="K1579">
        <v>3</v>
      </c>
      <c r="L1579">
        <v>14</v>
      </c>
      <c r="M1579">
        <v>52.9</v>
      </c>
      <c r="N1579">
        <v>740.6</v>
      </c>
      <c r="O1579">
        <v>0.1</v>
      </c>
      <c r="P1579">
        <v>74.06</v>
      </c>
      <c r="Q1579">
        <v>666.54</v>
      </c>
      <c r="R1579">
        <v>429.55</v>
      </c>
      <c r="S1579">
        <v>236.99</v>
      </c>
    </row>
    <row r="1580" spans="1:19" x14ac:dyDescent="0.35">
      <c r="A1580">
        <v>200318</v>
      </c>
      <c r="B1580">
        <v>4657</v>
      </c>
      <c r="C1580" t="s">
        <v>19</v>
      </c>
      <c r="D1580" t="s">
        <v>29</v>
      </c>
      <c r="E1580" t="s">
        <v>24</v>
      </c>
      <c r="F1580" t="s">
        <v>32</v>
      </c>
      <c r="G1580" s="1">
        <v>45552</v>
      </c>
      <c r="H1580" s="1">
        <v>45553</v>
      </c>
      <c r="I1580" s="1">
        <v>45561</v>
      </c>
      <c r="J1580">
        <v>9</v>
      </c>
      <c r="K1580">
        <v>1</v>
      </c>
      <c r="L1580">
        <v>11</v>
      </c>
      <c r="M1580">
        <v>317.98</v>
      </c>
      <c r="N1580">
        <v>3497.78</v>
      </c>
      <c r="O1580">
        <v>0.04</v>
      </c>
      <c r="P1580">
        <v>139.91</v>
      </c>
      <c r="Q1580">
        <v>3357.87</v>
      </c>
      <c r="R1580">
        <v>2098.67</v>
      </c>
      <c r="S1580">
        <v>1259.2</v>
      </c>
    </row>
    <row r="1581" spans="1:19" x14ac:dyDescent="0.35">
      <c r="A1581">
        <v>200319</v>
      </c>
      <c r="B1581">
        <v>1278</v>
      </c>
      <c r="C1581" t="s">
        <v>23</v>
      </c>
      <c r="D1581" t="s">
        <v>29</v>
      </c>
      <c r="E1581" t="s">
        <v>24</v>
      </c>
      <c r="F1581" t="s">
        <v>32</v>
      </c>
      <c r="G1581" s="1">
        <v>45298</v>
      </c>
      <c r="H1581" s="1">
        <v>45300</v>
      </c>
      <c r="I1581" s="1">
        <v>45325</v>
      </c>
      <c r="J1581">
        <v>27</v>
      </c>
      <c r="K1581">
        <v>2</v>
      </c>
      <c r="L1581">
        <v>1</v>
      </c>
      <c r="M1581">
        <v>341.06</v>
      </c>
      <c r="N1581">
        <v>341.06</v>
      </c>
      <c r="O1581">
        <v>0.12</v>
      </c>
      <c r="P1581">
        <v>40.93</v>
      </c>
      <c r="Q1581">
        <v>300.13</v>
      </c>
      <c r="R1581">
        <v>259.20999999999998</v>
      </c>
      <c r="S1581">
        <v>40.92</v>
      </c>
    </row>
    <row r="1582" spans="1:19" x14ac:dyDescent="0.35">
      <c r="A1582">
        <v>200320</v>
      </c>
      <c r="B1582">
        <v>3451</v>
      </c>
      <c r="C1582" t="s">
        <v>23</v>
      </c>
      <c r="D1582" t="s">
        <v>29</v>
      </c>
      <c r="E1582" t="s">
        <v>21</v>
      </c>
      <c r="F1582" t="s">
        <v>38</v>
      </c>
      <c r="G1582" s="1">
        <v>45418</v>
      </c>
      <c r="H1582" s="1">
        <v>45420</v>
      </c>
      <c r="I1582" s="1">
        <v>45428</v>
      </c>
      <c r="J1582">
        <v>10</v>
      </c>
      <c r="K1582">
        <v>2</v>
      </c>
      <c r="L1582">
        <v>2</v>
      </c>
      <c r="M1582">
        <v>158.19999999999999</v>
      </c>
      <c r="N1582">
        <v>316.39999999999998</v>
      </c>
      <c r="O1582">
        <v>0.06</v>
      </c>
      <c r="P1582">
        <v>18.98</v>
      </c>
      <c r="Q1582">
        <v>297.42</v>
      </c>
      <c r="R1582">
        <v>202.5</v>
      </c>
      <c r="S1582">
        <v>94.92</v>
      </c>
    </row>
    <row r="1583" spans="1:19" x14ac:dyDescent="0.35">
      <c r="A1583">
        <v>200321</v>
      </c>
      <c r="B1583">
        <v>4915</v>
      </c>
      <c r="C1583" t="s">
        <v>23</v>
      </c>
      <c r="D1583" t="s">
        <v>20</v>
      </c>
      <c r="E1583" t="s">
        <v>26</v>
      </c>
      <c r="F1583" t="s">
        <v>27</v>
      </c>
      <c r="G1583" s="1">
        <v>45529</v>
      </c>
      <c r="H1583" s="1">
        <v>45532</v>
      </c>
      <c r="I1583" s="1">
        <v>45543</v>
      </c>
      <c r="J1583">
        <v>14</v>
      </c>
      <c r="K1583">
        <v>3</v>
      </c>
      <c r="L1583">
        <v>4</v>
      </c>
      <c r="M1583">
        <v>467.62</v>
      </c>
      <c r="N1583">
        <v>1870.48</v>
      </c>
      <c r="O1583">
        <v>0.19</v>
      </c>
      <c r="P1583">
        <v>355.39</v>
      </c>
      <c r="Q1583">
        <v>1515.09</v>
      </c>
      <c r="R1583">
        <v>1122.29</v>
      </c>
      <c r="S1583">
        <v>392.8</v>
      </c>
    </row>
    <row r="1584" spans="1:19" x14ac:dyDescent="0.35">
      <c r="A1584">
        <v>200322</v>
      </c>
      <c r="B1584">
        <v>4213</v>
      </c>
      <c r="C1584" t="s">
        <v>33</v>
      </c>
      <c r="D1584" t="s">
        <v>29</v>
      </c>
      <c r="E1584" t="s">
        <v>26</v>
      </c>
      <c r="F1584" t="s">
        <v>44</v>
      </c>
      <c r="G1584" s="1">
        <v>45471</v>
      </c>
      <c r="H1584" s="1">
        <v>45474</v>
      </c>
      <c r="I1584" s="1">
        <v>45492</v>
      </c>
      <c r="J1584">
        <v>21</v>
      </c>
      <c r="K1584">
        <v>3</v>
      </c>
      <c r="L1584">
        <v>10</v>
      </c>
      <c r="M1584">
        <v>628.12</v>
      </c>
      <c r="N1584">
        <v>6281.2</v>
      </c>
      <c r="O1584">
        <v>0.1</v>
      </c>
      <c r="P1584">
        <v>628.12</v>
      </c>
      <c r="Q1584">
        <v>5653.08</v>
      </c>
      <c r="R1584">
        <v>3831.53</v>
      </c>
      <c r="S1584">
        <v>1821.55</v>
      </c>
    </row>
    <row r="1585" spans="1:19" x14ac:dyDescent="0.35">
      <c r="A1585">
        <v>200323</v>
      </c>
      <c r="B1585">
        <v>4212</v>
      </c>
      <c r="C1585" t="s">
        <v>33</v>
      </c>
      <c r="D1585" t="s">
        <v>20</v>
      </c>
      <c r="E1585" t="s">
        <v>26</v>
      </c>
      <c r="F1585" t="s">
        <v>44</v>
      </c>
      <c r="G1585" s="1">
        <v>45341</v>
      </c>
      <c r="H1585" s="1">
        <v>45346</v>
      </c>
      <c r="I1585" s="1">
        <v>45351</v>
      </c>
      <c r="J1585">
        <v>10</v>
      </c>
      <c r="K1585">
        <v>5</v>
      </c>
      <c r="L1585">
        <v>12</v>
      </c>
      <c r="M1585">
        <v>261.04000000000002</v>
      </c>
      <c r="N1585">
        <v>3132.48</v>
      </c>
      <c r="O1585">
        <v>0.03</v>
      </c>
      <c r="P1585">
        <v>93.97</v>
      </c>
      <c r="Q1585">
        <v>3038.51</v>
      </c>
      <c r="R1585">
        <v>1879.49</v>
      </c>
      <c r="S1585">
        <v>1159.02</v>
      </c>
    </row>
    <row r="1586" spans="1:19" x14ac:dyDescent="0.35">
      <c r="A1586">
        <v>200324</v>
      </c>
      <c r="B1586">
        <v>1393</v>
      </c>
      <c r="C1586" t="s">
        <v>23</v>
      </c>
      <c r="D1586" t="s">
        <v>31</v>
      </c>
      <c r="E1586" t="s">
        <v>21</v>
      </c>
      <c r="F1586" t="s">
        <v>38</v>
      </c>
      <c r="G1586" s="1">
        <v>45510</v>
      </c>
      <c r="H1586" s="1">
        <v>45514</v>
      </c>
      <c r="I1586" s="1">
        <v>45538</v>
      </c>
      <c r="J1586">
        <v>28</v>
      </c>
      <c r="K1586">
        <v>4</v>
      </c>
      <c r="L1586">
        <v>2</v>
      </c>
      <c r="M1586">
        <v>490.6</v>
      </c>
      <c r="N1586">
        <v>981.2</v>
      </c>
      <c r="O1586">
        <v>0.04</v>
      </c>
      <c r="P1586">
        <v>39.25</v>
      </c>
      <c r="Q1586">
        <v>941.95</v>
      </c>
      <c r="R1586">
        <v>608.34</v>
      </c>
      <c r="S1586">
        <v>333.61</v>
      </c>
    </row>
    <row r="1587" spans="1:19" x14ac:dyDescent="0.35">
      <c r="A1587">
        <v>200325</v>
      </c>
      <c r="B1587">
        <v>4863</v>
      </c>
      <c r="C1587" t="s">
        <v>19</v>
      </c>
      <c r="D1587" t="s">
        <v>20</v>
      </c>
      <c r="E1587" t="s">
        <v>21</v>
      </c>
      <c r="F1587" t="s">
        <v>39</v>
      </c>
      <c r="G1587" s="1">
        <v>45384</v>
      </c>
      <c r="H1587" s="1">
        <v>45387</v>
      </c>
      <c r="I1587" s="1">
        <v>45404</v>
      </c>
      <c r="J1587">
        <v>20</v>
      </c>
      <c r="K1587">
        <v>3</v>
      </c>
      <c r="L1587">
        <v>5</v>
      </c>
      <c r="M1587">
        <v>154.43</v>
      </c>
      <c r="N1587">
        <v>772.15</v>
      </c>
      <c r="O1587">
        <v>0.12</v>
      </c>
      <c r="P1587">
        <v>92.66</v>
      </c>
      <c r="Q1587">
        <v>679.49</v>
      </c>
      <c r="R1587">
        <v>471.01</v>
      </c>
      <c r="S1587">
        <v>208.48</v>
      </c>
    </row>
    <row r="1588" spans="1:19" x14ac:dyDescent="0.35">
      <c r="A1588">
        <v>200326</v>
      </c>
      <c r="B1588">
        <v>1248</v>
      </c>
      <c r="C1588" t="s">
        <v>28</v>
      </c>
      <c r="D1588" t="s">
        <v>31</v>
      </c>
      <c r="E1588" t="s">
        <v>34</v>
      </c>
      <c r="F1588" t="s">
        <v>40</v>
      </c>
      <c r="G1588" s="1">
        <v>45587</v>
      </c>
      <c r="H1588" s="1">
        <v>45592</v>
      </c>
      <c r="I1588" s="1">
        <v>45602</v>
      </c>
      <c r="J1588">
        <v>15</v>
      </c>
      <c r="K1588">
        <v>5</v>
      </c>
      <c r="L1588">
        <v>6</v>
      </c>
      <c r="M1588">
        <v>426.08</v>
      </c>
      <c r="N1588">
        <v>2556.48</v>
      </c>
      <c r="O1588">
        <v>0.06</v>
      </c>
      <c r="P1588">
        <v>153.38999999999999</v>
      </c>
      <c r="Q1588">
        <v>2403.09</v>
      </c>
      <c r="R1588">
        <v>1431.63</v>
      </c>
      <c r="S1588">
        <v>971.46</v>
      </c>
    </row>
    <row r="1589" spans="1:19" x14ac:dyDescent="0.35">
      <c r="A1589">
        <v>200327</v>
      </c>
      <c r="B1589">
        <v>2462</v>
      </c>
      <c r="C1589" t="s">
        <v>33</v>
      </c>
      <c r="D1589" t="s">
        <v>20</v>
      </c>
      <c r="E1589" t="s">
        <v>24</v>
      </c>
      <c r="F1589" t="s">
        <v>32</v>
      </c>
      <c r="G1589" s="1">
        <v>45564</v>
      </c>
      <c r="H1589" s="1">
        <v>45566</v>
      </c>
      <c r="I1589" s="1">
        <v>45572</v>
      </c>
      <c r="J1589">
        <v>8</v>
      </c>
      <c r="K1589">
        <v>2</v>
      </c>
      <c r="L1589">
        <v>14</v>
      </c>
      <c r="M1589">
        <v>593.9</v>
      </c>
      <c r="N1589">
        <v>8314.6</v>
      </c>
      <c r="O1589">
        <v>0.02</v>
      </c>
      <c r="P1589">
        <v>166.29</v>
      </c>
      <c r="Q1589">
        <v>8148.31</v>
      </c>
      <c r="R1589">
        <v>6235.95</v>
      </c>
      <c r="S1589">
        <v>1912.36</v>
      </c>
    </row>
    <row r="1590" spans="1:19" x14ac:dyDescent="0.35">
      <c r="A1590">
        <v>200328</v>
      </c>
      <c r="B1590">
        <v>2090</v>
      </c>
      <c r="C1590" t="s">
        <v>23</v>
      </c>
      <c r="D1590" t="s">
        <v>20</v>
      </c>
      <c r="E1590" t="s">
        <v>26</v>
      </c>
      <c r="F1590" t="s">
        <v>44</v>
      </c>
      <c r="G1590" s="1">
        <v>45309</v>
      </c>
      <c r="H1590" s="1">
        <v>45310</v>
      </c>
      <c r="I1590" s="1">
        <v>45316</v>
      </c>
      <c r="J1590">
        <v>7</v>
      </c>
      <c r="K1590">
        <v>1</v>
      </c>
      <c r="L1590">
        <v>5</v>
      </c>
      <c r="M1590">
        <v>724.57</v>
      </c>
      <c r="N1590">
        <v>3622.85</v>
      </c>
      <c r="O1590">
        <v>0.14000000000000001</v>
      </c>
      <c r="P1590">
        <v>507.2</v>
      </c>
      <c r="Q1590">
        <v>3115.65</v>
      </c>
      <c r="R1590">
        <v>2427.31</v>
      </c>
      <c r="S1590">
        <v>688.34</v>
      </c>
    </row>
    <row r="1591" spans="1:19" x14ac:dyDescent="0.35">
      <c r="A1591">
        <v>200329</v>
      </c>
      <c r="B1591">
        <v>2237</v>
      </c>
      <c r="C1591" t="s">
        <v>19</v>
      </c>
      <c r="D1591" t="s">
        <v>31</v>
      </c>
      <c r="E1591" t="s">
        <v>24</v>
      </c>
      <c r="F1591" t="s">
        <v>25</v>
      </c>
      <c r="G1591" s="1">
        <v>45521</v>
      </c>
      <c r="H1591" s="1">
        <v>45525</v>
      </c>
      <c r="I1591" s="1">
        <v>45526</v>
      </c>
      <c r="J1591">
        <v>5</v>
      </c>
      <c r="K1591">
        <v>4</v>
      </c>
      <c r="L1591">
        <v>13</v>
      </c>
      <c r="M1591">
        <v>674.9</v>
      </c>
      <c r="N1591">
        <v>8773.7000000000007</v>
      </c>
      <c r="O1591">
        <v>0.08</v>
      </c>
      <c r="P1591">
        <v>701.9</v>
      </c>
      <c r="Q1591">
        <v>8071.8</v>
      </c>
      <c r="R1591">
        <v>5615.17</v>
      </c>
      <c r="S1591">
        <v>2456.63</v>
      </c>
    </row>
    <row r="1592" spans="1:19" x14ac:dyDescent="0.35">
      <c r="A1592">
        <v>200330</v>
      </c>
      <c r="B1592">
        <v>3045</v>
      </c>
      <c r="C1592" t="s">
        <v>19</v>
      </c>
      <c r="D1592" t="s">
        <v>20</v>
      </c>
      <c r="E1592" t="s">
        <v>24</v>
      </c>
      <c r="F1592" t="s">
        <v>30</v>
      </c>
      <c r="G1592" s="1">
        <v>45617</v>
      </c>
      <c r="H1592" s="1">
        <v>45621</v>
      </c>
      <c r="I1592" s="1">
        <v>45638</v>
      </c>
      <c r="J1592">
        <v>21</v>
      </c>
      <c r="K1592">
        <v>4</v>
      </c>
      <c r="L1592">
        <v>5</v>
      </c>
      <c r="M1592">
        <v>466.7</v>
      </c>
      <c r="N1592">
        <v>2333.5</v>
      </c>
      <c r="O1592">
        <v>0.08</v>
      </c>
      <c r="P1592">
        <v>186.68</v>
      </c>
      <c r="Q1592">
        <v>2146.8200000000002</v>
      </c>
      <c r="R1592">
        <v>1330.09</v>
      </c>
      <c r="S1592">
        <v>816.73</v>
      </c>
    </row>
    <row r="1593" spans="1:19" x14ac:dyDescent="0.35">
      <c r="A1593">
        <v>200331</v>
      </c>
      <c r="B1593">
        <v>3625</v>
      </c>
      <c r="C1593" t="s">
        <v>28</v>
      </c>
      <c r="D1593" t="s">
        <v>31</v>
      </c>
      <c r="E1593" t="s">
        <v>26</v>
      </c>
      <c r="F1593" t="s">
        <v>27</v>
      </c>
      <c r="G1593" s="1">
        <v>45366</v>
      </c>
      <c r="H1593" s="1">
        <v>45370</v>
      </c>
      <c r="I1593" s="1">
        <v>45395</v>
      </c>
      <c r="J1593">
        <v>29</v>
      </c>
      <c r="K1593">
        <v>4</v>
      </c>
      <c r="L1593">
        <v>13</v>
      </c>
      <c r="M1593">
        <v>655.96</v>
      </c>
      <c r="N1593">
        <v>8527.48</v>
      </c>
      <c r="O1593">
        <v>7.0000000000000007E-2</v>
      </c>
      <c r="P1593">
        <v>596.91999999999996</v>
      </c>
      <c r="Q1593">
        <v>7930.56</v>
      </c>
      <c r="R1593">
        <v>4945.9399999999996</v>
      </c>
      <c r="S1593">
        <v>2984.62</v>
      </c>
    </row>
    <row r="1594" spans="1:19" x14ac:dyDescent="0.35">
      <c r="A1594">
        <v>200332</v>
      </c>
      <c r="B1594">
        <v>2766</v>
      </c>
      <c r="C1594" t="s">
        <v>23</v>
      </c>
      <c r="D1594" t="s">
        <v>20</v>
      </c>
      <c r="E1594" t="s">
        <v>21</v>
      </c>
      <c r="F1594" t="s">
        <v>39</v>
      </c>
      <c r="G1594" s="1">
        <v>45455</v>
      </c>
      <c r="H1594" s="1">
        <v>45456</v>
      </c>
      <c r="I1594" s="1">
        <v>45463</v>
      </c>
      <c r="J1594">
        <v>8</v>
      </c>
      <c r="K1594">
        <v>1</v>
      </c>
      <c r="L1594">
        <v>4</v>
      </c>
      <c r="M1594">
        <v>292.92</v>
      </c>
      <c r="N1594">
        <v>1171.68</v>
      </c>
      <c r="O1594">
        <v>0.06</v>
      </c>
      <c r="P1594">
        <v>70.3</v>
      </c>
      <c r="Q1594">
        <v>1101.3800000000001</v>
      </c>
      <c r="R1594">
        <v>761.59</v>
      </c>
      <c r="S1594">
        <v>339.79</v>
      </c>
    </row>
    <row r="1595" spans="1:19" x14ac:dyDescent="0.35">
      <c r="A1595">
        <v>200333</v>
      </c>
      <c r="B1595">
        <v>4147</v>
      </c>
      <c r="C1595" t="s">
        <v>33</v>
      </c>
      <c r="D1595" t="s">
        <v>20</v>
      </c>
      <c r="E1595" t="s">
        <v>34</v>
      </c>
      <c r="F1595" t="s">
        <v>43</v>
      </c>
      <c r="G1595" s="1">
        <v>45573</v>
      </c>
      <c r="H1595" s="1">
        <v>45578</v>
      </c>
      <c r="I1595" s="1">
        <v>45589</v>
      </c>
      <c r="J1595">
        <v>16</v>
      </c>
      <c r="K1595">
        <v>5</v>
      </c>
      <c r="L1595">
        <v>2</v>
      </c>
      <c r="M1595">
        <v>55.15</v>
      </c>
      <c r="N1595">
        <v>110.3</v>
      </c>
      <c r="O1595">
        <v>0.11</v>
      </c>
      <c r="P1595">
        <v>12.13</v>
      </c>
      <c r="Q1595">
        <v>98.17</v>
      </c>
      <c r="R1595">
        <v>68.39</v>
      </c>
      <c r="S1595">
        <v>29.78</v>
      </c>
    </row>
    <row r="1596" spans="1:19" x14ac:dyDescent="0.35">
      <c r="A1596">
        <v>200334</v>
      </c>
      <c r="B1596">
        <v>3623</v>
      </c>
      <c r="C1596" t="s">
        <v>23</v>
      </c>
      <c r="D1596" t="s">
        <v>31</v>
      </c>
      <c r="E1596" t="s">
        <v>26</v>
      </c>
      <c r="F1596" t="s">
        <v>36</v>
      </c>
      <c r="G1596" s="1">
        <v>45463</v>
      </c>
      <c r="H1596" s="1">
        <v>45464</v>
      </c>
      <c r="I1596" s="1">
        <v>45492</v>
      </c>
      <c r="J1596">
        <v>29</v>
      </c>
      <c r="K1596">
        <v>1</v>
      </c>
      <c r="L1596">
        <v>12</v>
      </c>
      <c r="M1596">
        <v>424.89</v>
      </c>
      <c r="N1596">
        <v>5098.68</v>
      </c>
      <c r="O1596">
        <v>0.09</v>
      </c>
      <c r="P1596">
        <v>458.88</v>
      </c>
      <c r="Q1596">
        <v>4639.8</v>
      </c>
      <c r="R1596">
        <v>3467.1</v>
      </c>
      <c r="S1596">
        <v>1172.7</v>
      </c>
    </row>
    <row r="1597" spans="1:19" x14ac:dyDescent="0.35">
      <c r="A1597">
        <v>200335</v>
      </c>
      <c r="B1597">
        <v>2081</v>
      </c>
      <c r="C1597" t="s">
        <v>33</v>
      </c>
      <c r="D1597" t="s">
        <v>20</v>
      </c>
      <c r="E1597" t="s">
        <v>26</v>
      </c>
      <c r="F1597" t="s">
        <v>37</v>
      </c>
      <c r="G1597" s="1">
        <v>45588</v>
      </c>
      <c r="H1597" s="1">
        <v>45592</v>
      </c>
      <c r="I1597" s="1">
        <v>45610</v>
      </c>
      <c r="J1597">
        <v>22</v>
      </c>
      <c r="K1597">
        <v>4</v>
      </c>
      <c r="L1597">
        <v>10</v>
      </c>
      <c r="M1597">
        <v>701.47</v>
      </c>
      <c r="N1597">
        <v>7014.7</v>
      </c>
      <c r="O1597">
        <v>0.12</v>
      </c>
      <c r="P1597">
        <v>841.76</v>
      </c>
      <c r="Q1597">
        <v>6172.94</v>
      </c>
      <c r="R1597">
        <v>5190.88</v>
      </c>
      <c r="S1597">
        <v>982.06</v>
      </c>
    </row>
    <row r="1598" spans="1:19" x14ac:dyDescent="0.35">
      <c r="A1598">
        <v>200336</v>
      </c>
      <c r="B1598">
        <v>1819</v>
      </c>
      <c r="C1598" t="s">
        <v>28</v>
      </c>
      <c r="D1598" t="s">
        <v>29</v>
      </c>
      <c r="E1598" t="s">
        <v>26</v>
      </c>
      <c r="F1598" t="s">
        <v>36</v>
      </c>
      <c r="G1598" s="1">
        <v>45314</v>
      </c>
      <c r="H1598" s="1">
        <v>45316</v>
      </c>
      <c r="I1598" s="1">
        <v>45335</v>
      </c>
      <c r="J1598">
        <v>21</v>
      </c>
      <c r="K1598">
        <v>2</v>
      </c>
      <c r="L1598">
        <v>13</v>
      </c>
      <c r="M1598">
        <v>236.74</v>
      </c>
      <c r="N1598">
        <v>3077.62</v>
      </c>
      <c r="O1598">
        <v>0.08</v>
      </c>
      <c r="P1598">
        <v>246.21</v>
      </c>
      <c r="Q1598">
        <v>2831.41</v>
      </c>
      <c r="R1598">
        <v>2062.0100000000002</v>
      </c>
      <c r="S1598">
        <v>769.4</v>
      </c>
    </row>
    <row r="1599" spans="1:19" x14ac:dyDescent="0.35">
      <c r="A1599">
        <v>200337</v>
      </c>
      <c r="B1599">
        <v>3492</v>
      </c>
      <c r="C1599" t="s">
        <v>23</v>
      </c>
      <c r="D1599" t="s">
        <v>20</v>
      </c>
      <c r="E1599" t="s">
        <v>21</v>
      </c>
      <c r="F1599" t="s">
        <v>22</v>
      </c>
      <c r="G1599" s="1">
        <v>45615</v>
      </c>
      <c r="H1599" s="1">
        <v>45618</v>
      </c>
      <c r="I1599" s="1">
        <v>45621</v>
      </c>
      <c r="J1599">
        <v>6</v>
      </c>
      <c r="K1599">
        <v>3</v>
      </c>
      <c r="L1599">
        <v>5</v>
      </c>
      <c r="M1599">
        <v>627.54999999999995</v>
      </c>
      <c r="N1599">
        <v>3137.75</v>
      </c>
      <c r="O1599">
        <v>0.05</v>
      </c>
      <c r="P1599">
        <v>156.88999999999999</v>
      </c>
      <c r="Q1599">
        <v>2980.86</v>
      </c>
      <c r="R1599">
        <v>2039.54</v>
      </c>
      <c r="S1599">
        <v>941.32</v>
      </c>
    </row>
    <row r="1600" spans="1:19" x14ac:dyDescent="0.35">
      <c r="A1600">
        <v>200338</v>
      </c>
      <c r="B1600">
        <v>2542</v>
      </c>
      <c r="C1600" t="s">
        <v>23</v>
      </c>
      <c r="D1600" t="s">
        <v>31</v>
      </c>
      <c r="E1600" t="s">
        <v>21</v>
      </c>
      <c r="F1600" t="s">
        <v>39</v>
      </c>
      <c r="G1600" s="1">
        <v>45399</v>
      </c>
      <c r="H1600" s="1">
        <v>45401</v>
      </c>
      <c r="I1600" s="1">
        <v>45414</v>
      </c>
      <c r="J1600">
        <v>15</v>
      </c>
      <c r="K1600">
        <v>2</v>
      </c>
      <c r="L1600">
        <v>2</v>
      </c>
      <c r="M1600">
        <v>171.17</v>
      </c>
      <c r="N1600">
        <v>342.34</v>
      </c>
      <c r="O1600">
        <v>0.11</v>
      </c>
      <c r="P1600">
        <v>37.659999999999997</v>
      </c>
      <c r="Q1600">
        <v>304.68</v>
      </c>
      <c r="R1600">
        <v>249.91</v>
      </c>
      <c r="S1600">
        <v>54.77</v>
      </c>
    </row>
    <row r="1601" spans="1:19" x14ac:dyDescent="0.35">
      <c r="A1601">
        <v>200339</v>
      </c>
      <c r="B1601">
        <v>3984</v>
      </c>
      <c r="C1601" t="s">
        <v>23</v>
      </c>
      <c r="D1601" t="s">
        <v>20</v>
      </c>
      <c r="E1601" t="s">
        <v>24</v>
      </c>
      <c r="F1601" t="s">
        <v>30</v>
      </c>
      <c r="G1601" s="1">
        <v>45492</v>
      </c>
      <c r="H1601" s="1">
        <v>45496</v>
      </c>
      <c r="I1601" s="1">
        <v>45518</v>
      </c>
      <c r="J1601">
        <v>26</v>
      </c>
      <c r="K1601">
        <v>4</v>
      </c>
      <c r="L1601">
        <v>3</v>
      </c>
      <c r="M1601">
        <v>165.62</v>
      </c>
      <c r="N1601">
        <v>496.86</v>
      </c>
      <c r="O1601">
        <v>0.13</v>
      </c>
      <c r="P1601">
        <v>64.59</v>
      </c>
      <c r="Q1601">
        <v>432.27</v>
      </c>
      <c r="R1601">
        <v>332.9</v>
      </c>
      <c r="S1601">
        <v>99.37</v>
      </c>
    </row>
    <row r="1602" spans="1:19" x14ac:dyDescent="0.35">
      <c r="A1602">
        <v>200340</v>
      </c>
      <c r="B1602">
        <v>3855</v>
      </c>
      <c r="C1602" t="s">
        <v>28</v>
      </c>
      <c r="D1602" t="s">
        <v>29</v>
      </c>
      <c r="E1602" t="s">
        <v>34</v>
      </c>
      <c r="F1602" t="s">
        <v>45</v>
      </c>
      <c r="G1602" s="1">
        <v>45524</v>
      </c>
      <c r="H1602" s="1">
        <v>45526</v>
      </c>
      <c r="I1602" s="1">
        <v>45544</v>
      </c>
      <c r="J1602">
        <v>20</v>
      </c>
      <c r="K1602">
        <v>2</v>
      </c>
      <c r="L1602">
        <v>12</v>
      </c>
      <c r="M1602">
        <v>50.21</v>
      </c>
      <c r="N1602">
        <v>602.52</v>
      </c>
      <c r="O1602">
        <v>0.22</v>
      </c>
      <c r="P1602">
        <v>132.55000000000001</v>
      </c>
      <c r="Q1602">
        <v>469.97</v>
      </c>
      <c r="R1602">
        <v>397.66</v>
      </c>
      <c r="S1602">
        <v>72.31</v>
      </c>
    </row>
    <row r="1603" spans="1:19" x14ac:dyDescent="0.35">
      <c r="A1603">
        <v>200341</v>
      </c>
      <c r="B1603">
        <v>3696</v>
      </c>
      <c r="C1603" t="s">
        <v>28</v>
      </c>
      <c r="D1603" t="s">
        <v>31</v>
      </c>
      <c r="E1603" t="s">
        <v>26</v>
      </c>
      <c r="F1603" t="s">
        <v>27</v>
      </c>
      <c r="G1603" s="1">
        <v>45383</v>
      </c>
      <c r="H1603" s="1">
        <v>45384</v>
      </c>
      <c r="I1603" s="1">
        <v>45385</v>
      </c>
      <c r="J1603">
        <v>2</v>
      </c>
      <c r="K1603">
        <v>1</v>
      </c>
      <c r="L1603">
        <v>9</v>
      </c>
      <c r="M1603">
        <v>65.02</v>
      </c>
      <c r="N1603">
        <v>585.17999999999995</v>
      </c>
      <c r="O1603">
        <v>0.05</v>
      </c>
      <c r="P1603">
        <v>29.26</v>
      </c>
      <c r="Q1603">
        <v>555.91999999999996</v>
      </c>
      <c r="R1603">
        <v>421.33</v>
      </c>
      <c r="S1603">
        <v>134.59</v>
      </c>
    </row>
    <row r="1604" spans="1:19" x14ac:dyDescent="0.35">
      <c r="A1604">
        <v>200342</v>
      </c>
      <c r="B1604">
        <v>3531</v>
      </c>
      <c r="C1604" t="s">
        <v>33</v>
      </c>
      <c r="D1604" t="s">
        <v>29</v>
      </c>
      <c r="E1604" t="s">
        <v>24</v>
      </c>
      <c r="F1604" t="s">
        <v>25</v>
      </c>
      <c r="G1604" s="1">
        <v>45407</v>
      </c>
      <c r="H1604" s="1">
        <v>45409</v>
      </c>
      <c r="I1604" s="1">
        <v>45434</v>
      </c>
      <c r="J1604">
        <v>27</v>
      </c>
      <c r="K1604">
        <v>2</v>
      </c>
      <c r="L1604">
        <v>1</v>
      </c>
      <c r="M1604">
        <v>481.98</v>
      </c>
      <c r="N1604">
        <v>481.98</v>
      </c>
      <c r="O1604">
        <v>0.1</v>
      </c>
      <c r="P1604">
        <v>48.2</v>
      </c>
      <c r="Q1604">
        <v>433.78</v>
      </c>
      <c r="R1604">
        <v>361.48</v>
      </c>
      <c r="S1604">
        <v>72.3</v>
      </c>
    </row>
    <row r="1605" spans="1:19" x14ac:dyDescent="0.35">
      <c r="A1605">
        <v>200343</v>
      </c>
      <c r="B1605">
        <v>1149</v>
      </c>
      <c r="C1605" t="s">
        <v>19</v>
      </c>
      <c r="D1605" t="s">
        <v>29</v>
      </c>
      <c r="E1605" t="s">
        <v>26</v>
      </c>
      <c r="F1605" t="s">
        <v>44</v>
      </c>
      <c r="G1605" s="1">
        <v>45395</v>
      </c>
      <c r="H1605" s="1">
        <v>45400</v>
      </c>
      <c r="I1605" s="1">
        <v>45413</v>
      </c>
      <c r="J1605">
        <v>18</v>
      </c>
      <c r="K1605">
        <v>5</v>
      </c>
      <c r="L1605">
        <v>14</v>
      </c>
      <c r="M1605">
        <v>400.19</v>
      </c>
      <c r="N1605">
        <v>5602.66</v>
      </c>
      <c r="O1605">
        <v>0.19</v>
      </c>
      <c r="P1605">
        <v>1064.51</v>
      </c>
      <c r="Q1605">
        <v>4538.1499999999996</v>
      </c>
      <c r="R1605">
        <v>3977.89</v>
      </c>
      <c r="S1605">
        <v>560.26</v>
      </c>
    </row>
    <row r="1606" spans="1:19" x14ac:dyDescent="0.35">
      <c r="A1606">
        <v>200344</v>
      </c>
      <c r="B1606">
        <v>4774</v>
      </c>
      <c r="C1606" t="s">
        <v>23</v>
      </c>
      <c r="D1606" t="s">
        <v>20</v>
      </c>
      <c r="E1606" t="s">
        <v>21</v>
      </c>
      <c r="F1606" t="s">
        <v>41</v>
      </c>
      <c r="G1606" s="1">
        <v>45551</v>
      </c>
      <c r="H1606" s="1">
        <v>45556</v>
      </c>
      <c r="I1606" s="1">
        <v>45567</v>
      </c>
      <c r="J1606">
        <v>16</v>
      </c>
      <c r="K1606">
        <v>5</v>
      </c>
      <c r="L1606">
        <v>13</v>
      </c>
      <c r="M1606">
        <v>333.3</v>
      </c>
      <c r="N1606">
        <v>4332.8999999999996</v>
      </c>
      <c r="O1606">
        <v>0.09</v>
      </c>
      <c r="P1606">
        <v>389.96</v>
      </c>
      <c r="Q1606">
        <v>3942.94</v>
      </c>
      <c r="R1606">
        <v>2859.71</v>
      </c>
      <c r="S1606">
        <v>1083.23</v>
      </c>
    </row>
    <row r="1607" spans="1:19" x14ac:dyDescent="0.35">
      <c r="A1607">
        <v>200345</v>
      </c>
      <c r="B1607">
        <v>4475</v>
      </c>
      <c r="C1607" t="s">
        <v>28</v>
      </c>
      <c r="D1607" t="s">
        <v>20</v>
      </c>
      <c r="E1607" t="s">
        <v>26</v>
      </c>
      <c r="F1607" t="s">
        <v>37</v>
      </c>
      <c r="G1607" s="1">
        <v>45537</v>
      </c>
      <c r="H1607" s="1">
        <v>45542</v>
      </c>
      <c r="I1607" s="1">
        <v>45563</v>
      </c>
      <c r="J1607">
        <v>26</v>
      </c>
      <c r="K1607">
        <v>5</v>
      </c>
      <c r="L1607">
        <v>6</v>
      </c>
      <c r="M1607">
        <v>224.39</v>
      </c>
      <c r="N1607">
        <v>1346.34</v>
      </c>
      <c r="O1607">
        <v>0.06</v>
      </c>
      <c r="P1607">
        <v>80.78</v>
      </c>
      <c r="Q1607">
        <v>1265.56</v>
      </c>
      <c r="R1607">
        <v>834.73</v>
      </c>
      <c r="S1607">
        <v>430.83</v>
      </c>
    </row>
    <row r="1608" spans="1:19" x14ac:dyDescent="0.35">
      <c r="A1608">
        <v>200346</v>
      </c>
      <c r="B1608">
        <v>4114</v>
      </c>
      <c r="C1608" t="s">
        <v>33</v>
      </c>
      <c r="D1608" t="s">
        <v>31</v>
      </c>
      <c r="E1608" t="s">
        <v>24</v>
      </c>
      <c r="F1608" t="s">
        <v>32</v>
      </c>
      <c r="G1608" s="1">
        <v>45437</v>
      </c>
      <c r="H1608" s="1">
        <v>45441</v>
      </c>
      <c r="I1608" s="1">
        <v>45448</v>
      </c>
      <c r="J1608">
        <v>11</v>
      </c>
      <c r="K1608">
        <v>4</v>
      </c>
      <c r="L1608">
        <v>6</v>
      </c>
      <c r="M1608">
        <v>650.34</v>
      </c>
      <c r="N1608">
        <v>3902.04</v>
      </c>
      <c r="O1608">
        <v>0</v>
      </c>
      <c r="P1608">
        <v>0</v>
      </c>
      <c r="Q1608">
        <v>3902.04</v>
      </c>
      <c r="R1608">
        <v>2497.31</v>
      </c>
      <c r="S1608">
        <v>1404.73</v>
      </c>
    </row>
    <row r="1609" spans="1:19" x14ac:dyDescent="0.35">
      <c r="A1609">
        <v>200347</v>
      </c>
      <c r="B1609">
        <v>1829</v>
      </c>
      <c r="C1609" t="s">
        <v>33</v>
      </c>
      <c r="D1609" t="s">
        <v>20</v>
      </c>
      <c r="E1609" t="s">
        <v>26</v>
      </c>
      <c r="F1609" t="s">
        <v>37</v>
      </c>
      <c r="G1609" s="1">
        <v>45329</v>
      </c>
      <c r="H1609" s="1">
        <v>45332</v>
      </c>
      <c r="I1609" s="1">
        <v>45335</v>
      </c>
      <c r="J1609">
        <v>6</v>
      </c>
      <c r="K1609">
        <v>3</v>
      </c>
      <c r="L1609">
        <v>2</v>
      </c>
      <c r="M1609">
        <v>178.93</v>
      </c>
      <c r="N1609">
        <v>357.86</v>
      </c>
      <c r="O1609">
        <v>0.02</v>
      </c>
      <c r="P1609">
        <v>7.16</v>
      </c>
      <c r="Q1609">
        <v>350.7</v>
      </c>
      <c r="R1609">
        <v>236.19</v>
      </c>
      <c r="S1609">
        <v>114.51</v>
      </c>
    </row>
    <row r="1610" spans="1:19" x14ac:dyDescent="0.35">
      <c r="A1610">
        <v>200348</v>
      </c>
      <c r="B1610">
        <v>3779</v>
      </c>
      <c r="C1610" t="s">
        <v>19</v>
      </c>
      <c r="D1610" t="s">
        <v>29</v>
      </c>
      <c r="E1610" t="s">
        <v>21</v>
      </c>
      <c r="F1610" t="s">
        <v>39</v>
      </c>
      <c r="G1610" s="1">
        <v>45405</v>
      </c>
      <c r="H1610" s="1">
        <v>45407</v>
      </c>
      <c r="I1610" s="1">
        <v>45407</v>
      </c>
      <c r="J1610">
        <v>2</v>
      </c>
      <c r="K1610">
        <v>2</v>
      </c>
      <c r="L1610">
        <v>7</v>
      </c>
      <c r="M1610">
        <v>564.89</v>
      </c>
      <c r="N1610">
        <v>3954.23</v>
      </c>
      <c r="O1610">
        <v>0.08</v>
      </c>
      <c r="P1610">
        <v>316.33999999999997</v>
      </c>
      <c r="Q1610">
        <v>3637.89</v>
      </c>
      <c r="R1610">
        <v>2728.42</v>
      </c>
      <c r="S1610">
        <v>909.47</v>
      </c>
    </row>
    <row r="1611" spans="1:19" x14ac:dyDescent="0.35">
      <c r="A1611">
        <v>200349</v>
      </c>
      <c r="B1611">
        <v>4028</v>
      </c>
      <c r="C1611" t="s">
        <v>28</v>
      </c>
      <c r="D1611" t="s">
        <v>20</v>
      </c>
      <c r="E1611" t="s">
        <v>21</v>
      </c>
      <c r="F1611" t="s">
        <v>38</v>
      </c>
      <c r="G1611" s="1">
        <v>45490</v>
      </c>
      <c r="H1611" s="1">
        <v>45493</v>
      </c>
      <c r="I1611" s="1">
        <v>45509</v>
      </c>
      <c r="J1611">
        <v>19</v>
      </c>
      <c r="K1611">
        <v>3</v>
      </c>
      <c r="L1611">
        <v>9</v>
      </c>
      <c r="M1611">
        <v>85.76</v>
      </c>
      <c r="N1611">
        <v>771.84</v>
      </c>
      <c r="O1611">
        <v>0.12</v>
      </c>
      <c r="P1611">
        <v>92.62</v>
      </c>
      <c r="Q1611">
        <v>679.22</v>
      </c>
      <c r="R1611">
        <v>447.67</v>
      </c>
      <c r="S1611">
        <v>231.55</v>
      </c>
    </row>
    <row r="1612" spans="1:19" x14ac:dyDescent="0.35">
      <c r="A1612">
        <v>200350</v>
      </c>
      <c r="B1612">
        <v>3294</v>
      </c>
      <c r="C1612" t="s">
        <v>28</v>
      </c>
      <c r="D1612" t="s">
        <v>20</v>
      </c>
      <c r="E1612" t="s">
        <v>21</v>
      </c>
      <c r="F1612" t="s">
        <v>41</v>
      </c>
      <c r="G1612" s="1">
        <v>45603</v>
      </c>
      <c r="H1612" s="1">
        <v>45607</v>
      </c>
      <c r="I1612" s="1">
        <v>45606</v>
      </c>
      <c r="J1612">
        <v>3</v>
      </c>
      <c r="K1612">
        <v>4</v>
      </c>
      <c r="L1612">
        <v>10</v>
      </c>
      <c r="M1612">
        <v>129.93</v>
      </c>
      <c r="N1612">
        <v>1299.3</v>
      </c>
      <c r="O1612">
        <v>0.1</v>
      </c>
      <c r="P1612">
        <v>129.93</v>
      </c>
      <c r="Q1612">
        <v>1169.3699999999999</v>
      </c>
      <c r="R1612">
        <v>818.56</v>
      </c>
      <c r="S1612">
        <v>350.81</v>
      </c>
    </row>
    <row r="1613" spans="1:19" x14ac:dyDescent="0.35">
      <c r="A1613">
        <v>200351</v>
      </c>
      <c r="B1613">
        <v>3811</v>
      </c>
      <c r="C1613" t="s">
        <v>23</v>
      </c>
      <c r="D1613" t="s">
        <v>20</v>
      </c>
      <c r="E1613" t="s">
        <v>26</v>
      </c>
      <c r="F1613" t="s">
        <v>44</v>
      </c>
      <c r="G1613" s="1">
        <v>45517</v>
      </c>
      <c r="H1613" s="1">
        <v>45520</v>
      </c>
      <c r="I1613" s="1">
        <v>45537</v>
      </c>
      <c r="J1613">
        <v>20</v>
      </c>
      <c r="K1613">
        <v>3</v>
      </c>
      <c r="L1613">
        <v>12</v>
      </c>
      <c r="M1613">
        <v>529.9</v>
      </c>
      <c r="N1613">
        <v>6358.8</v>
      </c>
      <c r="O1613">
        <v>0.06</v>
      </c>
      <c r="P1613">
        <v>381.53</v>
      </c>
      <c r="Q1613">
        <v>5977.27</v>
      </c>
      <c r="R1613">
        <v>3688.1</v>
      </c>
      <c r="S1613">
        <v>2289.17</v>
      </c>
    </row>
    <row r="1614" spans="1:19" x14ac:dyDescent="0.35">
      <c r="A1614">
        <v>200352</v>
      </c>
      <c r="B1614">
        <v>3126</v>
      </c>
      <c r="C1614" t="s">
        <v>33</v>
      </c>
      <c r="D1614" t="s">
        <v>29</v>
      </c>
      <c r="E1614" t="s">
        <v>24</v>
      </c>
      <c r="F1614" t="s">
        <v>25</v>
      </c>
      <c r="G1614" s="1">
        <v>45361</v>
      </c>
      <c r="H1614" s="1">
        <v>45365</v>
      </c>
      <c r="I1614" s="1">
        <v>45367</v>
      </c>
      <c r="J1614">
        <v>6</v>
      </c>
      <c r="K1614">
        <v>4</v>
      </c>
      <c r="L1614">
        <v>1</v>
      </c>
      <c r="M1614">
        <v>490.33</v>
      </c>
      <c r="N1614">
        <v>490.33</v>
      </c>
      <c r="O1614">
        <v>0.16</v>
      </c>
      <c r="P1614">
        <v>78.45</v>
      </c>
      <c r="Q1614">
        <v>411.88</v>
      </c>
      <c r="R1614">
        <v>279.49</v>
      </c>
      <c r="S1614">
        <v>132.38999999999999</v>
      </c>
    </row>
    <row r="1615" spans="1:19" x14ac:dyDescent="0.35">
      <c r="A1615">
        <v>200353</v>
      </c>
      <c r="B1615">
        <v>4549</v>
      </c>
      <c r="C1615" t="s">
        <v>33</v>
      </c>
      <c r="D1615" t="s">
        <v>20</v>
      </c>
      <c r="E1615" t="s">
        <v>26</v>
      </c>
      <c r="F1615" t="s">
        <v>37</v>
      </c>
      <c r="G1615" s="1">
        <v>45467</v>
      </c>
      <c r="H1615" s="1">
        <v>45472</v>
      </c>
      <c r="I1615" s="1">
        <v>45473</v>
      </c>
      <c r="J1615">
        <v>6</v>
      </c>
      <c r="K1615">
        <v>5</v>
      </c>
      <c r="L1615">
        <v>3</v>
      </c>
      <c r="M1615">
        <v>89.02</v>
      </c>
      <c r="N1615">
        <v>267.06</v>
      </c>
      <c r="O1615">
        <v>0.05</v>
      </c>
      <c r="P1615">
        <v>13.35</v>
      </c>
      <c r="Q1615">
        <v>253.71</v>
      </c>
      <c r="R1615">
        <v>173.59</v>
      </c>
      <c r="S1615">
        <v>80.12</v>
      </c>
    </row>
    <row r="1616" spans="1:19" x14ac:dyDescent="0.35">
      <c r="A1616">
        <v>200354</v>
      </c>
      <c r="B1616">
        <v>1337</v>
      </c>
      <c r="C1616" t="s">
        <v>28</v>
      </c>
      <c r="D1616" t="s">
        <v>20</v>
      </c>
      <c r="E1616" t="s">
        <v>26</v>
      </c>
      <c r="F1616" t="s">
        <v>27</v>
      </c>
      <c r="G1616" s="1">
        <v>45579</v>
      </c>
      <c r="H1616" s="1">
        <v>45584</v>
      </c>
      <c r="I1616" s="1">
        <v>45589</v>
      </c>
      <c r="J1616">
        <v>10</v>
      </c>
      <c r="K1616">
        <v>5</v>
      </c>
      <c r="L1616">
        <v>6</v>
      </c>
      <c r="M1616">
        <v>88.07</v>
      </c>
      <c r="N1616">
        <v>528.41999999999996</v>
      </c>
      <c r="O1616">
        <v>0.12</v>
      </c>
      <c r="P1616">
        <v>63.41</v>
      </c>
      <c r="Q1616">
        <v>465.01</v>
      </c>
      <c r="R1616">
        <v>354.04</v>
      </c>
      <c r="S1616">
        <v>110.97</v>
      </c>
    </row>
    <row r="1617" spans="1:19" x14ac:dyDescent="0.35">
      <c r="A1617">
        <v>200355</v>
      </c>
      <c r="B1617">
        <v>1668</v>
      </c>
      <c r="C1617" t="s">
        <v>28</v>
      </c>
      <c r="D1617" t="s">
        <v>31</v>
      </c>
      <c r="E1617" t="s">
        <v>34</v>
      </c>
      <c r="F1617" t="s">
        <v>40</v>
      </c>
      <c r="G1617" s="1">
        <v>45521</v>
      </c>
      <c r="H1617" s="1">
        <v>45525</v>
      </c>
      <c r="I1617" s="1">
        <v>45525</v>
      </c>
      <c r="J1617">
        <v>4</v>
      </c>
      <c r="K1617">
        <v>4</v>
      </c>
      <c r="L1617">
        <v>10</v>
      </c>
      <c r="M1617">
        <v>740.74</v>
      </c>
      <c r="N1617">
        <v>7407.4</v>
      </c>
      <c r="O1617">
        <v>0.16</v>
      </c>
      <c r="P1617">
        <v>1185.18</v>
      </c>
      <c r="Q1617">
        <v>6222.22</v>
      </c>
      <c r="R1617">
        <v>5037.03</v>
      </c>
      <c r="S1617">
        <v>1185.19</v>
      </c>
    </row>
    <row r="1618" spans="1:19" x14ac:dyDescent="0.35">
      <c r="A1618">
        <v>200356</v>
      </c>
      <c r="B1618">
        <v>3920</v>
      </c>
      <c r="C1618" t="s">
        <v>23</v>
      </c>
      <c r="D1618" t="s">
        <v>31</v>
      </c>
      <c r="E1618" t="s">
        <v>26</v>
      </c>
      <c r="F1618" t="s">
        <v>36</v>
      </c>
      <c r="G1618" s="1">
        <v>45447</v>
      </c>
      <c r="H1618" s="1">
        <v>45451</v>
      </c>
      <c r="I1618" s="1">
        <v>45466</v>
      </c>
      <c r="J1618">
        <v>19</v>
      </c>
      <c r="K1618">
        <v>4</v>
      </c>
      <c r="L1618">
        <v>10</v>
      </c>
      <c r="M1618">
        <v>560.38</v>
      </c>
      <c r="N1618">
        <v>5603.8</v>
      </c>
      <c r="O1618">
        <v>0.11</v>
      </c>
      <c r="P1618">
        <v>616.41999999999996</v>
      </c>
      <c r="Q1618">
        <v>4987.38</v>
      </c>
      <c r="R1618">
        <v>3418.32</v>
      </c>
      <c r="S1618">
        <v>1569.06</v>
      </c>
    </row>
    <row r="1619" spans="1:19" x14ac:dyDescent="0.35">
      <c r="A1619">
        <v>200357</v>
      </c>
      <c r="B1619">
        <v>2992</v>
      </c>
      <c r="C1619" t="s">
        <v>19</v>
      </c>
      <c r="D1619" t="s">
        <v>20</v>
      </c>
      <c r="E1619" t="s">
        <v>34</v>
      </c>
      <c r="F1619" t="s">
        <v>40</v>
      </c>
      <c r="G1619" s="1">
        <v>45385</v>
      </c>
      <c r="H1619" s="1">
        <v>45390</v>
      </c>
      <c r="I1619" s="1">
        <v>45404</v>
      </c>
      <c r="J1619">
        <v>19</v>
      </c>
      <c r="K1619">
        <v>5</v>
      </c>
      <c r="L1619">
        <v>11</v>
      </c>
      <c r="M1619">
        <v>508.47</v>
      </c>
      <c r="N1619">
        <v>5593.17</v>
      </c>
      <c r="O1619">
        <v>0.11</v>
      </c>
      <c r="P1619">
        <v>615.25</v>
      </c>
      <c r="Q1619">
        <v>4977.92</v>
      </c>
      <c r="R1619">
        <v>3803.36</v>
      </c>
      <c r="S1619">
        <v>1174.56</v>
      </c>
    </row>
    <row r="1620" spans="1:19" x14ac:dyDescent="0.35">
      <c r="A1620">
        <v>200358</v>
      </c>
      <c r="B1620">
        <v>3638</v>
      </c>
      <c r="C1620" t="s">
        <v>28</v>
      </c>
      <c r="D1620" t="s">
        <v>29</v>
      </c>
      <c r="E1620" t="s">
        <v>21</v>
      </c>
      <c r="F1620" t="s">
        <v>39</v>
      </c>
      <c r="G1620" s="1">
        <v>45590</v>
      </c>
      <c r="H1620" s="1">
        <v>45592</v>
      </c>
      <c r="I1620" s="1">
        <v>45592</v>
      </c>
      <c r="J1620">
        <v>2</v>
      </c>
      <c r="K1620">
        <v>2</v>
      </c>
      <c r="L1620">
        <v>10</v>
      </c>
      <c r="M1620">
        <v>301.27</v>
      </c>
      <c r="N1620">
        <v>3012.7</v>
      </c>
      <c r="O1620">
        <v>0.02</v>
      </c>
      <c r="P1620">
        <v>60.25</v>
      </c>
      <c r="Q1620">
        <v>2952.45</v>
      </c>
      <c r="R1620">
        <v>1867.87</v>
      </c>
      <c r="S1620">
        <v>1084.58</v>
      </c>
    </row>
    <row r="1621" spans="1:19" x14ac:dyDescent="0.35">
      <c r="A1621">
        <v>200359</v>
      </c>
      <c r="B1621">
        <v>1468</v>
      </c>
      <c r="C1621" t="s">
        <v>28</v>
      </c>
      <c r="D1621" t="s">
        <v>31</v>
      </c>
      <c r="E1621" t="s">
        <v>21</v>
      </c>
      <c r="F1621" t="s">
        <v>38</v>
      </c>
      <c r="G1621" s="1">
        <v>45347</v>
      </c>
      <c r="H1621" s="1">
        <v>45352</v>
      </c>
      <c r="I1621" s="1">
        <v>45354</v>
      </c>
      <c r="J1621">
        <v>7</v>
      </c>
      <c r="K1621">
        <v>5</v>
      </c>
      <c r="L1621">
        <v>7</v>
      </c>
      <c r="M1621">
        <v>605.05999999999995</v>
      </c>
      <c r="N1621">
        <v>4235.42</v>
      </c>
      <c r="O1621">
        <v>0.1</v>
      </c>
      <c r="P1621">
        <v>423.54</v>
      </c>
      <c r="Q1621">
        <v>3811.88</v>
      </c>
      <c r="R1621">
        <v>2414.19</v>
      </c>
      <c r="S1621">
        <v>1397.69</v>
      </c>
    </row>
    <row r="1622" spans="1:19" x14ac:dyDescent="0.35">
      <c r="A1622">
        <v>200360</v>
      </c>
      <c r="B1622">
        <v>2786</v>
      </c>
      <c r="C1622" t="s">
        <v>23</v>
      </c>
      <c r="D1622" t="s">
        <v>20</v>
      </c>
      <c r="E1622" t="s">
        <v>34</v>
      </c>
      <c r="F1622" t="s">
        <v>35</v>
      </c>
      <c r="G1622" s="1">
        <v>45363</v>
      </c>
      <c r="H1622" s="1">
        <v>45364</v>
      </c>
      <c r="I1622" s="1">
        <v>45368</v>
      </c>
      <c r="J1622">
        <v>5</v>
      </c>
      <c r="K1622">
        <v>1</v>
      </c>
      <c r="L1622">
        <v>5</v>
      </c>
      <c r="M1622">
        <v>158.19</v>
      </c>
      <c r="N1622">
        <v>790.95</v>
      </c>
      <c r="O1622">
        <v>0.18</v>
      </c>
      <c r="P1622">
        <v>142.37</v>
      </c>
      <c r="Q1622">
        <v>648.58000000000004</v>
      </c>
      <c r="R1622">
        <v>474.57</v>
      </c>
      <c r="S1622">
        <v>174.01</v>
      </c>
    </row>
    <row r="1623" spans="1:19" x14ac:dyDescent="0.35">
      <c r="A1623">
        <v>200361</v>
      </c>
      <c r="B1623">
        <v>3137</v>
      </c>
      <c r="C1623" t="s">
        <v>33</v>
      </c>
      <c r="D1623" t="s">
        <v>20</v>
      </c>
      <c r="E1623" t="s">
        <v>34</v>
      </c>
      <c r="F1623" t="s">
        <v>35</v>
      </c>
      <c r="G1623" s="1">
        <v>45453</v>
      </c>
      <c r="H1623" s="1">
        <v>45456</v>
      </c>
      <c r="I1623" s="1">
        <v>45481</v>
      </c>
      <c r="J1623">
        <v>28</v>
      </c>
      <c r="K1623">
        <v>3</v>
      </c>
      <c r="L1623">
        <v>1</v>
      </c>
      <c r="M1623">
        <v>426.48</v>
      </c>
      <c r="N1623">
        <v>426.48</v>
      </c>
      <c r="O1623">
        <v>0.12</v>
      </c>
      <c r="P1623">
        <v>51.18</v>
      </c>
      <c r="Q1623">
        <v>375.3</v>
      </c>
      <c r="R1623">
        <v>268.68</v>
      </c>
      <c r="S1623">
        <v>106.62</v>
      </c>
    </row>
    <row r="1624" spans="1:19" x14ac:dyDescent="0.35">
      <c r="A1624">
        <v>200362</v>
      </c>
      <c r="B1624">
        <v>4460</v>
      </c>
      <c r="C1624" t="s">
        <v>28</v>
      </c>
      <c r="D1624" t="s">
        <v>29</v>
      </c>
      <c r="E1624" t="s">
        <v>26</v>
      </c>
      <c r="F1624" t="s">
        <v>27</v>
      </c>
      <c r="G1624" s="1">
        <v>45490</v>
      </c>
      <c r="H1624" s="1">
        <v>45494</v>
      </c>
      <c r="I1624" s="1">
        <v>45499</v>
      </c>
      <c r="J1624">
        <v>9</v>
      </c>
      <c r="K1624">
        <v>4</v>
      </c>
      <c r="L1624">
        <v>4</v>
      </c>
      <c r="M1624">
        <v>534.11</v>
      </c>
      <c r="N1624">
        <v>2136.44</v>
      </c>
      <c r="O1624">
        <v>0.13</v>
      </c>
      <c r="P1624">
        <v>277.74</v>
      </c>
      <c r="Q1624">
        <v>1858.7</v>
      </c>
      <c r="R1624">
        <v>1260.5</v>
      </c>
      <c r="S1624">
        <v>598.20000000000005</v>
      </c>
    </row>
    <row r="1625" spans="1:19" x14ac:dyDescent="0.35">
      <c r="A1625">
        <v>200363</v>
      </c>
      <c r="B1625">
        <v>1750</v>
      </c>
      <c r="C1625" t="s">
        <v>28</v>
      </c>
      <c r="D1625" t="s">
        <v>31</v>
      </c>
      <c r="E1625" t="s">
        <v>24</v>
      </c>
      <c r="F1625" t="s">
        <v>25</v>
      </c>
      <c r="G1625" s="1">
        <v>45486</v>
      </c>
      <c r="H1625" s="1">
        <v>45489</v>
      </c>
      <c r="I1625" s="1">
        <v>45515</v>
      </c>
      <c r="J1625">
        <v>29</v>
      </c>
      <c r="K1625">
        <v>3</v>
      </c>
      <c r="L1625">
        <v>11</v>
      </c>
      <c r="M1625">
        <v>718.96</v>
      </c>
      <c r="N1625">
        <v>7908.56</v>
      </c>
      <c r="O1625">
        <v>0.14000000000000001</v>
      </c>
      <c r="P1625">
        <v>1107.2</v>
      </c>
      <c r="Q1625">
        <v>6801.36</v>
      </c>
      <c r="R1625">
        <v>5219.6499999999996</v>
      </c>
      <c r="S1625">
        <v>1581.71</v>
      </c>
    </row>
    <row r="1626" spans="1:19" x14ac:dyDescent="0.35">
      <c r="A1626">
        <v>200364</v>
      </c>
      <c r="B1626">
        <v>2662</v>
      </c>
      <c r="C1626" t="s">
        <v>33</v>
      </c>
      <c r="D1626" t="s">
        <v>29</v>
      </c>
      <c r="E1626" t="s">
        <v>21</v>
      </c>
      <c r="F1626" t="s">
        <v>38</v>
      </c>
      <c r="G1626" s="1">
        <v>45427</v>
      </c>
      <c r="H1626" s="1">
        <v>45429</v>
      </c>
      <c r="I1626" s="1">
        <v>45437</v>
      </c>
      <c r="J1626">
        <v>10</v>
      </c>
      <c r="K1626">
        <v>2</v>
      </c>
      <c r="L1626">
        <v>12</v>
      </c>
      <c r="M1626">
        <v>590.39</v>
      </c>
      <c r="N1626">
        <v>7084.68</v>
      </c>
      <c r="O1626">
        <v>0.13</v>
      </c>
      <c r="P1626">
        <v>921.01</v>
      </c>
      <c r="Q1626">
        <v>6163.67</v>
      </c>
      <c r="R1626">
        <v>4250.8100000000004</v>
      </c>
      <c r="S1626">
        <v>1912.86</v>
      </c>
    </row>
    <row r="1627" spans="1:19" x14ac:dyDescent="0.35">
      <c r="A1627">
        <v>200365</v>
      </c>
      <c r="B1627">
        <v>1439</v>
      </c>
      <c r="C1627" t="s">
        <v>33</v>
      </c>
      <c r="D1627" t="s">
        <v>29</v>
      </c>
      <c r="E1627" t="s">
        <v>21</v>
      </c>
      <c r="F1627" t="s">
        <v>38</v>
      </c>
      <c r="G1627" s="1">
        <v>45534</v>
      </c>
      <c r="H1627" s="1">
        <v>45539</v>
      </c>
      <c r="I1627" s="1">
        <v>45555</v>
      </c>
      <c r="J1627">
        <v>21</v>
      </c>
      <c r="K1627">
        <v>5</v>
      </c>
      <c r="L1627">
        <v>8</v>
      </c>
      <c r="M1627">
        <v>170.57</v>
      </c>
      <c r="N1627">
        <v>1364.56</v>
      </c>
      <c r="O1627">
        <v>0.03</v>
      </c>
      <c r="P1627">
        <v>40.94</v>
      </c>
      <c r="Q1627">
        <v>1323.62</v>
      </c>
      <c r="R1627">
        <v>927.9</v>
      </c>
      <c r="S1627">
        <v>395.72</v>
      </c>
    </row>
    <row r="1628" spans="1:19" x14ac:dyDescent="0.35">
      <c r="A1628">
        <v>200366</v>
      </c>
      <c r="B1628">
        <v>4247</v>
      </c>
      <c r="C1628" t="s">
        <v>23</v>
      </c>
      <c r="D1628" t="s">
        <v>20</v>
      </c>
      <c r="E1628" t="s">
        <v>26</v>
      </c>
      <c r="F1628" t="s">
        <v>27</v>
      </c>
      <c r="G1628" s="1">
        <v>45470</v>
      </c>
      <c r="H1628" s="1">
        <v>45474</v>
      </c>
      <c r="I1628" s="1">
        <v>45479</v>
      </c>
      <c r="J1628">
        <v>9</v>
      </c>
      <c r="K1628">
        <v>4</v>
      </c>
      <c r="L1628">
        <v>5</v>
      </c>
      <c r="M1628">
        <v>168.14</v>
      </c>
      <c r="N1628">
        <v>840.7</v>
      </c>
      <c r="O1628">
        <v>0.14000000000000001</v>
      </c>
      <c r="P1628">
        <v>117.7</v>
      </c>
      <c r="Q1628">
        <v>723</v>
      </c>
      <c r="R1628">
        <v>622.12</v>
      </c>
      <c r="S1628">
        <v>100.88</v>
      </c>
    </row>
    <row r="1629" spans="1:19" x14ac:dyDescent="0.35">
      <c r="A1629">
        <v>200367</v>
      </c>
      <c r="B1629">
        <v>3981</v>
      </c>
      <c r="C1629" t="s">
        <v>19</v>
      </c>
      <c r="D1629" t="s">
        <v>29</v>
      </c>
      <c r="E1629" t="s">
        <v>21</v>
      </c>
      <c r="F1629" t="s">
        <v>41</v>
      </c>
      <c r="G1629" s="1">
        <v>45404</v>
      </c>
      <c r="H1629" s="1">
        <v>45409</v>
      </c>
      <c r="I1629" s="1">
        <v>45427</v>
      </c>
      <c r="J1629">
        <v>23</v>
      </c>
      <c r="K1629">
        <v>5</v>
      </c>
      <c r="L1629">
        <v>9</v>
      </c>
      <c r="M1629">
        <v>275.56</v>
      </c>
      <c r="N1629">
        <v>2480.04</v>
      </c>
      <c r="O1629">
        <v>0</v>
      </c>
      <c r="P1629">
        <v>0</v>
      </c>
      <c r="Q1629">
        <v>2480.04</v>
      </c>
      <c r="R1629">
        <v>1661.63</v>
      </c>
      <c r="S1629">
        <v>818.41</v>
      </c>
    </row>
    <row r="1630" spans="1:19" x14ac:dyDescent="0.35">
      <c r="A1630">
        <v>200368</v>
      </c>
      <c r="B1630">
        <v>1834</v>
      </c>
      <c r="C1630" t="s">
        <v>23</v>
      </c>
      <c r="D1630" t="s">
        <v>31</v>
      </c>
      <c r="E1630" t="s">
        <v>21</v>
      </c>
      <c r="F1630" t="s">
        <v>22</v>
      </c>
      <c r="G1630" s="1">
        <v>45446</v>
      </c>
      <c r="H1630" s="1">
        <v>45447</v>
      </c>
      <c r="I1630" s="1">
        <v>45467</v>
      </c>
      <c r="J1630">
        <v>21</v>
      </c>
      <c r="K1630">
        <v>1</v>
      </c>
      <c r="L1630">
        <v>1</v>
      </c>
      <c r="M1630">
        <v>607.28</v>
      </c>
      <c r="N1630">
        <v>607.28</v>
      </c>
      <c r="O1630">
        <v>0.03</v>
      </c>
      <c r="P1630">
        <v>18.22</v>
      </c>
      <c r="Q1630">
        <v>589.05999999999995</v>
      </c>
      <c r="R1630">
        <v>376.51</v>
      </c>
      <c r="S1630">
        <v>212.55</v>
      </c>
    </row>
    <row r="1631" spans="1:19" x14ac:dyDescent="0.35">
      <c r="A1631">
        <v>200369</v>
      </c>
      <c r="B1631">
        <v>2823</v>
      </c>
      <c r="C1631" t="s">
        <v>23</v>
      </c>
      <c r="D1631" t="s">
        <v>29</v>
      </c>
      <c r="E1631" t="s">
        <v>34</v>
      </c>
      <c r="F1631" t="s">
        <v>45</v>
      </c>
      <c r="G1631" s="1">
        <v>45540</v>
      </c>
      <c r="H1631" s="1">
        <v>45545</v>
      </c>
      <c r="I1631" s="1">
        <v>45554</v>
      </c>
      <c r="J1631">
        <v>14</v>
      </c>
      <c r="K1631">
        <v>5</v>
      </c>
      <c r="L1631">
        <v>5</v>
      </c>
      <c r="M1631">
        <v>170.03</v>
      </c>
      <c r="N1631">
        <v>850.15</v>
      </c>
      <c r="O1631">
        <v>0.05</v>
      </c>
      <c r="P1631">
        <v>42.51</v>
      </c>
      <c r="Q1631">
        <v>807.64</v>
      </c>
      <c r="R1631">
        <v>484.59</v>
      </c>
      <c r="S1631">
        <v>323.05</v>
      </c>
    </row>
    <row r="1632" spans="1:19" x14ac:dyDescent="0.35">
      <c r="A1632">
        <v>200370</v>
      </c>
      <c r="B1632">
        <v>3915</v>
      </c>
      <c r="C1632" t="s">
        <v>23</v>
      </c>
      <c r="D1632" t="s">
        <v>31</v>
      </c>
      <c r="E1632" t="s">
        <v>21</v>
      </c>
      <c r="F1632" t="s">
        <v>22</v>
      </c>
      <c r="G1632" s="1">
        <v>45542</v>
      </c>
      <c r="H1632" s="1">
        <v>45543</v>
      </c>
      <c r="I1632" s="1">
        <v>45570</v>
      </c>
      <c r="J1632">
        <v>28</v>
      </c>
      <c r="K1632">
        <v>1</v>
      </c>
      <c r="L1632">
        <v>4</v>
      </c>
      <c r="M1632">
        <v>343.31</v>
      </c>
      <c r="N1632">
        <v>1373.24</v>
      </c>
      <c r="O1632">
        <v>0.11</v>
      </c>
      <c r="P1632">
        <v>151.06</v>
      </c>
      <c r="Q1632">
        <v>1222.18</v>
      </c>
      <c r="R1632">
        <v>1029.93</v>
      </c>
      <c r="S1632">
        <v>192.25</v>
      </c>
    </row>
    <row r="1633" spans="1:19" x14ac:dyDescent="0.35">
      <c r="A1633">
        <v>200371</v>
      </c>
      <c r="B1633">
        <v>4103</v>
      </c>
      <c r="C1633" t="s">
        <v>19</v>
      </c>
      <c r="D1633" t="s">
        <v>29</v>
      </c>
      <c r="E1633" t="s">
        <v>24</v>
      </c>
      <c r="F1633" t="s">
        <v>32</v>
      </c>
      <c r="G1633" s="1">
        <v>45501</v>
      </c>
      <c r="H1633" s="1">
        <v>45506</v>
      </c>
      <c r="I1633" s="1">
        <v>45510</v>
      </c>
      <c r="J1633">
        <v>9</v>
      </c>
      <c r="K1633">
        <v>5</v>
      </c>
      <c r="L1633">
        <v>3</v>
      </c>
      <c r="M1633">
        <v>137.22999999999999</v>
      </c>
      <c r="N1633">
        <v>411.69</v>
      </c>
      <c r="O1633">
        <v>0.08</v>
      </c>
      <c r="P1633">
        <v>32.94</v>
      </c>
      <c r="Q1633">
        <v>378.75</v>
      </c>
      <c r="R1633">
        <v>267.60000000000002</v>
      </c>
      <c r="S1633">
        <v>111.15</v>
      </c>
    </row>
    <row r="1634" spans="1:19" x14ac:dyDescent="0.35">
      <c r="A1634">
        <v>200372</v>
      </c>
      <c r="B1634">
        <v>2427</v>
      </c>
      <c r="C1634" t="s">
        <v>19</v>
      </c>
      <c r="D1634" t="s">
        <v>29</v>
      </c>
      <c r="E1634" t="s">
        <v>34</v>
      </c>
      <c r="F1634" t="s">
        <v>43</v>
      </c>
      <c r="G1634" s="1">
        <v>45642</v>
      </c>
      <c r="H1634" s="1">
        <v>45647</v>
      </c>
      <c r="I1634" s="1">
        <v>45672</v>
      </c>
      <c r="J1634">
        <v>30</v>
      </c>
      <c r="K1634">
        <v>5</v>
      </c>
      <c r="L1634">
        <v>13</v>
      </c>
      <c r="M1634">
        <v>25.72</v>
      </c>
      <c r="N1634">
        <v>334.36</v>
      </c>
      <c r="O1634">
        <v>0.14000000000000001</v>
      </c>
      <c r="P1634">
        <v>46.81</v>
      </c>
      <c r="Q1634">
        <v>287.55</v>
      </c>
      <c r="R1634">
        <v>234.05</v>
      </c>
      <c r="S1634">
        <v>53.5</v>
      </c>
    </row>
    <row r="1635" spans="1:19" x14ac:dyDescent="0.35">
      <c r="A1635">
        <v>200373</v>
      </c>
      <c r="B1635">
        <v>1979</v>
      </c>
      <c r="C1635" t="s">
        <v>28</v>
      </c>
      <c r="D1635" t="s">
        <v>20</v>
      </c>
      <c r="E1635" t="s">
        <v>34</v>
      </c>
      <c r="F1635" t="s">
        <v>35</v>
      </c>
      <c r="G1635" s="1">
        <v>45432</v>
      </c>
      <c r="H1635" s="1">
        <v>45437</v>
      </c>
      <c r="I1635" s="1">
        <v>45453</v>
      </c>
      <c r="J1635">
        <v>21</v>
      </c>
      <c r="K1635">
        <v>5</v>
      </c>
      <c r="L1635">
        <v>9</v>
      </c>
      <c r="M1635">
        <v>105</v>
      </c>
      <c r="N1635">
        <v>945</v>
      </c>
      <c r="O1635">
        <v>0.14000000000000001</v>
      </c>
      <c r="P1635">
        <v>132.30000000000001</v>
      </c>
      <c r="Q1635">
        <v>812.7</v>
      </c>
      <c r="R1635">
        <v>652.04999999999995</v>
      </c>
      <c r="S1635">
        <v>160.65</v>
      </c>
    </row>
    <row r="1636" spans="1:19" x14ac:dyDescent="0.35">
      <c r="A1636">
        <v>200374</v>
      </c>
      <c r="B1636">
        <v>1762</v>
      </c>
      <c r="C1636" t="s">
        <v>33</v>
      </c>
      <c r="D1636" t="s">
        <v>29</v>
      </c>
      <c r="E1636" t="s">
        <v>34</v>
      </c>
      <c r="F1636" t="s">
        <v>45</v>
      </c>
      <c r="G1636" s="1">
        <v>45531</v>
      </c>
      <c r="H1636" s="1">
        <v>45536</v>
      </c>
      <c r="I1636" s="1">
        <v>45557</v>
      </c>
      <c r="J1636">
        <v>26</v>
      </c>
      <c r="K1636">
        <v>5</v>
      </c>
      <c r="L1636">
        <v>5</v>
      </c>
      <c r="M1636">
        <v>453.91</v>
      </c>
      <c r="N1636">
        <v>2269.5500000000002</v>
      </c>
      <c r="O1636">
        <v>0.06</v>
      </c>
      <c r="P1636">
        <v>136.16999999999999</v>
      </c>
      <c r="Q1636">
        <v>2133.38</v>
      </c>
      <c r="R1636">
        <v>1475.21</v>
      </c>
      <c r="S1636">
        <v>658.17</v>
      </c>
    </row>
    <row r="1637" spans="1:19" x14ac:dyDescent="0.35">
      <c r="A1637">
        <v>200375</v>
      </c>
      <c r="B1637">
        <v>2513</v>
      </c>
      <c r="C1637" t="s">
        <v>33</v>
      </c>
      <c r="D1637" t="s">
        <v>29</v>
      </c>
      <c r="E1637" t="s">
        <v>26</v>
      </c>
      <c r="F1637" t="s">
        <v>27</v>
      </c>
      <c r="G1637" s="1">
        <v>45350</v>
      </c>
      <c r="H1637" s="1">
        <v>45353</v>
      </c>
      <c r="I1637" s="1">
        <v>45355</v>
      </c>
      <c r="J1637">
        <v>5</v>
      </c>
      <c r="K1637">
        <v>3</v>
      </c>
      <c r="L1637">
        <v>14</v>
      </c>
      <c r="M1637">
        <v>89.56</v>
      </c>
      <c r="N1637">
        <v>1253.8399999999999</v>
      </c>
      <c r="O1637">
        <v>0.19</v>
      </c>
      <c r="P1637">
        <v>238.23</v>
      </c>
      <c r="Q1637">
        <v>1015.61</v>
      </c>
      <c r="R1637">
        <v>689.61</v>
      </c>
      <c r="S1637">
        <v>326</v>
      </c>
    </row>
    <row r="1638" spans="1:19" x14ac:dyDescent="0.35">
      <c r="A1638">
        <v>200376</v>
      </c>
      <c r="B1638">
        <v>2525</v>
      </c>
      <c r="C1638" t="s">
        <v>28</v>
      </c>
      <c r="D1638" t="s">
        <v>29</v>
      </c>
      <c r="E1638" t="s">
        <v>24</v>
      </c>
      <c r="F1638" t="s">
        <v>32</v>
      </c>
      <c r="G1638" s="1">
        <v>45532</v>
      </c>
      <c r="H1638" s="1">
        <v>45536</v>
      </c>
      <c r="I1638" s="1">
        <v>45556</v>
      </c>
      <c r="J1638">
        <v>24</v>
      </c>
      <c r="K1638">
        <v>4</v>
      </c>
      <c r="L1638">
        <v>4</v>
      </c>
      <c r="M1638">
        <v>178.09</v>
      </c>
      <c r="N1638">
        <v>712.36</v>
      </c>
      <c r="O1638">
        <v>0.11</v>
      </c>
      <c r="P1638">
        <v>78.36</v>
      </c>
      <c r="Q1638">
        <v>634</v>
      </c>
      <c r="R1638">
        <v>498.65</v>
      </c>
      <c r="S1638">
        <v>135.35</v>
      </c>
    </row>
    <row r="1639" spans="1:19" x14ac:dyDescent="0.35">
      <c r="A1639">
        <v>200377</v>
      </c>
      <c r="B1639">
        <v>3895</v>
      </c>
      <c r="C1639" t="s">
        <v>23</v>
      </c>
      <c r="D1639" t="s">
        <v>29</v>
      </c>
      <c r="E1639" t="s">
        <v>21</v>
      </c>
      <c r="F1639" t="s">
        <v>39</v>
      </c>
      <c r="G1639" s="1">
        <v>45330</v>
      </c>
      <c r="H1639" s="1">
        <v>45333</v>
      </c>
      <c r="I1639" s="1">
        <v>45345</v>
      </c>
      <c r="J1639">
        <v>15</v>
      </c>
      <c r="K1639">
        <v>3</v>
      </c>
      <c r="L1639">
        <v>10</v>
      </c>
      <c r="M1639">
        <v>56.43</v>
      </c>
      <c r="N1639">
        <v>564.29999999999995</v>
      </c>
      <c r="O1639">
        <v>0.05</v>
      </c>
      <c r="P1639">
        <v>28.22</v>
      </c>
      <c r="Q1639">
        <v>536.08000000000004</v>
      </c>
      <c r="R1639">
        <v>355.51</v>
      </c>
      <c r="S1639">
        <v>180.57</v>
      </c>
    </row>
    <row r="1640" spans="1:19" x14ac:dyDescent="0.35">
      <c r="A1640">
        <v>200378</v>
      </c>
      <c r="B1640">
        <v>2418</v>
      </c>
      <c r="C1640" t="s">
        <v>28</v>
      </c>
      <c r="D1640" t="s">
        <v>31</v>
      </c>
      <c r="E1640" t="s">
        <v>34</v>
      </c>
      <c r="F1640" t="s">
        <v>40</v>
      </c>
      <c r="G1640" s="1">
        <v>45591</v>
      </c>
      <c r="H1640" s="1">
        <v>45594</v>
      </c>
      <c r="I1640" s="1">
        <v>45619</v>
      </c>
      <c r="J1640">
        <v>28</v>
      </c>
      <c r="K1640">
        <v>3</v>
      </c>
      <c r="L1640">
        <v>3</v>
      </c>
      <c r="M1640">
        <v>366.3</v>
      </c>
      <c r="N1640">
        <v>1098.9000000000001</v>
      </c>
      <c r="O1640">
        <v>0.11</v>
      </c>
      <c r="P1640">
        <v>120.88</v>
      </c>
      <c r="Q1640">
        <v>978.02</v>
      </c>
      <c r="R1640">
        <v>692.31</v>
      </c>
      <c r="S1640">
        <v>285.70999999999998</v>
      </c>
    </row>
    <row r="1641" spans="1:19" x14ac:dyDescent="0.35">
      <c r="A1641">
        <v>200379</v>
      </c>
      <c r="B1641">
        <v>4654</v>
      </c>
      <c r="C1641" t="s">
        <v>33</v>
      </c>
      <c r="D1641" t="s">
        <v>29</v>
      </c>
      <c r="E1641" t="s">
        <v>26</v>
      </c>
      <c r="F1641" t="s">
        <v>37</v>
      </c>
      <c r="G1641" s="1">
        <v>45395</v>
      </c>
      <c r="H1641" s="1">
        <v>45399</v>
      </c>
      <c r="I1641" s="1">
        <v>45415</v>
      </c>
      <c r="J1641">
        <v>20</v>
      </c>
      <c r="K1641">
        <v>4</v>
      </c>
      <c r="L1641">
        <v>12</v>
      </c>
      <c r="M1641">
        <v>675.82</v>
      </c>
      <c r="N1641">
        <v>8109.84</v>
      </c>
      <c r="O1641">
        <v>0.15</v>
      </c>
      <c r="P1641">
        <v>1216.48</v>
      </c>
      <c r="Q1641">
        <v>6893.36</v>
      </c>
      <c r="R1641">
        <v>5595.79</v>
      </c>
      <c r="S1641">
        <v>1297.57</v>
      </c>
    </row>
    <row r="1642" spans="1:19" x14ac:dyDescent="0.35">
      <c r="A1642">
        <v>200380</v>
      </c>
      <c r="B1642">
        <v>2516</v>
      </c>
      <c r="C1642" t="s">
        <v>23</v>
      </c>
      <c r="D1642" t="s">
        <v>31</v>
      </c>
      <c r="E1642" t="s">
        <v>26</v>
      </c>
      <c r="F1642" t="s">
        <v>37</v>
      </c>
      <c r="G1642" s="1">
        <v>45618</v>
      </c>
      <c r="H1642" s="1">
        <v>45619</v>
      </c>
      <c r="I1642" s="1">
        <v>45627</v>
      </c>
      <c r="J1642">
        <v>9</v>
      </c>
      <c r="K1642">
        <v>1</v>
      </c>
      <c r="L1642">
        <v>13</v>
      </c>
      <c r="M1642">
        <v>327.58999999999997</v>
      </c>
      <c r="N1642">
        <v>4258.67</v>
      </c>
      <c r="O1642">
        <v>0.16</v>
      </c>
      <c r="P1642">
        <v>681.39</v>
      </c>
      <c r="Q1642">
        <v>3577.28</v>
      </c>
      <c r="R1642">
        <v>2640.38</v>
      </c>
      <c r="S1642">
        <v>936.9</v>
      </c>
    </row>
    <row r="1643" spans="1:19" x14ac:dyDescent="0.35">
      <c r="A1643">
        <v>200381</v>
      </c>
      <c r="B1643">
        <v>3503</v>
      </c>
      <c r="C1643" t="s">
        <v>19</v>
      </c>
      <c r="D1643" t="s">
        <v>20</v>
      </c>
      <c r="E1643" t="s">
        <v>24</v>
      </c>
      <c r="F1643" t="s">
        <v>25</v>
      </c>
      <c r="G1643" s="1">
        <v>45540</v>
      </c>
      <c r="H1643" s="1">
        <v>45542</v>
      </c>
      <c r="I1643" s="1">
        <v>45570</v>
      </c>
      <c r="J1643">
        <v>30</v>
      </c>
      <c r="K1643">
        <v>2</v>
      </c>
      <c r="L1643">
        <v>4</v>
      </c>
      <c r="M1643">
        <v>754.65</v>
      </c>
      <c r="N1643">
        <v>3018.6</v>
      </c>
      <c r="O1643">
        <v>0.08</v>
      </c>
      <c r="P1643">
        <v>241.49</v>
      </c>
      <c r="Q1643">
        <v>2777.11</v>
      </c>
      <c r="R1643">
        <v>1962.09</v>
      </c>
      <c r="S1643">
        <v>815.02</v>
      </c>
    </row>
    <row r="1644" spans="1:19" x14ac:dyDescent="0.35">
      <c r="A1644">
        <v>200382</v>
      </c>
      <c r="B1644">
        <v>3976</v>
      </c>
      <c r="C1644" t="s">
        <v>33</v>
      </c>
      <c r="D1644" t="s">
        <v>31</v>
      </c>
      <c r="E1644" t="s">
        <v>34</v>
      </c>
      <c r="F1644" t="s">
        <v>35</v>
      </c>
      <c r="G1644" s="1">
        <v>45319</v>
      </c>
      <c r="H1644" s="1">
        <v>45321</v>
      </c>
      <c r="I1644" s="1">
        <v>45324</v>
      </c>
      <c r="J1644">
        <v>5</v>
      </c>
      <c r="K1644">
        <v>2</v>
      </c>
      <c r="L1644">
        <v>10</v>
      </c>
      <c r="M1644">
        <v>658.89</v>
      </c>
      <c r="N1644">
        <v>6588.9</v>
      </c>
      <c r="O1644">
        <v>0.06</v>
      </c>
      <c r="P1644">
        <v>395.33</v>
      </c>
      <c r="Q1644">
        <v>6193.57</v>
      </c>
      <c r="R1644">
        <v>4744.01</v>
      </c>
      <c r="S1644">
        <v>1449.56</v>
      </c>
    </row>
    <row r="1645" spans="1:19" x14ac:dyDescent="0.35">
      <c r="A1645">
        <v>200383</v>
      </c>
      <c r="B1645">
        <v>4975</v>
      </c>
      <c r="C1645" t="s">
        <v>23</v>
      </c>
      <c r="D1645" t="s">
        <v>20</v>
      </c>
      <c r="E1645" t="s">
        <v>34</v>
      </c>
      <c r="F1645" t="s">
        <v>45</v>
      </c>
      <c r="G1645" s="1">
        <v>45490</v>
      </c>
      <c r="H1645" s="1">
        <v>45493</v>
      </c>
      <c r="I1645" s="1">
        <v>45501</v>
      </c>
      <c r="J1645">
        <v>11</v>
      </c>
      <c r="K1645">
        <v>3</v>
      </c>
      <c r="L1645">
        <v>3</v>
      </c>
      <c r="M1645">
        <v>560.01</v>
      </c>
      <c r="N1645">
        <v>1680.03</v>
      </c>
      <c r="O1645">
        <v>0.12</v>
      </c>
      <c r="P1645">
        <v>201.6</v>
      </c>
      <c r="Q1645">
        <v>1478.43</v>
      </c>
      <c r="R1645">
        <v>1125.6199999999999</v>
      </c>
      <c r="S1645">
        <v>352.81</v>
      </c>
    </row>
    <row r="1646" spans="1:19" x14ac:dyDescent="0.35">
      <c r="A1646">
        <v>200384</v>
      </c>
      <c r="B1646">
        <v>2617</v>
      </c>
      <c r="C1646" t="s">
        <v>28</v>
      </c>
      <c r="D1646" t="s">
        <v>20</v>
      </c>
      <c r="E1646" t="s">
        <v>26</v>
      </c>
      <c r="F1646" t="s">
        <v>37</v>
      </c>
      <c r="G1646" s="1">
        <v>45501</v>
      </c>
      <c r="H1646" s="1">
        <v>45505</v>
      </c>
      <c r="I1646" s="1">
        <v>45527</v>
      </c>
      <c r="J1646">
        <v>26</v>
      </c>
      <c r="K1646">
        <v>4</v>
      </c>
      <c r="L1646">
        <v>5</v>
      </c>
      <c r="M1646">
        <v>650.47</v>
      </c>
      <c r="N1646">
        <v>3252.35</v>
      </c>
      <c r="O1646">
        <v>0.05</v>
      </c>
      <c r="P1646">
        <v>162.62</v>
      </c>
      <c r="Q1646">
        <v>3089.73</v>
      </c>
      <c r="R1646">
        <v>2374.2199999999998</v>
      </c>
      <c r="S1646">
        <v>715.51</v>
      </c>
    </row>
    <row r="1647" spans="1:19" x14ac:dyDescent="0.35">
      <c r="A1647">
        <v>200385</v>
      </c>
      <c r="B1647">
        <v>3293</v>
      </c>
      <c r="C1647" t="s">
        <v>28</v>
      </c>
      <c r="D1647" t="s">
        <v>29</v>
      </c>
      <c r="E1647" t="s">
        <v>26</v>
      </c>
      <c r="F1647" t="s">
        <v>37</v>
      </c>
      <c r="G1647" s="1">
        <v>45649</v>
      </c>
      <c r="H1647" s="1">
        <v>45652</v>
      </c>
      <c r="I1647" s="1">
        <v>45659</v>
      </c>
      <c r="J1647">
        <v>10</v>
      </c>
      <c r="K1647">
        <v>3</v>
      </c>
      <c r="L1647">
        <v>14</v>
      </c>
      <c r="M1647">
        <v>222.58</v>
      </c>
      <c r="N1647">
        <v>3116.12</v>
      </c>
      <c r="O1647">
        <v>0.15</v>
      </c>
      <c r="P1647">
        <v>467.42</v>
      </c>
      <c r="Q1647">
        <v>2648.7</v>
      </c>
      <c r="R1647">
        <v>1900.83</v>
      </c>
      <c r="S1647">
        <v>747.87</v>
      </c>
    </row>
    <row r="1648" spans="1:19" x14ac:dyDescent="0.35">
      <c r="A1648">
        <v>200386</v>
      </c>
      <c r="B1648">
        <v>3152</v>
      </c>
      <c r="C1648" t="s">
        <v>28</v>
      </c>
      <c r="D1648" t="s">
        <v>29</v>
      </c>
      <c r="E1648" t="s">
        <v>21</v>
      </c>
      <c r="F1648" t="s">
        <v>38</v>
      </c>
      <c r="G1648" s="1">
        <v>45476</v>
      </c>
      <c r="H1648" s="1">
        <v>45478</v>
      </c>
      <c r="I1648" s="1">
        <v>45502</v>
      </c>
      <c r="J1648">
        <v>26</v>
      </c>
      <c r="K1648">
        <v>2</v>
      </c>
      <c r="L1648">
        <v>6</v>
      </c>
      <c r="M1648">
        <v>459.52</v>
      </c>
      <c r="N1648">
        <v>2757.12</v>
      </c>
      <c r="O1648">
        <v>0.08</v>
      </c>
      <c r="P1648">
        <v>220.57</v>
      </c>
      <c r="Q1648">
        <v>2536.5500000000002</v>
      </c>
      <c r="R1648">
        <v>1874.84</v>
      </c>
      <c r="S1648">
        <v>661.71</v>
      </c>
    </row>
    <row r="1649" spans="1:19" x14ac:dyDescent="0.35">
      <c r="A1649">
        <v>200387</v>
      </c>
      <c r="B1649">
        <v>4589</v>
      </c>
      <c r="C1649" t="s">
        <v>23</v>
      </c>
      <c r="D1649" t="s">
        <v>29</v>
      </c>
      <c r="E1649" t="s">
        <v>24</v>
      </c>
      <c r="F1649" t="s">
        <v>30</v>
      </c>
      <c r="G1649" s="1">
        <v>45497</v>
      </c>
      <c r="H1649" s="1">
        <v>45499</v>
      </c>
      <c r="I1649" s="1">
        <v>45511</v>
      </c>
      <c r="J1649">
        <v>14</v>
      </c>
      <c r="K1649">
        <v>2</v>
      </c>
      <c r="L1649">
        <v>7</v>
      </c>
      <c r="M1649">
        <v>700.96</v>
      </c>
      <c r="N1649">
        <v>4906.72</v>
      </c>
      <c r="O1649">
        <v>0.03</v>
      </c>
      <c r="P1649">
        <v>147.19999999999999</v>
      </c>
      <c r="Q1649">
        <v>4759.5200000000004</v>
      </c>
      <c r="R1649">
        <v>3287.5</v>
      </c>
      <c r="S1649">
        <v>1472.02</v>
      </c>
    </row>
    <row r="1650" spans="1:19" x14ac:dyDescent="0.35">
      <c r="A1650">
        <v>200388</v>
      </c>
      <c r="B1650">
        <v>2119</v>
      </c>
      <c r="C1650" t="s">
        <v>33</v>
      </c>
      <c r="D1650" t="s">
        <v>29</v>
      </c>
      <c r="E1650" t="s">
        <v>26</v>
      </c>
      <c r="F1650" t="s">
        <v>36</v>
      </c>
      <c r="G1650" s="1">
        <v>45378</v>
      </c>
      <c r="H1650" s="1">
        <v>45383</v>
      </c>
      <c r="I1650" s="1">
        <v>45389</v>
      </c>
      <c r="J1650">
        <v>11</v>
      </c>
      <c r="K1650">
        <v>5</v>
      </c>
      <c r="L1650">
        <v>5</v>
      </c>
      <c r="M1650">
        <v>159.21</v>
      </c>
      <c r="N1650">
        <v>796.05</v>
      </c>
      <c r="O1650">
        <v>0.15</v>
      </c>
      <c r="P1650">
        <v>119.41</v>
      </c>
      <c r="Q1650">
        <v>676.64</v>
      </c>
      <c r="R1650">
        <v>501.51</v>
      </c>
      <c r="S1650">
        <v>175.13</v>
      </c>
    </row>
    <row r="1651" spans="1:19" x14ac:dyDescent="0.35">
      <c r="A1651">
        <v>200389</v>
      </c>
      <c r="B1651">
        <v>1582</v>
      </c>
      <c r="C1651" t="s">
        <v>33</v>
      </c>
      <c r="D1651" t="s">
        <v>20</v>
      </c>
      <c r="E1651" t="s">
        <v>26</v>
      </c>
      <c r="F1651" t="s">
        <v>27</v>
      </c>
      <c r="G1651" s="1">
        <v>45585</v>
      </c>
      <c r="H1651" s="1">
        <v>45588</v>
      </c>
      <c r="I1651" s="1">
        <v>45601</v>
      </c>
      <c r="J1651">
        <v>16</v>
      </c>
      <c r="K1651">
        <v>3</v>
      </c>
      <c r="L1651">
        <v>6</v>
      </c>
      <c r="M1651">
        <v>730.1</v>
      </c>
      <c r="N1651">
        <v>4380.6000000000004</v>
      </c>
      <c r="O1651">
        <v>0.02</v>
      </c>
      <c r="P1651">
        <v>87.61</v>
      </c>
      <c r="Q1651">
        <v>4292.99</v>
      </c>
      <c r="R1651">
        <v>2847.39</v>
      </c>
      <c r="S1651">
        <v>1445.6</v>
      </c>
    </row>
    <row r="1652" spans="1:19" x14ac:dyDescent="0.35">
      <c r="A1652">
        <v>200390</v>
      </c>
      <c r="B1652">
        <v>3812</v>
      </c>
      <c r="C1652" t="s">
        <v>33</v>
      </c>
      <c r="D1652" t="s">
        <v>20</v>
      </c>
      <c r="E1652" t="s">
        <v>34</v>
      </c>
      <c r="F1652" t="s">
        <v>43</v>
      </c>
      <c r="G1652" s="1">
        <v>45419</v>
      </c>
      <c r="H1652" s="1">
        <v>45422</v>
      </c>
      <c r="I1652" s="1">
        <v>45430</v>
      </c>
      <c r="J1652">
        <v>11</v>
      </c>
      <c r="K1652">
        <v>3</v>
      </c>
      <c r="L1652">
        <v>3</v>
      </c>
      <c r="M1652">
        <v>553.99</v>
      </c>
      <c r="N1652">
        <v>1661.97</v>
      </c>
      <c r="O1652">
        <v>0.2</v>
      </c>
      <c r="P1652">
        <v>332.39</v>
      </c>
      <c r="Q1652">
        <v>1329.58</v>
      </c>
      <c r="R1652">
        <v>997.18</v>
      </c>
      <c r="S1652">
        <v>332.4</v>
      </c>
    </row>
    <row r="1653" spans="1:19" x14ac:dyDescent="0.35">
      <c r="A1653">
        <v>200391</v>
      </c>
      <c r="B1653">
        <v>2085</v>
      </c>
      <c r="C1653" t="s">
        <v>23</v>
      </c>
      <c r="D1653" t="s">
        <v>31</v>
      </c>
      <c r="E1653" t="s">
        <v>34</v>
      </c>
      <c r="F1653" t="s">
        <v>35</v>
      </c>
      <c r="G1653" s="1">
        <v>45535</v>
      </c>
      <c r="H1653" s="1">
        <v>45539</v>
      </c>
      <c r="I1653" s="1">
        <v>45561</v>
      </c>
      <c r="J1653">
        <v>26</v>
      </c>
      <c r="K1653">
        <v>4</v>
      </c>
      <c r="L1653">
        <v>7</v>
      </c>
      <c r="M1653">
        <v>690.4</v>
      </c>
      <c r="N1653">
        <v>4832.8</v>
      </c>
      <c r="O1653">
        <v>0.03</v>
      </c>
      <c r="P1653">
        <v>144.97999999999999</v>
      </c>
      <c r="Q1653">
        <v>4687.82</v>
      </c>
      <c r="R1653">
        <v>2948.01</v>
      </c>
      <c r="S1653">
        <v>1739.81</v>
      </c>
    </row>
    <row r="1654" spans="1:19" x14ac:dyDescent="0.35">
      <c r="A1654">
        <v>200392</v>
      </c>
      <c r="B1654">
        <v>1760</v>
      </c>
      <c r="C1654" t="s">
        <v>19</v>
      </c>
      <c r="D1654" t="s">
        <v>31</v>
      </c>
      <c r="E1654" t="s">
        <v>34</v>
      </c>
      <c r="F1654" t="s">
        <v>43</v>
      </c>
      <c r="G1654" s="1">
        <v>45475</v>
      </c>
      <c r="H1654" s="1">
        <v>45480</v>
      </c>
      <c r="I1654" s="1">
        <v>45490</v>
      </c>
      <c r="J1654">
        <v>15</v>
      </c>
      <c r="K1654">
        <v>5</v>
      </c>
      <c r="L1654">
        <v>2</v>
      </c>
      <c r="M1654">
        <v>24.03</v>
      </c>
      <c r="N1654">
        <v>48.06</v>
      </c>
      <c r="O1654">
        <v>0.06</v>
      </c>
      <c r="P1654">
        <v>2.88</v>
      </c>
      <c r="Q1654">
        <v>45.18</v>
      </c>
      <c r="R1654">
        <v>33.159999999999997</v>
      </c>
      <c r="S1654">
        <v>12.02</v>
      </c>
    </row>
    <row r="1655" spans="1:19" x14ac:dyDescent="0.35">
      <c r="A1655">
        <v>200393</v>
      </c>
      <c r="B1655">
        <v>4435</v>
      </c>
      <c r="C1655" t="s">
        <v>33</v>
      </c>
      <c r="D1655" t="s">
        <v>20</v>
      </c>
      <c r="E1655" t="s">
        <v>26</v>
      </c>
      <c r="F1655" t="s">
        <v>27</v>
      </c>
      <c r="G1655" s="1">
        <v>45566</v>
      </c>
      <c r="H1655" s="1">
        <v>45568</v>
      </c>
      <c r="I1655" s="1">
        <v>45569</v>
      </c>
      <c r="J1655">
        <v>3</v>
      </c>
      <c r="K1655">
        <v>2</v>
      </c>
      <c r="L1655">
        <v>5</v>
      </c>
      <c r="M1655">
        <v>776.65</v>
      </c>
      <c r="N1655">
        <v>3883.25</v>
      </c>
      <c r="O1655">
        <v>0.06</v>
      </c>
      <c r="P1655">
        <v>233</v>
      </c>
      <c r="Q1655">
        <v>3650.26</v>
      </c>
      <c r="R1655">
        <v>2757.11</v>
      </c>
      <c r="S1655">
        <v>893.15</v>
      </c>
    </row>
    <row r="1656" spans="1:19" x14ac:dyDescent="0.35">
      <c r="A1656">
        <v>200394</v>
      </c>
      <c r="B1656">
        <v>3279</v>
      </c>
      <c r="C1656" t="s">
        <v>33</v>
      </c>
      <c r="D1656" t="s">
        <v>20</v>
      </c>
      <c r="E1656" t="s">
        <v>26</v>
      </c>
      <c r="F1656" t="s">
        <v>36</v>
      </c>
      <c r="G1656" s="1">
        <v>45569</v>
      </c>
      <c r="H1656" s="1">
        <v>45574</v>
      </c>
      <c r="I1656" s="1">
        <v>45599</v>
      </c>
      <c r="J1656">
        <v>30</v>
      </c>
      <c r="K1656">
        <v>5</v>
      </c>
      <c r="L1656">
        <v>2</v>
      </c>
      <c r="M1656">
        <v>107.04</v>
      </c>
      <c r="N1656">
        <v>214.08</v>
      </c>
      <c r="O1656">
        <v>0.01</v>
      </c>
      <c r="P1656">
        <v>2.14</v>
      </c>
      <c r="Q1656">
        <v>211.94</v>
      </c>
      <c r="R1656">
        <v>137.01</v>
      </c>
      <c r="S1656">
        <v>74.930000000000007</v>
      </c>
    </row>
    <row r="1657" spans="1:19" x14ac:dyDescent="0.35">
      <c r="A1657">
        <v>200395</v>
      </c>
      <c r="B1657">
        <v>4519</v>
      </c>
      <c r="C1657" t="s">
        <v>19</v>
      </c>
      <c r="D1657" t="s">
        <v>31</v>
      </c>
      <c r="E1657" t="s">
        <v>26</v>
      </c>
      <c r="F1657" t="s">
        <v>37</v>
      </c>
      <c r="G1657" s="1">
        <v>45348</v>
      </c>
      <c r="H1657" s="1">
        <v>45353</v>
      </c>
      <c r="I1657" s="1">
        <v>45372</v>
      </c>
      <c r="J1657">
        <v>24</v>
      </c>
      <c r="K1657">
        <v>5</v>
      </c>
      <c r="L1657">
        <v>9</v>
      </c>
      <c r="M1657">
        <v>110.08</v>
      </c>
      <c r="N1657">
        <v>990.72</v>
      </c>
      <c r="O1657">
        <v>0.11</v>
      </c>
      <c r="P1657">
        <v>108.98</v>
      </c>
      <c r="Q1657">
        <v>881.74</v>
      </c>
      <c r="R1657">
        <v>594.42999999999995</v>
      </c>
      <c r="S1657">
        <v>287.31</v>
      </c>
    </row>
    <row r="1658" spans="1:19" x14ac:dyDescent="0.35">
      <c r="A1658">
        <v>200396</v>
      </c>
      <c r="B1658">
        <v>1906</v>
      </c>
      <c r="C1658" t="s">
        <v>19</v>
      </c>
      <c r="D1658" t="s">
        <v>31</v>
      </c>
      <c r="E1658" t="s">
        <v>26</v>
      </c>
      <c r="F1658" t="s">
        <v>27</v>
      </c>
      <c r="G1658" s="1">
        <v>45563</v>
      </c>
      <c r="H1658" s="1">
        <v>45564</v>
      </c>
      <c r="I1658" s="1">
        <v>45592</v>
      </c>
      <c r="J1658">
        <v>29</v>
      </c>
      <c r="K1658">
        <v>1</v>
      </c>
      <c r="L1658">
        <v>10</v>
      </c>
      <c r="M1658">
        <v>685.03</v>
      </c>
      <c r="N1658">
        <v>6850.3</v>
      </c>
      <c r="O1658">
        <v>0.03</v>
      </c>
      <c r="P1658">
        <v>205.51</v>
      </c>
      <c r="Q1658">
        <v>6644.79</v>
      </c>
      <c r="R1658">
        <v>4041.68</v>
      </c>
      <c r="S1658">
        <v>2603.11</v>
      </c>
    </row>
    <row r="1659" spans="1:19" x14ac:dyDescent="0.35">
      <c r="A1659">
        <v>200397</v>
      </c>
      <c r="B1659">
        <v>3493</v>
      </c>
      <c r="C1659" t="s">
        <v>33</v>
      </c>
      <c r="D1659" t="s">
        <v>31</v>
      </c>
      <c r="E1659" t="s">
        <v>24</v>
      </c>
      <c r="F1659" t="s">
        <v>32</v>
      </c>
      <c r="G1659" s="1">
        <v>45335</v>
      </c>
      <c r="H1659" s="1">
        <v>45337</v>
      </c>
      <c r="I1659" s="1">
        <v>45352</v>
      </c>
      <c r="J1659">
        <v>17</v>
      </c>
      <c r="K1659">
        <v>2</v>
      </c>
      <c r="L1659">
        <v>11</v>
      </c>
      <c r="M1659">
        <v>478.78</v>
      </c>
      <c r="N1659">
        <v>5266.58</v>
      </c>
      <c r="O1659">
        <v>0.11</v>
      </c>
      <c r="P1659">
        <v>579.32000000000005</v>
      </c>
      <c r="Q1659">
        <v>4687.26</v>
      </c>
      <c r="R1659">
        <v>3423.28</v>
      </c>
      <c r="S1659">
        <v>1263.98</v>
      </c>
    </row>
    <row r="1660" spans="1:19" x14ac:dyDescent="0.35">
      <c r="A1660">
        <v>200398</v>
      </c>
      <c r="B1660">
        <v>4730</v>
      </c>
      <c r="C1660" t="s">
        <v>23</v>
      </c>
      <c r="D1660" t="s">
        <v>31</v>
      </c>
      <c r="E1660" t="s">
        <v>26</v>
      </c>
      <c r="F1660" t="s">
        <v>36</v>
      </c>
      <c r="G1660" s="1">
        <v>45569</v>
      </c>
      <c r="H1660" s="1">
        <v>45572</v>
      </c>
      <c r="I1660" s="1">
        <v>45599</v>
      </c>
      <c r="J1660">
        <v>30</v>
      </c>
      <c r="K1660">
        <v>3</v>
      </c>
      <c r="L1660">
        <v>8</v>
      </c>
      <c r="M1660">
        <v>164.24</v>
      </c>
      <c r="N1660">
        <v>1313.92</v>
      </c>
      <c r="O1660">
        <v>0.14000000000000001</v>
      </c>
      <c r="P1660">
        <v>183.95</v>
      </c>
      <c r="Q1660">
        <v>1129.97</v>
      </c>
      <c r="R1660">
        <v>919.74</v>
      </c>
      <c r="S1660">
        <v>210.23</v>
      </c>
    </row>
    <row r="1661" spans="1:19" x14ac:dyDescent="0.35">
      <c r="A1661">
        <v>200399</v>
      </c>
      <c r="B1661">
        <v>4737</v>
      </c>
      <c r="C1661" t="s">
        <v>28</v>
      </c>
      <c r="D1661" t="s">
        <v>31</v>
      </c>
      <c r="E1661" t="s">
        <v>24</v>
      </c>
      <c r="F1661" t="s">
        <v>32</v>
      </c>
      <c r="G1661" s="1">
        <v>45312</v>
      </c>
      <c r="H1661" s="1">
        <v>45317</v>
      </c>
      <c r="I1661" s="1">
        <v>45315</v>
      </c>
      <c r="J1661">
        <v>3</v>
      </c>
      <c r="K1661">
        <v>5</v>
      </c>
      <c r="L1661">
        <v>3</v>
      </c>
      <c r="M1661">
        <v>565.32000000000005</v>
      </c>
      <c r="N1661">
        <v>1695.96</v>
      </c>
      <c r="O1661">
        <v>0.06</v>
      </c>
      <c r="P1661">
        <v>101.76</v>
      </c>
      <c r="Q1661">
        <v>1594.2</v>
      </c>
      <c r="R1661">
        <v>1136.29</v>
      </c>
      <c r="S1661">
        <v>457.91</v>
      </c>
    </row>
    <row r="1662" spans="1:19" x14ac:dyDescent="0.35">
      <c r="A1662">
        <v>200400</v>
      </c>
      <c r="B1662">
        <v>3592</v>
      </c>
      <c r="C1662" t="s">
        <v>33</v>
      </c>
      <c r="D1662" t="s">
        <v>29</v>
      </c>
      <c r="E1662" t="s">
        <v>34</v>
      </c>
      <c r="F1662" t="s">
        <v>35</v>
      </c>
      <c r="G1662" s="1">
        <v>45399</v>
      </c>
      <c r="H1662" s="1">
        <v>45401</v>
      </c>
      <c r="I1662" s="1">
        <v>45416</v>
      </c>
      <c r="J1662">
        <v>17</v>
      </c>
      <c r="K1662">
        <v>2</v>
      </c>
      <c r="L1662">
        <v>11</v>
      </c>
      <c r="M1662">
        <v>81.22</v>
      </c>
      <c r="N1662">
        <v>893.42</v>
      </c>
      <c r="O1662">
        <v>0.12</v>
      </c>
      <c r="P1662">
        <v>107.21</v>
      </c>
      <c r="Q1662">
        <v>786.21</v>
      </c>
      <c r="R1662">
        <v>607.53</v>
      </c>
      <c r="S1662">
        <v>178.68</v>
      </c>
    </row>
    <row r="1663" spans="1:19" x14ac:dyDescent="0.35">
      <c r="A1663">
        <v>200401</v>
      </c>
      <c r="B1663">
        <v>4322</v>
      </c>
      <c r="C1663" t="s">
        <v>19</v>
      </c>
      <c r="D1663" t="s">
        <v>20</v>
      </c>
      <c r="E1663" t="s">
        <v>21</v>
      </c>
      <c r="F1663" t="s">
        <v>39</v>
      </c>
      <c r="G1663" s="1">
        <v>45604</v>
      </c>
      <c r="H1663" s="1">
        <v>45606</v>
      </c>
      <c r="I1663" s="1">
        <v>45607</v>
      </c>
      <c r="J1663">
        <v>3</v>
      </c>
      <c r="K1663">
        <v>2</v>
      </c>
      <c r="L1663">
        <v>11</v>
      </c>
      <c r="M1663">
        <v>459.69</v>
      </c>
      <c r="N1663">
        <v>5056.59</v>
      </c>
      <c r="O1663">
        <v>0.06</v>
      </c>
      <c r="P1663">
        <v>303.39999999999998</v>
      </c>
      <c r="Q1663">
        <v>4753.1899999999996</v>
      </c>
      <c r="R1663">
        <v>3539.61</v>
      </c>
      <c r="S1663">
        <v>1213.58</v>
      </c>
    </row>
    <row r="1664" spans="1:19" x14ac:dyDescent="0.35">
      <c r="A1664">
        <v>200402</v>
      </c>
      <c r="B1664">
        <v>2951</v>
      </c>
      <c r="C1664" t="s">
        <v>33</v>
      </c>
      <c r="D1664" t="s">
        <v>31</v>
      </c>
      <c r="E1664" t="s">
        <v>34</v>
      </c>
      <c r="F1664" t="s">
        <v>43</v>
      </c>
      <c r="G1664" s="1">
        <v>45573</v>
      </c>
      <c r="H1664" s="1">
        <v>45578</v>
      </c>
      <c r="I1664" s="1">
        <v>45582</v>
      </c>
      <c r="J1664">
        <v>9</v>
      </c>
      <c r="K1664">
        <v>5</v>
      </c>
      <c r="L1664">
        <v>8</v>
      </c>
      <c r="M1664">
        <v>578.34</v>
      </c>
      <c r="N1664">
        <v>4626.72</v>
      </c>
      <c r="O1664">
        <v>0.1</v>
      </c>
      <c r="P1664">
        <v>462.67</v>
      </c>
      <c r="Q1664">
        <v>4164.05</v>
      </c>
      <c r="R1664">
        <v>2544.6999999999998</v>
      </c>
      <c r="S1664">
        <v>1619.35</v>
      </c>
    </row>
    <row r="1665" spans="1:19" x14ac:dyDescent="0.35">
      <c r="A1665">
        <v>200403</v>
      </c>
      <c r="B1665">
        <v>1570</v>
      </c>
      <c r="C1665" t="s">
        <v>23</v>
      </c>
      <c r="D1665" t="s">
        <v>20</v>
      </c>
      <c r="E1665" t="s">
        <v>34</v>
      </c>
      <c r="F1665" t="s">
        <v>35</v>
      </c>
      <c r="G1665" s="1">
        <v>45373</v>
      </c>
      <c r="H1665" s="1">
        <v>45377</v>
      </c>
      <c r="I1665" s="1">
        <v>45390</v>
      </c>
      <c r="J1665">
        <v>17</v>
      </c>
      <c r="K1665">
        <v>4</v>
      </c>
      <c r="L1665">
        <v>11</v>
      </c>
      <c r="M1665">
        <v>75.28</v>
      </c>
      <c r="N1665">
        <v>828.08</v>
      </c>
      <c r="O1665">
        <v>0.11</v>
      </c>
      <c r="P1665">
        <v>91.09</v>
      </c>
      <c r="Q1665">
        <v>736.99</v>
      </c>
      <c r="R1665">
        <v>496.85</v>
      </c>
      <c r="S1665">
        <v>240.14</v>
      </c>
    </row>
    <row r="1666" spans="1:19" x14ac:dyDescent="0.35">
      <c r="A1666">
        <v>200404</v>
      </c>
      <c r="B1666">
        <v>1239</v>
      </c>
      <c r="C1666" t="s">
        <v>28</v>
      </c>
      <c r="D1666" t="s">
        <v>20</v>
      </c>
      <c r="E1666" t="s">
        <v>21</v>
      </c>
      <c r="F1666" t="s">
        <v>22</v>
      </c>
      <c r="G1666" s="1">
        <v>45354</v>
      </c>
      <c r="H1666" s="1">
        <v>45358</v>
      </c>
      <c r="I1666" s="1">
        <v>45361</v>
      </c>
      <c r="J1666">
        <v>7</v>
      </c>
      <c r="K1666">
        <v>4</v>
      </c>
      <c r="L1666">
        <v>2</v>
      </c>
      <c r="M1666">
        <v>384.4</v>
      </c>
      <c r="N1666">
        <v>768.8</v>
      </c>
      <c r="O1666">
        <v>0.13</v>
      </c>
      <c r="P1666">
        <v>99.94</v>
      </c>
      <c r="Q1666">
        <v>668.86</v>
      </c>
      <c r="R1666">
        <v>530.47</v>
      </c>
      <c r="S1666">
        <v>138.38999999999999</v>
      </c>
    </row>
    <row r="1667" spans="1:19" x14ac:dyDescent="0.35">
      <c r="A1667">
        <v>200405</v>
      </c>
      <c r="B1667">
        <v>4098</v>
      </c>
      <c r="C1667" t="s">
        <v>28</v>
      </c>
      <c r="D1667" t="s">
        <v>31</v>
      </c>
      <c r="E1667" t="s">
        <v>34</v>
      </c>
      <c r="F1667" t="s">
        <v>43</v>
      </c>
      <c r="G1667" s="1">
        <v>45422</v>
      </c>
      <c r="H1667" s="1">
        <v>45427</v>
      </c>
      <c r="I1667" s="1">
        <v>45424</v>
      </c>
      <c r="J1667">
        <v>2</v>
      </c>
      <c r="K1667">
        <v>5</v>
      </c>
      <c r="L1667">
        <v>8</v>
      </c>
      <c r="M1667">
        <v>294.19</v>
      </c>
      <c r="N1667">
        <v>2353.52</v>
      </c>
      <c r="O1667">
        <v>0.14000000000000001</v>
      </c>
      <c r="P1667">
        <v>329.49</v>
      </c>
      <c r="Q1667">
        <v>2024.03</v>
      </c>
      <c r="R1667">
        <v>1435.65</v>
      </c>
      <c r="S1667">
        <v>588.38</v>
      </c>
    </row>
    <row r="1668" spans="1:19" x14ac:dyDescent="0.35">
      <c r="A1668">
        <v>200406</v>
      </c>
      <c r="B1668">
        <v>4425</v>
      </c>
      <c r="C1668" t="s">
        <v>23</v>
      </c>
      <c r="D1668" t="s">
        <v>29</v>
      </c>
      <c r="E1668" t="s">
        <v>24</v>
      </c>
      <c r="F1668" t="s">
        <v>30</v>
      </c>
      <c r="G1668" s="1">
        <v>45529</v>
      </c>
      <c r="H1668" s="1">
        <v>45530</v>
      </c>
      <c r="I1668" s="1">
        <v>45553</v>
      </c>
      <c r="J1668">
        <v>24</v>
      </c>
      <c r="K1668">
        <v>1</v>
      </c>
      <c r="L1668">
        <v>2</v>
      </c>
      <c r="M1668">
        <v>454.72</v>
      </c>
      <c r="N1668">
        <v>909.44</v>
      </c>
      <c r="O1668">
        <v>0.11</v>
      </c>
      <c r="P1668">
        <v>100.04</v>
      </c>
      <c r="Q1668">
        <v>809.4</v>
      </c>
      <c r="R1668">
        <v>618.41999999999996</v>
      </c>
      <c r="S1668">
        <v>190.98</v>
      </c>
    </row>
    <row r="1669" spans="1:19" x14ac:dyDescent="0.35">
      <c r="A1669">
        <v>200407</v>
      </c>
      <c r="B1669">
        <v>2715</v>
      </c>
      <c r="C1669" t="s">
        <v>23</v>
      </c>
      <c r="D1669" t="s">
        <v>20</v>
      </c>
      <c r="E1669" t="s">
        <v>21</v>
      </c>
      <c r="F1669" t="s">
        <v>22</v>
      </c>
      <c r="G1669" s="1">
        <v>45499</v>
      </c>
      <c r="H1669" s="1">
        <v>45502</v>
      </c>
      <c r="I1669" s="1">
        <v>45509</v>
      </c>
      <c r="J1669">
        <v>10</v>
      </c>
      <c r="K1669">
        <v>3</v>
      </c>
      <c r="L1669">
        <v>8</v>
      </c>
      <c r="M1669">
        <v>709.14</v>
      </c>
      <c r="N1669">
        <v>5673.12</v>
      </c>
      <c r="O1669">
        <v>0.17</v>
      </c>
      <c r="P1669">
        <v>964.43</v>
      </c>
      <c r="Q1669">
        <v>4708.6899999999996</v>
      </c>
      <c r="R1669">
        <v>3574.07</v>
      </c>
      <c r="S1669">
        <v>1134.6199999999999</v>
      </c>
    </row>
    <row r="1670" spans="1:19" x14ac:dyDescent="0.35">
      <c r="A1670">
        <v>200408</v>
      </c>
      <c r="B1670">
        <v>1570</v>
      </c>
      <c r="C1670" t="s">
        <v>23</v>
      </c>
      <c r="D1670" t="s">
        <v>29</v>
      </c>
      <c r="E1670" t="s">
        <v>34</v>
      </c>
      <c r="F1670" t="s">
        <v>35</v>
      </c>
      <c r="G1670" s="1">
        <v>45596</v>
      </c>
      <c r="H1670" s="1">
        <v>45599</v>
      </c>
      <c r="I1670" s="1">
        <v>45624</v>
      </c>
      <c r="J1670">
        <v>28</v>
      </c>
      <c r="K1670">
        <v>3</v>
      </c>
      <c r="L1670">
        <v>1</v>
      </c>
      <c r="M1670">
        <v>21.56</v>
      </c>
      <c r="N1670">
        <v>21.56</v>
      </c>
      <c r="O1670">
        <v>0.13</v>
      </c>
      <c r="P1670">
        <v>2.8</v>
      </c>
      <c r="Q1670">
        <v>18.760000000000002</v>
      </c>
      <c r="R1670">
        <v>11.86</v>
      </c>
      <c r="S1670">
        <v>6.9</v>
      </c>
    </row>
    <row r="1671" spans="1:19" x14ac:dyDescent="0.35">
      <c r="A1671">
        <v>200409</v>
      </c>
      <c r="B1671">
        <v>1767</v>
      </c>
      <c r="C1671" t="s">
        <v>19</v>
      </c>
      <c r="D1671" t="s">
        <v>29</v>
      </c>
      <c r="E1671" t="s">
        <v>24</v>
      </c>
      <c r="F1671" t="s">
        <v>30</v>
      </c>
      <c r="G1671" s="1">
        <v>45623</v>
      </c>
      <c r="H1671" s="1">
        <v>45626</v>
      </c>
      <c r="I1671" s="1">
        <v>45645</v>
      </c>
      <c r="J1671">
        <v>22</v>
      </c>
      <c r="K1671">
        <v>3</v>
      </c>
      <c r="L1671">
        <v>13</v>
      </c>
      <c r="M1671">
        <v>331.42</v>
      </c>
      <c r="N1671">
        <v>4308.46</v>
      </c>
      <c r="O1671">
        <v>0.14000000000000001</v>
      </c>
      <c r="P1671">
        <v>603.17999999999995</v>
      </c>
      <c r="Q1671">
        <v>3705.28</v>
      </c>
      <c r="R1671">
        <v>2843.58</v>
      </c>
      <c r="S1671">
        <v>861.7</v>
      </c>
    </row>
    <row r="1672" spans="1:19" x14ac:dyDescent="0.35">
      <c r="A1672">
        <v>200410</v>
      </c>
      <c r="B1672">
        <v>4827</v>
      </c>
      <c r="C1672" t="s">
        <v>23</v>
      </c>
      <c r="D1672" t="s">
        <v>29</v>
      </c>
      <c r="E1672" t="s">
        <v>26</v>
      </c>
      <c r="F1672" t="s">
        <v>44</v>
      </c>
      <c r="G1672" s="1">
        <v>45314</v>
      </c>
      <c r="H1672" s="1">
        <v>45315</v>
      </c>
      <c r="I1672" s="1">
        <v>45318</v>
      </c>
      <c r="J1672">
        <v>4</v>
      </c>
      <c r="K1672">
        <v>1</v>
      </c>
      <c r="L1672">
        <v>6</v>
      </c>
      <c r="M1672">
        <v>379.41</v>
      </c>
      <c r="N1672">
        <v>2276.46</v>
      </c>
      <c r="O1672">
        <v>0.1</v>
      </c>
      <c r="P1672">
        <v>227.65</v>
      </c>
      <c r="Q1672">
        <v>2048.81</v>
      </c>
      <c r="R1672">
        <v>1593.52</v>
      </c>
      <c r="S1672">
        <v>455.29</v>
      </c>
    </row>
    <row r="1673" spans="1:19" x14ac:dyDescent="0.35">
      <c r="A1673">
        <v>200411</v>
      </c>
      <c r="B1673">
        <v>3315</v>
      </c>
      <c r="C1673" t="s">
        <v>33</v>
      </c>
      <c r="D1673" t="s">
        <v>20</v>
      </c>
      <c r="E1673" t="s">
        <v>24</v>
      </c>
      <c r="F1673" t="s">
        <v>42</v>
      </c>
      <c r="G1673" s="1">
        <v>45629</v>
      </c>
      <c r="H1673" s="1">
        <v>45634</v>
      </c>
      <c r="I1673" s="1">
        <v>45643</v>
      </c>
      <c r="J1673">
        <v>14</v>
      </c>
      <c r="K1673">
        <v>5</v>
      </c>
      <c r="L1673">
        <v>12</v>
      </c>
      <c r="M1673">
        <v>6.37</v>
      </c>
      <c r="N1673">
        <v>76.44</v>
      </c>
      <c r="O1673">
        <v>0.09</v>
      </c>
      <c r="P1673">
        <v>6.88</v>
      </c>
      <c r="Q1673">
        <v>69.56</v>
      </c>
      <c r="R1673">
        <v>55.04</v>
      </c>
      <c r="S1673">
        <v>14.52</v>
      </c>
    </row>
    <row r="1674" spans="1:19" x14ac:dyDescent="0.35">
      <c r="A1674">
        <v>200412</v>
      </c>
      <c r="B1674">
        <v>1136</v>
      </c>
      <c r="C1674" t="s">
        <v>19</v>
      </c>
      <c r="D1674" t="s">
        <v>20</v>
      </c>
      <c r="E1674" t="s">
        <v>34</v>
      </c>
      <c r="F1674" t="s">
        <v>35</v>
      </c>
      <c r="G1674" s="1">
        <v>45601</v>
      </c>
      <c r="H1674" s="1">
        <v>45604</v>
      </c>
      <c r="I1674" s="1">
        <v>45616</v>
      </c>
      <c r="J1674">
        <v>15</v>
      </c>
      <c r="K1674">
        <v>3</v>
      </c>
      <c r="L1674">
        <v>14</v>
      </c>
      <c r="M1674">
        <v>325.01</v>
      </c>
      <c r="N1674">
        <v>4550.1400000000003</v>
      </c>
      <c r="O1674">
        <v>0.12</v>
      </c>
      <c r="P1674">
        <v>546.02</v>
      </c>
      <c r="Q1674">
        <v>4004.12</v>
      </c>
      <c r="R1674">
        <v>3230.6</v>
      </c>
      <c r="S1674">
        <v>773.52</v>
      </c>
    </row>
    <row r="1675" spans="1:19" x14ac:dyDescent="0.35">
      <c r="A1675">
        <v>200413</v>
      </c>
      <c r="B1675">
        <v>1104</v>
      </c>
      <c r="C1675" t="s">
        <v>23</v>
      </c>
      <c r="D1675" t="s">
        <v>20</v>
      </c>
      <c r="E1675" t="s">
        <v>26</v>
      </c>
      <c r="F1675" t="s">
        <v>44</v>
      </c>
      <c r="G1675" s="1">
        <v>45295</v>
      </c>
      <c r="H1675" s="1">
        <v>45296</v>
      </c>
      <c r="I1675" s="1">
        <v>45325</v>
      </c>
      <c r="J1675">
        <v>30</v>
      </c>
      <c r="K1675">
        <v>1</v>
      </c>
      <c r="L1675">
        <v>2</v>
      </c>
      <c r="M1675">
        <v>80.930000000000007</v>
      </c>
      <c r="N1675">
        <v>161.86000000000001</v>
      </c>
      <c r="O1675">
        <v>0.06</v>
      </c>
      <c r="P1675">
        <v>9.7100000000000009</v>
      </c>
      <c r="Q1675">
        <v>152.15</v>
      </c>
      <c r="R1675">
        <v>97.12</v>
      </c>
      <c r="S1675">
        <v>55.03</v>
      </c>
    </row>
    <row r="1676" spans="1:19" x14ac:dyDescent="0.35">
      <c r="A1676">
        <v>200414</v>
      </c>
      <c r="B1676">
        <v>4331</v>
      </c>
      <c r="C1676" t="s">
        <v>19</v>
      </c>
      <c r="D1676" t="s">
        <v>31</v>
      </c>
      <c r="E1676" t="s">
        <v>26</v>
      </c>
      <c r="F1676" t="s">
        <v>27</v>
      </c>
      <c r="G1676" s="1">
        <v>45599</v>
      </c>
      <c r="H1676" s="1">
        <v>45601</v>
      </c>
      <c r="I1676" s="1">
        <v>45612</v>
      </c>
      <c r="J1676">
        <v>13</v>
      </c>
      <c r="K1676">
        <v>2</v>
      </c>
      <c r="L1676">
        <v>11</v>
      </c>
      <c r="M1676">
        <v>320.67</v>
      </c>
      <c r="N1676">
        <v>3527.37</v>
      </c>
      <c r="O1676">
        <v>0.04</v>
      </c>
      <c r="P1676">
        <v>141.09</v>
      </c>
      <c r="Q1676">
        <v>3386.28</v>
      </c>
      <c r="R1676">
        <v>2398.61</v>
      </c>
      <c r="S1676">
        <v>987.67</v>
      </c>
    </row>
    <row r="1677" spans="1:19" x14ac:dyDescent="0.35">
      <c r="A1677">
        <v>200415</v>
      </c>
      <c r="B1677">
        <v>4823</v>
      </c>
      <c r="C1677" t="s">
        <v>23</v>
      </c>
      <c r="D1677" t="s">
        <v>31</v>
      </c>
      <c r="E1677" t="s">
        <v>21</v>
      </c>
      <c r="F1677" t="s">
        <v>39</v>
      </c>
      <c r="G1677" s="1">
        <v>45410</v>
      </c>
      <c r="H1677" s="1">
        <v>45414</v>
      </c>
      <c r="I1677" s="1">
        <v>45438</v>
      </c>
      <c r="J1677">
        <v>28</v>
      </c>
      <c r="K1677">
        <v>4</v>
      </c>
      <c r="L1677">
        <v>13</v>
      </c>
      <c r="M1677">
        <v>157.6</v>
      </c>
      <c r="N1677">
        <v>2048.8000000000002</v>
      </c>
      <c r="O1677">
        <v>0.17</v>
      </c>
      <c r="P1677">
        <v>348.3</v>
      </c>
      <c r="Q1677">
        <v>1700.5</v>
      </c>
      <c r="R1677">
        <v>1434.16</v>
      </c>
      <c r="S1677">
        <v>266.33999999999997</v>
      </c>
    </row>
    <row r="1678" spans="1:19" x14ac:dyDescent="0.35">
      <c r="A1678">
        <v>200416</v>
      </c>
      <c r="B1678">
        <v>3408</v>
      </c>
      <c r="C1678" t="s">
        <v>23</v>
      </c>
      <c r="D1678" t="s">
        <v>29</v>
      </c>
      <c r="E1678" t="s">
        <v>34</v>
      </c>
      <c r="F1678" t="s">
        <v>43</v>
      </c>
      <c r="G1678" s="1">
        <v>45512</v>
      </c>
      <c r="H1678" s="1">
        <v>45516</v>
      </c>
      <c r="I1678" s="1">
        <v>45526</v>
      </c>
      <c r="J1678">
        <v>14</v>
      </c>
      <c r="K1678">
        <v>4</v>
      </c>
      <c r="L1678">
        <v>5</v>
      </c>
      <c r="M1678">
        <v>270.14</v>
      </c>
      <c r="N1678">
        <v>1350.7</v>
      </c>
      <c r="O1678">
        <v>0.08</v>
      </c>
      <c r="P1678">
        <v>108.06</v>
      </c>
      <c r="Q1678">
        <v>1242.6400000000001</v>
      </c>
      <c r="R1678">
        <v>891.46</v>
      </c>
      <c r="S1678">
        <v>351.18</v>
      </c>
    </row>
    <row r="1679" spans="1:19" x14ac:dyDescent="0.35">
      <c r="A1679">
        <v>200417</v>
      </c>
      <c r="B1679">
        <v>4149</v>
      </c>
      <c r="C1679" t="s">
        <v>33</v>
      </c>
      <c r="D1679" t="s">
        <v>20</v>
      </c>
      <c r="E1679" t="s">
        <v>34</v>
      </c>
      <c r="F1679" t="s">
        <v>45</v>
      </c>
      <c r="G1679" s="1">
        <v>45615</v>
      </c>
      <c r="H1679" s="1">
        <v>45618</v>
      </c>
      <c r="I1679" s="1">
        <v>45642</v>
      </c>
      <c r="J1679">
        <v>27</v>
      </c>
      <c r="K1679">
        <v>3</v>
      </c>
      <c r="L1679">
        <v>13</v>
      </c>
      <c r="M1679">
        <v>773.48</v>
      </c>
      <c r="N1679">
        <v>10055.24</v>
      </c>
      <c r="O1679">
        <v>0.11</v>
      </c>
      <c r="P1679">
        <v>1106.08</v>
      </c>
      <c r="Q1679">
        <v>8949.16</v>
      </c>
      <c r="R1679">
        <v>6737.01</v>
      </c>
      <c r="S1679">
        <v>2212.15</v>
      </c>
    </row>
    <row r="1680" spans="1:19" x14ac:dyDescent="0.35">
      <c r="A1680">
        <v>200418</v>
      </c>
      <c r="B1680">
        <v>4974</v>
      </c>
      <c r="C1680" t="s">
        <v>33</v>
      </c>
      <c r="D1680" t="s">
        <v>31</v>
      </c>
      <c r="E1680" t="s">
        <v>26</v>
      </c>
      <c r="F1680" t="s">
        <v>37</v>
      </c>
      <c r="G1680" s="1">
        <v>45589</v>
      </c>
      <c r="H1680" s="1">
        <v>45592</v>
      </c>
      <c r="I1680" s="1">
        <v>45609</v>
      </c>
      <c r="J1680">
        <v>20</v>
      </c>
      <c r="K1680">
        <v>3</v>
      </c>
      <c r="L1680">
        <v>5</v>
      </c>
      <c r="M1680">
        <v>199.01</v>
      </c>
      <c r="N1680">
        <v>995.05</v>
      </c>
      <c r="O1680">
        <v>0.12</v>
      </c>
      <c r="P1680">
        <v>119.41</v>
      </c>
      <c r="Q1680">
        <v>875.64</v>
      </c>
      <c r="R1680">
        <v>577.13</v>
      </c>
      <c r="S1680">
        <v>298.51</v>
      </c>
    </row>
    <row r="1681" spans="1:19" x14ac:dyDescent="0.35">
      <c r="A1681">
        <v>200419</v>
      </c>
      <c r="B1681">
        <v>1881</v>
      </c>
      <c r="C1681" t="s">
        <v>19</v>
      </c>
      <c r="D1681" t="s">
        <v>31</v>
      </c>
      <c r="E1681" t="s">
        <v>21</v>
      </c>
      <c r="F1681" t="s">
        <v>39</v>
      </c>
      <c r="G1681" s="1">
        <v>45343</v>
      </c>
      <c r="H1681" s="1">
        <v>45347</v>
      </c>
      <c r="I1681" s="1">
        <v>45358</v>
      </c>
      <c r="J1681">
        <v>15</v>
      </c>
      <c r="K1681">
        <v>4</v>
      </c>
      <c r="L1681">
        <v>13</v>
      </c>
      <c r="M1681">
        <v>451.8</v>
      </c>
      <c r="N1681">
        <v>5873.4</v>
      </c>
      <c r="O1681">
        <v>0.05</v>
      </c>
      <c r="P1681">
        <v>293.67</v>
      </c>
      <c r="Q1681">
        <v>5579.73</v>
      </c>
      <c r="R1681">
        <v>3758.98</v>
      </c>
      <c r="S1681">
        <v>1820.75</v>
      </c>
    </row>
    <row r="1682" spans="1:19" x14ac:dyDescent="0.35">
      <c r="A1682">
        <v>200420</v>
      </c>
      <c r="B1682">
        <v>3072</v>
      </c>
      <c r="C1682" t="s">
        <v>19</v>
      </c>
      <c r="D1682" t="s">
        <v>29</v>
      </c>
      <c r="E1682" t="s">
        <v>24</v>
      </c>
      <c r="F1682" t="s">
        <v>42</v>
      </c>
      <c r="G1682" s="1">
        <v>45350</v>
      </c>
      <c r="H1682" s="1">
        <v>45353</v>
      </c>
      <c r="I1682" s="1">
        <v>45374</v>
      </c>
      <c r="J1682">
        <v>24</v>
      </c>
      <c r="K1682">
        <v>3</v>
      </c>
      <c r="L1682">
        <v>11</v>
      </c>
      <c r="M1682">
        <v>526.66</v>
      </c>
      <c r="N1682">
        <v>5793.26</v>
      </c>
      <c r="O1682">
        <v>0.16</v>
      </c>
      <c r="P1682">
        <v>926.92</v>
      </c>
      <c r="Q1682">
        <v>4866.34</v>
      </c>
      <c r="R1682">
        <v>3765.62</v>
      </c>
      <c r="S1682">
        <v>1100.72</v>
      </c>
    </row>
    <row r="1683" spans="1:19" x14ac:dyDescent="0.35">
      <c r="A1683">
        <v>200421</v>
      </c>
      <c r="B1683">
        <v>3365</v>
      </c>
      <c r="C1683" t="s">
        <v>23</v>
      </c>
      <c r="D1683" t="s">
        <v>29</v>
      </c>
      <c r="E1683" t="s">
        <v>24</v>
      </c>
      <c r="F1683" t="s">
        <v>25</v>
      </c>
      <c r="G1683" s="1">
        <v>45333</v>
      </c>
      <c r="H1683" s="1">
        <v>45338</v>
      </c>
      <c r="I1683" s="1">
        <v>45336</v>
      </c>
      <c r="J1683">
        <v>3</v>
      </c>
      <c r="K1683">
        <v>5</v>
      </c>
      <c r="L1683">
        <v>2</v>
      </c>
      <c r="M1683">
        <v>183.79</v>
      </c>
      <c r="N1683">
        <v>367.58</v>
      </c>
      <c r="O1683">
        <v>0.08</v>
      </c>
      <c r="P1683">
        <v>29.41</v>
      </c>
      <c r="Q1683">
        <v>338.17</v>
      </c>
      <c r="R1683">
        <v>238.93</v>
      </c>
      <c r="S1683">
        <v>99.24</v>
      </c>
    </row>
    <row r="1684" spans="1:19" x14ac:dyDescent="0.35">
      <c r="A1684">
        <v>200422</v>
      </c>
      <c r="B1684">
        <v>3759</v>
      </c>
      <c r="C1684" t="s">
        <v>19</v>
      </c>
      <c r="D1684" t="s">
        <v>29</v>
      </c>
      <c r="E1684" t="s">
        <v>34</v>
      </c>
      <c r="F1684" t="s">
        <v>45</v>
      </c>
      <c r="G1684" s="1">
        <v>45443</v>
      </c>
      <c r="H1684" s="1">
        <v>45447</v>
      </c>
      <c r="I1684" s="1">
        <v>45457</v>
      </c>
      <c r="J1684">
        <v>14</v>
      </c>
      <c r="K1684">
        <v>4</v>
      </c>
      <c r="L1684">
        <v>5</v>
      </c>
      <c r="M1684">
        <v>621</v>
      </c>
      <c r="N1684">
        <v>3105</v>
      </c>
      <c r="O1684">
        <v>0.01</v>
      </c>
      <c r="P1684">
        <v>31.05</v>
      </c>
      <c r="Q1684">
        <v>3073.95</v>
      </c>
      <c r="R1684">
        <v>2111.4</v>
      </c>
      <c r="S1684">
        <v>962.55</v>
      </c>
    </row>
    <row r="1685" spans="1:19" x14ac:dyDescent="0.35">
      <c r="A1685">
        <v>200423</v>
      </c>
      <c r="B1685">
        <v>2950</v>
      </c>
      <c r="C1685" t="s">
        <v>19</v>
      </c>
      <c r="D1685" t="s">
        <v>29</v>
      </c>
      <c r="E1685" t="s">
        <v>26</v>
      </c>
      <c r="F1685" t="s">
        <v>44</v>
      </c>
      <c r="G1685" s="1">
        <v>45410</v>
      </c>
      <c r="H1685" s="1">
        <v>45415</v>
      </c>
      <c r="I1685" s="1">
        <v>45439</v>
      </c>
      <c r="J1685">
        <v>29</v>
      </c>
      <c r="K1685">
        <v>5</v>
      </c>
      <c r="L1685">
        <v>7</v>
      </c>
      <c r="M1685">
        <v>377.66</v>
      </c>
      <c r="N1685">
        <v>2643.62</v>
      </c>
      <c r="O1685">
        <v>0.12</v>
      </c>
      <c r="P1685">
        <v>317.23</v>
      </c>
      <c r="Q1685">
        <v>2326.39</v>
      </c>
      <c r="R1685">
        <v>1956.28</v>
      </c>
      <c r="S1685">
        <v>370.11</v>
      </c>
    </row>
    <row r="1686" spans="1:19" x14ac:dyDescent="0.35">
      <c r="A1686">
        <v>200424</v>
      </c>
      <c r="B1686">
        <v>2075</v>
      </c>
      <c r="C1686" t="s">
        <v>28</v>
      </c>
      <c r="D1686" t="s">
        <v>29</v>
      </c>
      <c r="E1686" t="s">
        <v>34</v>
      </c>
      <c r="F1686" t="s">
        <v>40</v>
      </c>
      <c r="G1686" s="1">
        <v>45549</v>
      </c>
      <c r="H1686" s="1">
        <v>45551</v>
      </c>
      <c r="I1686" s="1">
        <v>45573</v>
      </c>
      <c r="J1686">
        <v>24</v>
      </c>
      <c r="K1686">
        <v>2</v>
      </c>
      <c r="L1686">
        <v>13</v>
      </c>
      <c r="M1686">
        <v>746.54</v>
      </c>
      <c r="N1686">
        <v>9705.02</v>
      </c>
      <c r="O1686">
        <v>0.1</v>
      </c>
      <c r="P1686">
        <v>970.5</v>
      </c>
      <c r="Q1686">
        <v>8734.52</v>
      </c>
      <c r="R1686">
        <v>5823.01</v>
      </c>
      <c r="S1686">
        <v>2911.51</v>
      </c>
    </row>
    <row r="1687" spans="1:19" x14ac:dyDescent="0.35">
      <c r="A1687">
        <v>200425</v>
      </c>
      <c r="B1687">
        <v>2209</v>
      </c>
      <c r="C1687" t="s">
        <v>28</v>
      </c>
      <c r="D1687" t="s">
        <v>29</v>
      </c>
      <c r="E1687" t="s">
        <v>34</v>
      </c>
      <c r="F1687" t="s">
        <v>43</v>
      </c>
      <c r="G1687" s="1">
        <v>45538</v>
      </c>
      <c r="H1687" s="1">
        <v>45539</v>
      </c>
      <c r="I1687" s="1">
        <v>45562</v>
      </c>
      <c r="J1687">
        <v>24</v>
      </c>
      <c r="K1687">
        <v>1</v>
      </c>
      <c r="L1687">
        <v>1</v>
      </c>
      <c r="M1687">
        <v>200.63</v>
      </c>
      <c r="N1687">
        <v>200.63</v>
      </c>
      <c r="O1687">
        <v>0.13</v>
      </c>
      <c r="P1687">
        <v>26.08</v>
      </c>
      <c r="Q1687">
        <v>174.55</v>
      </c>
      <c r="R1687">
        <v>134.41999999999999</v>
      </c>
      <c r="S1687">
        <v>40.130000000000003</v>
      </c>
    </row>
    <row r="1688" spans="1:19" x14ac:dyDescent="0.35">
      <c r="A1688">
        <v>200426</v>
      </c>
      <c r="B1688">
        <v>2492</v>
      </c>
      <c r="C1688" t="s">
        <v>19</v>
      </c>
      <c r="D1688" t="s">
        <v>29</v>
      </c>
      <c r="E1688" t="s">
        <v>24</v>
      </c>
      <c r="F1688" t="s">
        <v>25</v>
      </c>
      <c r="G1688" s="1">
        <v>45428</v>
      </c>
      <c r="H1688" s="1">
        <v>45432</v>
      </c>
      <c r="I1688" s="1">
        <v>45448</v>
      </c>
      <c r="J1688">
        <v>20</v>
      </c>
      <c r="K1688">
        <v>4</v>
      </c>
      <c r="L1688">
        <v>9</v>
      </c>
      <c r="M1688">
        <v>354.41</v>
      </c>
      <c r="N1688">
        <v>3189.69</v>
      </c>
      <c r="O1688">
        <v>0.13</v>
      </c>
      <c r="P1688">
        <v>414.66</v>
      </c>
      <c r="Q1688">
        <v>2775.03</v>
      </c>
      <c r="R1688">
        <v>2009.5</v>
      </c>
      <c r="S1688">
        <v>765.53</v>
      </c>
    </row>
    <row r="1689" spans="1:19" x14ac:dyDescent="0.35">
      <c r="A1689">
        <v>200427</v>
      </c>
      <c r="B1689">
        <v>3258</v>
      </c>
      <c r="C1689" t="s">
        <v>33</v>
      </c>
      <c r="D1689" t="s">
        <v>31</v>
      </c>
      <c r="E1689" t="s">
        <v>34</v>
      </c>
      <c r="F1689" t="s">
        <v>45</v>
      </c>
      <c r="G1689" s="1">
        <v>45643</v>
      </c>
      <c r="H1689" s="1">
        <v>45648</v>
      </c>
      <c r="I1689" s="1">
        <v>45655</v>
      </c>
      <c r="J1689">
        <v>12</v>
      </c>
      <c r="K1689">
        <v>5</v>
      </c>
      <c r="L1689">
        <v>7</v>
      </c>
      <c r="M1689">
        <v>7.3</v>
      </c>
      <c r="N1689">
        <v>51.1</v>
      </c>
      <c r="O1689">
        <v>0.06</v>
      </c>
      <c r="P1689">
        <v>3.07</v>
      </c>
      <c r="Q1689">
        <v>48.03</v>
      </c>
      <c r="R1689">
        <v>35.770000000000003</v>
      </c>
      <c r="S1689">
        <v>12.26</v>
      </c>
    </row>
    <row r="1690" spans="1:19" x14ac:dyDescent="0.35">
      <c r="A1690">
        <v>200428</v>
      </c>
      <c r="B1690">
        <v>3513</v>
      </c>
      <c r="C1690" t="s">
        <v>33</v>
      </c>
      <c r="D1690" t="s">
        <v>31</v>
      </c>
      <c r="E1690" t="s">
        <v>26</v>
      </c>
      <c r="F1690" t="s">
        <v>36</v>
      </c>
      <c r="G1690" s="1">
        <v>45321</v>
      </c>
      <c r="H1690" s="1">
        <v>45323</v>
      </c>
      <c r="I1690" s="1">
        <v>45342</v>
      </c>
      <c r="J1690">
        <v>21</v>
      </c>
      <c r="K1690">
        <v>2</v>
      </c>
      <c r="L1690">
        <v>14</v>
      </c>
      <c r="M1690">
        <v>512.66999999999996</v>
      </c>
      <c r="N1690">
        <v>7177.38</v>
      </c>
      <c r="O1690">
        <v>0.23</v>
      </c>
      <c r="P1690">
        <v>1650.8</v>
      </c>
      <c r="Q1690">
        <v>5526.58</v>
      </c>
      <c r="R1690">
        <v>5311.26</v>
      </c>
      <c r="S1690">
        <v>215.32</v>
      </c>
    </row>
    <row r="1691" spans="1:19" x14ac:dyDescent="0.35">
      <c r="A1691">
        <v>200429</v>
      </c>
      <c r="B1691">
        <v>1680</v>
      </c>
      <c r="C1691" t="s">
        <v>23</v>
      </c>
      <c r="D1691" t="s">
        <v>29</v>
      </c>
      <c r="E1691" t="s">
        <v>24</v>
      </c>
      <c r="F1691" t="s">
        <v>30</v>
      </c>
      <c r="G1691" s="1">
        <v>45309</v>
      </c>
      <c r="H1691" s="1">
        <v>45314</v>
      </c>
      <c r="I1691" s="1">
        <v>45324</v>
      </c>
      <c r="J1691">
        <v>15</v>
      </c>
      <c r="K1691">
        <v>5</v>
      </c>
      <c r="L1691">
        <v>7</v>
      </c>
      <c r="M1691">
        <v>331.64</v>
      </c>
      <c r="N1691">
        <v>2321.48</v>
      </c>
      <c r="O1691">
        <v>0.23</v>
      </c>
      <c r="P1691">
        <v>533.94000000000005</v>
      </c>
      <c r="Q1691">
        <v>1787.54</v>
      </c>
      <c r="R1691">
        <v>1601.82</v>
      </c>
      <c r="S1691">
        <v>185.72</v>
      </c>
    </row>
    <row r="1692" spans="1:19" x14ac:dyDescent="0.35">
      <c r="A1692">
        <v>200430</v>
      </c>
      <c r="B1692">
        <v>2079</v>
      </c>
      <c r="C1692" t="s">
        <v>33</v>
      </c>
      <c r="D1692" t="s">
        <v>20</v>
      </c>
      <c r="E1692" t="s">
        <v>26</v>
      </c>
      <c r="F1692" t="s">
        <v>36</v>
      </c>
      <c r="G1692" s="1">
        <v>45536</v>
      </c>
      <c r="H1692" s="1">
        <v>45538</v>
      </c>
      <c r="I1692" s="1">
        <v>45541</v>
      </c>
      <c r="J1692">
        <v>5</v>
      </c>
      <c r="K1692">
        <v>2</v>
      </c>
      <c r="L1692">
        <v>11</v>
      </c>
      <c r="M1692">
        <v>403.96</v>
      </c>
      <c r="N1692">
        <v>4443.5600000000004</v>
      </c>
      <c r="O1692">
        <v>0.02</v>
      </c>
      <c r="P1692">
        <v>88.87</v>
      </c>
      <c r="Q1692">
        <v>4354.6899999999996</v>
      </c>
      <c r="R1692">
        <v>3021.62</v>
      </c>
      <c r="S1692">
        <v>1333.07</v>
      </c>
    </row>
    <row r="1693" spans="1:19" x14ac:dyDescent="0.35">
      <c r="A1693">
        <v>200431</v>
      </c>
      <c r="B1693">
        <v>3850</v>
      </c>
      <c r="C1693" t="s">
        <v>23</v>
      </c>
      <c r="D1693" t="s">
        <v>20</v>
      </c>
      <c r="E1693" t="s">
        <v>34</v>
      </c>
      <c r="F1693" t="s">
        <v>40</v>
      </c>
      <c r="G1693" s="1">
        <v>45581</v>
      </c>
      <c r="H1693" s="1">
        <v>45582</v>
      </c>
      <c r="I1693" s="1">
        <v>45593</v>
      </c>
      <c r="J1693">
        <v>12</v>
      </c>
      <c r="K1693">
        <v>1</v>
      </c>
      <c r="L1693">
        <v>4</v>
      </c>
      <c r="M1693">
        <v>109.59</v>
      </c>
      <c r="N1693">
        <v>438.36</v>
      </c>
      <c r="O1693">
        <v>7.0000000000000007E-2</v>
      </c>
      <c r="P1693">
        <v>30.69</v>
      </c>
      <c r="Q1693">
        <v>407.67</v>
      </c>
      <c r="R1693">
        <v>293.7</v>
      </c>
      <c r="S1693">
        <v>113.97</v>
      </c>
    </row>
    <row r="1694" spans="1:19" x14ac:dyDescent="0.35">
      <c r="A1694">
        <v>200432</v>
      </c>
      <c r="B1694">
        <v>1338</v>
      </c>
      <c r="C1694" t="s">
        <v>19</v>
      </c>
      <c r="D1694" t="s">
        <v>31</v>
      </c>
      <c r="E1694" t="s">
        <v>21</v>
      </c>
      <c r="F1694" t="s">
        <v>41</v>
      </c>
      <c r="G1694" s="1">
        <v>45643</v>
      </c>
      <c r="H1694" s="1">
        <v>45648</v>
      </c>
      <c r="I1694" s="1">
        <v>45650</v>
      </c>
      <c r="J1694">
        <v>7</v>
      </c>
      <c r="K1694">
        <v>5</v>
      </c>
      <c r="L1694">
        <v>11</v>
      </c>
      <c r="M1694">
        <v>736.56</v>
      </c>
      <c r="N1694">
        <v>8102.16</v>
      </c>
      <c r="O1694">
        <v>0.12</v>
      </c>
      <c r="P1694">
        <v>972.26</v>
      </c>
      <c r="Q1694">
        <v>7129.9</v>
      </c>
      <c r="R1694">
        <v>5185.38</v>
      </c>
      <c r="S1694">
        <v>1944.52</v>
      </c>
    </row>
    <row r="1695" spans="1:19" x14ac:dyDescent="0.35">
      <c r="A1695">
        <v>200433</v>
      </c>
      <c r="B1695">
        <v>1733</v>
      </c>
      <c r="C1695" t="s">
        <v>23</v>
      </c>
      <c r="D1695" t="s">
        <v>31</v>
      </c>
      <c r="E1695" t="s">
        <v>21</v>
      </c>
      <c r="F1695" t="s">
        <v>41</v>
      </c>
      <c r="G1695" s="1">
        <v>45500</v>
      </c>
      <c r="H1695" s="1">
        <v>45501</v>
      </c>
      <c r="I1695" s="1">
        <v>45524</v>
      </c>
      <c r="J1695">
        <v>24</v>
      </c>
      <c r="K1695">
        <v>1</v>
      </c>
      <c r="L1695">
        <v>7</v>
      </c>
      <c r="M1695">
        <v>319.87</v>
      </c>
      <c r="N1695">
        <v>2239.09</v>
      </c>
      <c r="O1695">
        <v>0.06</v>
      </c>
      <c r="P1695">
        <v>134.35</v>
      </c>
      <c r="Q1695">
        <v>2104.7399999999998</v>
      </c>
      <c r="R1695">
        <v>1477.8</v>
      </c>
      <c r="S1695">
        <v>626.94000000000005</v>
      </c>
    </row>
    <row r="1696" spans="1:19" x14ac:dyDescent="0.35">
      <c r="A1696">
        <v>200434</v>
      </c>
      <c r="B1696">
        <v>4263</v>
      </c>
      <c r="C1696" t="s">
        <v>33</v>
      </c>
      <c r="D1696" t="s">
        <v>29</v>
      </c>
      <c r="E1696" t="s">
        <v>24</v>
      </c>
      <c r="F1696" t="s">
        <v>32</v>
      </c>
      <c r="G1696" s="1">
        <v>45580</v>
      </c>
      <c r="H1696" s="1">
        <v>45582</v>
      </c>
      <c r="I1696" s="1">
        <v>45603</v>
      </c>
      <c r="J1696">
        <v>23</v>
      </c>
      <c r="K1696">
        <v>2</v>
      </c>
      <c r="L1696">
        <v>7</v>
      </c>
      <c r="M1696">
        <v>373.64</v>
      </c>
      <c r="N1696">
        <v>2615.48</v>
      </c>
      <c r="O1696">
        <v>0.04</v>
      </c>
      <c r="P1696">
        <v>104.62</v>
      </c>
      <c r="Q1696">
        <v>2510.86</v>
      </c>
      <c r="R1696">
        <v>1700.06</v>
      </c>
      <c r="S1696">
        <v>810.8</v>
      </c>
    </row>
    <row r="1697" spans="1:19" x14ac:dyDescent="0.35">
      <c r="A1697">
        <v>200435</v>
      </c>
      <c r="B1697">
        <v>4997</v>
      </c>
      <c r="C1697" t="s">
        <v>19</v>
      </c>
      <c r="D1697" t="s">
        <v>31</v>
      </c>
      <c r="E1697" t="s">
        <v>21</v>
      </c>
      <c r="F1697" t="s">
        <v>38</v>
      </c>
      <c r="G1697" s="1">
        <v>45493</v>
      </c>
      <c r="H1697" s="1">
        <v>45498</v>
      </c>
      <c r="I1697" s="1">
        <v>45508</v>
      </c>
      <c r="J1697">
        <v>15</v>
      </c>
      <c r="K1697">
        <v>5</v>
      </c>
      <c r="L1697">
        <v>11</v>
      </c>
      <c r="M1697">
        <v>177.43</v>
      </c>
      <c r="N1697">
        <v>1951.73</v>
      </c>
      <c r="O1697">
        <v>0.21</v>
      </c>
      <c r="P1697">
        <v>409.86</v>
      </c>
      <c r="Q1697">
        <v>1541.87</v>
      </c>
      <c r="R1697">
        <v>1346.69</v>
      </c>
      <c r="S1697">
        <v>195.18</v>
      </c>
    </row>
    <row r="1698" spans="1:19" x14ac:dyDescent="0.35">
      <c r="A1698">
        <v>200436</v>
      </c>
      <c r="B1698">
        <v>4382</v>
      </c>
      <c r="C1698" t="s">
        <v>33</v>
      </c>
      <c r="D1698" t="s">
        <v>29</v>
      </c>
      <c r="E1698" t="s">
        <v>21</v>
      </c>
      <c r="F1698" t="s">
        <v>41</v>
      </c>
      <c r="G1698" s="1">
        <v>45610</v>
      </c>
      <c r="H1698" s="1">
        <v>45615</v>
      </c>
      <c r="I1698" s="1">
        <v>45633</v>
      </c>
      <c r="J1698">
        <v>23</v>
      </c>
      <c r="K1698">
        <v>5</v>
      </c>
      <c r="L1698">
        <v>11</v>
      </c>
      <c r="M1698">
        <v>5.99</v>
      </c>
      <c r="N1698">
        <v>65.89</v>
      </c>
      <c r="O1698">
        <v>0.11</v>
      </c>
      <c r="P1698">
        <v>7.25</v>
      </c>
      <c r="Q1698">
        <v>58.64</v>
      </c>
      <c r="R1698">
        <v>49.42</v>
      </c>
      <c r="S1698">
        <v>9.2200000000000006</v>
      </c>
    </row>
    <row r="1699" spans="1:19" x14ac:dyDescent="0.35">
      <c r="A1699">
        <v>200437</v>
      </c>
      <c r="B1699">
        <v>3868</v>
      </c>
      <c r="C1699" t="s">
        <v>28</v>
      </c>
      <c r="D1699" t="s">
        <v>29</v>
      </c>
      <c r="E1699" t="s">
        <v>34</v>
      </c>
      <c r="F1699" t="s">
        <v>45</v>
      </c>
      <c r="G1699" s="1">
        <v>45617</v>
      </c>
      <c r="H1699" s="1">
        <v>45622</v>
      </c>
      <c r="I1699" s="1">
        <v>45634</v>
      </c>
      <c r="J1699">
        <v>17</v>
      </c>
      <c r="K1699">
        <v>5</v>
      </c>
      <c r="L1699">
        <v>6</v>
      </c>
      <c r="M1699">
        <v>705.09</v>
      </c>
      <c r="N1699">
        <v>4230.54</v>
      </c>
      <c r="O1699">
        <v>0.08</v>
      </c>
      <c r="P1699">
        <v>338.44</v>
      </c>
      <c r="Q1699">
        <v>3892.1</v>
      </c>
      <c r="R1699">
        <v>2834.46</v>
      </c>
      <c r="S1699">
        <v>1057.6400000000001</v>
      </c>
    </row>
    <row r="1700" spans="1:19" x14ac:dyDescent="0.35">
      <c r="A1700">
        <v>200438</v>
      </c>
      <c r="B1700">
        <v>4268</v>
      </c>
      <c r="C1700" t="s">
        <v>28</v>
      </c>
      <c r="D1700" t="s">
        <v>31</v>
      </c>
      <c r="E1700" t="s">
        <v>24</v>
      </c>
      <c r="F1700" t="s">
        <v>42</v>
      </c>
      <c r="G1700" s="1">
        <v>45636</v>
      </c>
      <c r="H1700" s="1">
        <v>45638</v>
      </c>
      <c r="I1700" s="1">
        <v>45650</v>
      </c>
      <c r="J1700">
        <v>14</v>
      </c>
      <c r="K1700">
        <v>2</v>
      </c>
      <c r="L1700">
        <v>8</v>
      </c>
      <c r="M1700">
        <v>600.79999999999995</v>
      </c>
      <c r="N1700">
        <v>4806.3999999999996</v>
      </c>
      <c r="O1700">
        <v>0.12</v>
      </c>
      <c r="P1700">
        <v>576.77</v>
      </c>
      <c r="Q1700">
        <v>4229.63</v>
      </c>
      <c r="R1700">
        <v>3364.48</v>
      </c>
      <c r="S1700">
        <v>865.15</v>
      </c>
    </row>
    <row r="1701" spans="1:19" x14ac:dyDescent="0.35">
      <c r="A1701">
        <v>200439</v>
      </c>
      <c r="B1701">
        <v>4499</v>
      </c>
      <c r="C1701" t="s">
        <v>19</v>
      </c>
      <c r="D1701" t="s">
        <v>20</v>
      </c>
      <c r="E1701" t="s">
        <v>26</v>
      </c>
      <c r="F1701" t="s">
        <v>37</v>
      </c>
      <c r="G1701" s="1">
        <v>45481</v>
      </c>
      <c r="H1701" s="1">
        <v>45482</v>
      </c>
      <c r="I1701" s="1">
        <v>45499</v>
      </c>
      <c r="J1701">
        <v>18</v>
      </c>
      <c r="K1701">
        <v>1</v>
      </c>
      <c r="L1701">
        <v>10</v>
      </c>
      <c r="M1701">
        <v>227.44</v>
      </c>
      <c r="N1701">
        <v>2274.4</v>
      </c>
      <c r="O1701">
        <v>0</v>
      </c>
      <c r="P1701">
        <v>0</v>
      </c>
      <c r="Q1701">
        <v>2274.4</v>
      </c>
      <c r="R1701">
        <v>1432.87</v>
      </c>
      <c r="S1701">
        <v>841.53</v>
      </c>
    </row>
    <row r="1702" spans="1:19" x14ac:dyDescent="0.35">
      <c r="A1702">
        <v>200440</v>
      </c>
      <c r="B1702">
        <v>3190</v>
      </c>
      <c r="C1702" t="s">
        <v>19</v>
      </c>
      <c r="D1702" t="s">
        <v>31</v>
      </c>
      <c r="E1702" t="s">
        <v>26</v>
      </c>
      <c r="F1702" t="s">
        <v>44</v>
      </c>
      <c r="G1702" s="1">
        <v>45647</v>
      </c>
      <c r="H1702" s="1">
        <v>45648</v>
      </c>
      <c r="I1702" s="1">
        <v>45651</v>
      </c>
      <c r="J1702">
        <v>4</v>
      </c>
      <c r="K1702">
        <v>1</v>
      </c>
      <c r="L1702">
        <v>4</v>
      </c>
      <c r="M1702">
        <v>501.99</v>
      </c>
      <c r="N1702">
        <v>2007.96</v>
      </c>
      <c r="O1702">
        <v>0.06</v>
      </c>
      <c r="P1702">
        <v>120.48</v>
      </c>
      <c r="Q1702">
        <v>1887.48</v>
      </c>
      <c r="R1702">
        <v>1385.49</v>
      </c>
      <c r="S1702">
        <v>501.99</v>
      </c>
    </row>
    <row r="1703" spans="1:19" x14ac:dyDescent="0.35">
      <c r="A1703">
        <v>200441</v>
      </c>
      <c r="B1703">
        <v>1737</v>
      </c>
      <c r="C1703" t="s">
        <v>19</v>
      </c>
      <c r="D1703" t="s">
        <v>29</v>
      </c>
      <c r="E1703" t="s">
        <v>34</v>
      </c>
      <c r="F1703" t="s">
        <v>43</v>
      </c>
      <c r="G1703" s="1">
        <v>45411</v>
      </c>
      <c r="H1703" s="1">
        <v>45413</v>
      </c>
      <c r="I1703" s="1">
        <v>45414</v>
      </c>
      <c r="J1703">
        <v>3</v>
      </c>
      <c r="K1703">
        <v>2</v>
      </c>
      <c r="L1703">
        <v>6</v>
      </c>
      <c r="M1703">
        <v>510.87</v>
      </c>
      <c r="N1703">
        <v>3065.22</v>
      </c>
      <c r="O1703">
        <v>0.03</v>
      </c>
      <c r="P1703">
        <v>91.96</v>
      </c>
      <c r="Q1703">
        <v>2973.26</v>
      </c>
      <c r="R1703">
        <v>2176.31</v>
      </c>
      <c r="S1703">
        <v>796.95</v>
      </c>
    </row>
    <row r="1704" spans="1:19" x14ac:dyDescent="0.35">
      <c r="A1704">
        <v>200442</v>
      </c>
      <c r="B1704">
        <v>3105</v>
      </c>
      <c r="C1704" t="s">
        <v>33</v>
      </c>
      <c r="D1704" t="s">
        <v>29</v>
      </c>
      <c r="E1704" t="s">
        <v>26</v>
      </c>
      <c r="F1704" t="s">
        <v>36</v>
      </c>
      <c r="G1704" s="1">
        <v>45539</v>
      </c>
      <c r="H1704" s="1">
        <v>45543</v>
      </c>
      <c r="I1704" s="1">
        <v>45555</v>
      </c>
      <c r="J1704">
        <v>16</v>
      </c>
      <c r="K1704">
        <v>4</v>
      </c>
      <c r="L1704">
        <v>9</v>
      </c>
      <c r="M1704">
        <v>458.41</v>
      </c>
      <c r="N1704">
        <v>4125.6899999999996</v>
      </c>
      <c r="O1704">
        <v>0.1</v>
      </c>
      <c r="P1704">
        <v>412.57</v>
      </c>
      <c r="Q1704">
        <v>3713.12</v>
      </c>
      <c r="R1704">
        <v>2599.1799999999998</v>
      </c>
      <c r="S1704">
        <v>1113.94</v>
      </c>
    </row>
    <row r="1705" spans="1:19" x14ac:dyDescent="0.35">
      <c r="A1705">
        <v>200443</v>
      </c>
      <c r="B1705">
        <v>2815</v>
      </c>
      <c r="C1705" t="s">
        <v>19</v>
      </c>
      <c r="D1705" t="s">
        <v>29</v>
      </c>
      <c r="E1705" t="s">
        <v>26</v>
      </c>
      <c r="F1705" t="s">
        <v>27</v>
      </c>
      <c r="G1705" s="1">
        <v>45451</v>
      </c>
      <c r="H1705" s="1">
        <v>45452</v>
      </c>
      <c r="I1705" s="1">
        <v>45462</v>
      </c>
      <c r="J1705">
        <v>11</v>
      </c>
      <c r="K1705">
        <v>1</v>
      </c>
      <c r="L1705">
        <v>7</v>
      </c>
      <c r="M1705">
        <v>154.30000000000001</v>
      </c>
      <c r="N1705">
        <v>1080.0999999999999</v>
      </c>
      <c r="O1705">
        <v>0.12</v>
      </c>
      <c r="P1705">
        <v>129.61000000000001</v>
      </c>
      <c r="Q1705">
        <v>950.49</v>
      </c>
      <c r="R1705">
        <v>691.26</v>
      </c>
      <c r="S1705">
        <v>259.23</v>
      </c>
    </row>
    <row r="1706" spans="1:19" x14ac:dyDescent="0.35">
      <c r="A1706">
        <v>200444</v>
      </c>
      <c r="B1706">
        <v>3618</v>
      </c>
      <c r="C1706" t="s">
        <v>28</v>
      </c>
      <c r="D1706" t="s">
        <v>29</v>
      </c>
      <c r="E1706" t="s">
        <v>24</v>
      </c>
      <c r="F1706" t="s">
        <v>25</v>
      </c>
      <c r="G1706" s="1">
        <v>45443</v>
      </c>
      <c r="H1706" s="1">
        <v>45447</v>
      </c>
      <c r="I1706" s="1">
        <v>45451</v>
      </c>
      <c r="J1706">
        <v>8</v>
      </c>
      <c r="K1706">
        <v>4</v>
      </c>
      <c r="L1706">
        <v>13</v>
      </c>
      <c r="M1706">
        <v>252.6</v>
      </c>
      <c r="N1706">
        <v>3283.8</v>
      </c>
      <c r="O1706">
        <v>0.09</v>
      </c>
      <c r="P1706">
        <v>295.54000000000002</v>
      </c>
      <c r="Q1706">
        <v>2988.26</v>
      </c>
      <c r="R1706">
        <v>1970.28</v>
      </c>
      <c r="S1706">
        <v>1017.98</v>
      </c>
    </row>
    <row r="1707" spans="1:19" x14ac:dyDescent="0.35">
      <c r="A1707">
        <v>200445</v>
      </c>
      <c r="B1707">
        <v>3481</v>
      </c>
      <c r="C1707" t="s">
        <v>28</v>
      </c>
      <c r="D1707" t="s">
        <v>31</v>
      </c>
      <c r="E1707" t="s">
        <v>21</v>
      </c>
      <c r="F1707" t="s">
        <v>39</v>
      </c>
      <c r="G1707" s="1">
        <v>45628</v>
      </c>
      <c r="H1707" s="1">
        <v>45633</v>
      </c>
      <c r="I1707" s="1">
        <v>45653</v>
      </c>
      <c r="J1707">
        <v>25</v>
      </c>
      <c r="K1707">
        <v>5</v>
      </c>
      <c r="L1707">
        <v>12</v>
      </c>
      <c r="M1707">
        <v>178.87</v>
      </c>
      <c r="N1707">
        <v>2146.44</v>
      </c>
      <c r="O1707">
        <v>0.14000000000000001</v>
      </c>
      <c r="P1707">
        <v>300.5</v>
      </c>
      <c r="Q1707">
        <v>1845.94</v>
      </c>
      <c r="R1707">
        <v>1309.33</v>
      </c>
      <c r="S1707">
        <v>536.61</v>
      </c>
    </row>
    <row r="1708" spans="1:19" x14ac:dyDescent="0.35">
      <c r="A1708">
        <v>200446</v>
      </c>
      <c r="B1708">
        <v>3767</v>
      </c>
      <c r="C1708" t="s">
        <v>28</v>
      </c>
      <c r="D1708" t="s">
        <v>20</v>
      </c>
      <c r="E1708" t="s">
        <v>26</v>
      </c>
      <c r="F1708" t="s">
        <v>44</v>
      </c>
      <c r="G1708" s="1">
        <v>45445</v>
      </c>
      <c r="H1708" s="1">
        <v>45447</v>
      </c>
      <c r="I1708" s="1">
        <v>45460</v>
      </c>
      <c r="J1708">
        <v>15</v>
      </c>
      <c r="K1708">
        <v>2</v>
      </c>
      <c r="L1708">
        <v>5</v>
      </c>
      <c r="M1708">
        <v>173.67</v>
      </c>
      <c r="N1708">
        <v>868.35</v>
      </c>
      <c r="O1708">
        <v>0</v>
      </c>
      <c r="P1708">
        <v>0</v>
      </c>
      <c r="Q1708">
        <v>868.35</v>
      </c>
      <c r="R1708">
        <v>564.42999999999995</v>
      </c>
      <c r="S1708">
        <v>303.92</v>
      </c>
    </row>
    <row r="1709" spans="1:19" x14ac:dyDescent="0.35">
      <c r="A1709">
        <v>200447</v>
      </c>
      <c r="B1709">
        <v>2210</v>
      </c>
      <c r="C1709" t="s">
        <v>23</v>
      </c>
      <c r="D1709" t="s">
        <v>20</v>
      </c>
      <c r="E1709" t="s">
        <v>24</v>
      </c>
      <c r="F1709" t="s">
        <v>30</v>
      </c>
      <c r="G1709" s="1">
        <v>45321</v>
      </c>
      <c r="H1709" s="1">
        <v>45323</v>
      </c>
      <c r="I1709" s="1">
        <v>45339</v>
      </c>
      <c r="J1709">
        <v>18</v>
      </c>
      <c r="K1709">
        <v>2</v>
      </c>
      <c r="L1709">
        <v>6</v>
      </c>
      <c r="M1709">
        <v>213.9</v>
      </c>
      <c r="N1709">
        <v>1283.4000000000001</v>
      </c>
      <c r="O1709">
        <v>0.08</v>
      </c>
      <c r="P1709">
        <v>102.67</v>
      </c>
      <c r="Q1709">
        <v>1180.73</v>
      </c>
      <c r="R1709">
        <v>872.71</v>
      </c>
      <c r="S1709">
        <v>308.02</v>
      </c>
    </row>
    <row r="1710" spans="1:19" x14ac:dyDescent="0.35">
      <c r="A1710">
        <v>200448</v>
      </c>
      <c r="B1710">
        <v>2148</v>
      </c>
      <c r="C1710" t="s">
        <v>23</v>
      </c>
      <c r="D1710" t="s">
        <v>20</v>
      </c>
      <c r="E1710" t="s">
        <v>26</v>
      </c>
      <c r="F1710" t="s">
        <v>27</v>
      </c>
      <c r="G1710" s="1">
        <v>45488</v>
      </c>
      <c r="H1710" s="1">
        <v>45490</v>
      </c>
      <c r="I1710" s="1">
        <v>45514</v>
      </c>
      <c r="J1710">
        <v>26</v>
      </c>
      <c r="K1710">
        <v>2</v>
      </c>
      <c r="L1710">
        <v>4</v>
      </c>
      <c r="M1710">
        <v>639.24</v>
      </c>
      <c r="N1710">
        <v>2556.96</v>
      </c>
      <c r="O1710">
        <v>0.16</v>
      </c>
      <c r="P1710">
        <v>409.11</v>
      </c>
      <c r="Q1710">
        <v>2147.85</v>
      </c>
      <c r="R1710">
        <v>1610.88</v>
      </c>
      <c r="S1710">
        <v>536.97</v>
      </c>
    </row>
    <row r="1711" spans="1:19" x14ac:dyDescent="0.35">
      <c r="A1711">
        <v>200449</v>
      </c>
      <c r="B1711">
        <v>2566</v>
      </c>
      <c r="C1711" t="s">
        <v>19</v>
      </c>
      <c r="D1711" t="s">
        <v>31</v>
      </c>
      <c r="E1711" t="s">
        <v>21</v>
      </c>
      <c r="F1711" t="s">
        <v>41</v>
      </c>
      <c r="G1711" s="1">
        <v>45602</v>
      </c>
      <c r="H1711" s="1">
        <v>45606</v>
      </c>
      <c r="I1711" s="1">
        <v>45626</v>
      </c>
      <c r="J1711">
        <v>24</v>
      </c>
      <c r="K1711">
        <v>4</v>
      </c>
      <c r="L1711">
        <v>9</v>
      </c>
      <c r="M1711">
        <v>312.86</v>
      </c>
      <c r="N1711">
        <v>2815.74</v>
      </c>
      <c r="O1711">
        <v>0.15</v>
      </c>
      <c r="P1711">
        <v>422.36</v>
      </c>
      <c r="Q1711">
        <v>2393.38</v>
      </c>
      <c r="R1711">
        <v>1971.02</v>
      </c>
      <c r="S1711">
        <v>422.36</v>
      </c>
    </row>
    <row r="1712" spans="1:19" x14ac:dyDescent="0.35">
      <c r="A1712">
        <v>200450</v>
      </c>
      <c r="B1712">
        <v>2243</v>
      </c>
      <c r="C1712" t="s">
        <v>28</v>
      </c>
      <c r="D1712" t="s">
        <v>20</v>
      </c>
      <c r="E1712" t="s">
        <v>26</v>
      </c>
      <c r="F1712" t="s">
        <v>37</v>
      </c>
      <c r="G1712" s="1">
        <v>45518</v>
      </c>
      <c r="H1712" s="1">
        <v>45520</v>
      </c>
      <c r="I1712" s="1">
        <v>45534</v>
      </c>
      <c r="J1712">
        <v>16</v>
      </c>
      <c r="K1712">
        <v>2</v>
      </c>
      <c r="L1712">
        <v>7</v>
      </c>
      <c r="M1712">
        <v>777.27</v>
      </c>
      <c r="N1712">
        <v>5440.89</v>
      </c>
      <c r="O1712">
        <v>0.06</v>
      </c>
      <c r="P1712">
        <v>326.45</v>
      </c>
      <c r="Q1712">
        <v>5114.4399999999996</v>
      </c>
      <c r="R1712">
        <v>3536.58</v>
      </c>
      <c r="S1712">
        <v>1577.86</v>
      </c>
    </row>
    <row r="1713" spans="1:19" x14ac:dyDescent="0.35">
      <c r="A1713">
        <v>200451</v>
      </c>
      <c r="B1713">
        <v>3138</v>
      </c>
      <c r="C1713" t="s">
        <v>19</v>
      </c>
      <c r="D1713" t="s">
        <v>31</v>
      </c>
      <c r="E1713" t="s">
        <v>26</v>
      </c>
      <c r="F1713" t="s">
        <v>36</v>
      </c>
      <c r="G1713" s="1">
        <v>45321</v>
      </c>
      <c r="H1713" s="1">
        <v>45324</v>
      </c>
      <c r="I1713" s="1">
        <v>45326</v>
      </c>
      <c r="J1713">
        <v>5</v>
      </c>
      <c r="K1713">
        <v>3</v>
      </c>
      <c r="L1713">
        <v>2</v>
      </c>
      <c r="M1713">
        <v>395.46</v>
      </c>
      <c r="N1713">
        <v>790.92</v>
      </c>
      <c r="O1713">
        <v>0.11</v>
      </c>
      <c r="P1713">
        <v>87</v>
      </c>
      <c r="Q1713">
        <v>703.92</v>
      </c>
      <c r="R1713">
        <v>506.19</v>
      </c>
      <c r="S1713">
        <v>197.73</v>
      </c>
    </row>
    <row r="1714" spans="1:19" x14ac:dyDescent="0.35">
      <c r="A1714">
        <v>200452</v>
      </c>
      <c r="B1714">
        <v>4418</v>
      </c>
      <c r="C1714" t="s">
        <v>28</v>
      </c>
      <c r="D1714" t="s">
        <v>29</v>
      </c>
      <c r="E1714" t="s">
        <v>26</v>
      </c>
      <c r="F1714" t="s">
        <v>37</v>
      </c>
      <c r="G1714" s="1">
        <v>45541</v>
      </c>
      <c r="H1714" s="1">
        <v>45542</v>
      </c>
      <c r="I1714" s="1">
        <v>45561</v>
      </c>
      <c r="J1714">
        <v>20</v>
      </c>
      <c r="K1714">
        <v>1</v>
      </c>
      <c r="L1714">
        <v>12</v>
      </c>
      <c r="M1714">
        <v>94.62</v>
      </c>
      <c r="N1714">
        <v>1135.44</v>
      </c>
      <c r="O1714">
        <v>0.13</v>
      </c>
      <c r="P1714">
        <v>147.61000000000001</v>
      </c>
      <c r="Q1714">
        <v>987.83</v>
      </c>
      <c r="R1714">
        <v>681.26</v>
      </c>
      <c r="S1714">
        <v>306.57</v>
      </c>
    </row>
    <row r="1715" spans="1:19" x14ac:dyDescent="0.35">
      <c r="A1715">
        <v>200453</v>
      </c>
      <c r="B1715">
        <v>3517</v>
      </c>
      <c r="C1715" t="s">
        <v>33</v>
      </c>
      <c r="D1715" t="s">
        <v>29</v>
      </c>
      <c r="E1715" t="s">
        <v>21</v>
      </c>
      <c r="F1715" t="s">
        <v>38</v>
      </c>
      <c r="G1715" s="1">
        <v>45318</v>
      </c>
      <c r="H1715" s="1">
        <v>45323</v>
      </c>
      <c r="I1715" s="1">
        <v>45323</v>
      </c>
      <c r="J1715">
        <v>5</v>
      </c>
      <c r="K1715">
        <v>5</v>
      </c>
      <c r="L1715">
        <v>11</v>
      </c>
      <c r="M1715">
        <v>771.56</v>
      </c>
      <c r="N1715">
        <v>8487.16</v>
      </c>
      <c r="O1715">
        <v>0.11</v>
      </c>
      <c r="P1715">
        <v>933.59</v>
      </c>
      <c r="Q1715">
        <v>7553.57</v>
      </c>
      <c r="R1715">
        <v>5516.65</v>
      </c>
      <c r="S1715">
        <v>2036.92</v>
      </c>
    </row>
    <row r="1716" spans="1:19" x14ac:dyDescent="0.35">
      <c r="A1716">
        <v>200454</v>
      </c>
      <c r="B1716">
        <v>3712</v>
      </c>
      <c r="C1716" t="s">
        <v>19</v>
      </c>
      <c r="D1716" t="s">
        <v>31</v>
      </c>
      <c r="E1716" t="s">
        <v>21</v>
      </c>
      <c r="F1716" t="s">
        <v>38</v>
      </c>
      <c r="G1716" s="1">
        <v>45407</v>
      </c>
      <c r="H1716" s="1">
        <v>45408</v>
      </c>
      <c r="I1716" s="1">
        <v>45423</v>
      </c>
      <c r="J1716">
        <v>16</v>
      </c>
      <c r="K1716">
        <v>1</v>
      </c>
      <c r="L1716">
        <v>8</v>
      </c>
      <c r="M1716">
        <v>256.87</v>
      </c>
      <c r="N1716">
        <v>2054.96</v>
      </c>
      <c r="O1716">
        <v>0.04</v>
      </c>
      <c r="P1716">
        <v>82.2</v>
      </c>
      <c r="Q1716">
        <v>1972.76</v>
      </c>
      <c r="R1716">
        <v>1335.72</v>
      </c>
      <c r="S1716">
        <v>637.04</v>
      </c>
    </row>
    <row r="1717" spans="1:19" x14ac:dyDescent="0.35">
      <c r="A1717">
        <v>200455</v>
      </c>
      <c r="B1717">
        <v>1492</v>
      </c>
      <c r="C1717" t="s">
        <v>28</v>
      </c>
      <c r="D1717" t="s">
        <v>31</v>
      </c>
      <c r="E1717" t="s">
        <v>34</v>
      </c>
      <c r="F1717" t="s">
        <v>43</v>
      </c>
      <c r="G1717" s="1">
        <v>45650</v>
      </c>
      <c r="H1717" s="1">
        <v>45651</v>
      </c>
      <c r="I1717" s="1">
        <v>45680</v>
      </c>
      <c r="J1717">
        <v>30</v>
      </c>
      <c r="K1717">
        <v>1</v>
      </c>
      <c r="L1717">
        <v>3</v>
      </c>
      <c r="M1717">
        <v>81.31</v>
      </c>
      <c r="N1717">
        <v>243.93</v>
      </c>
      <c r="O1717">
        <v>0.12</v>
      </c>
      <c r="P1717">
        <v>29.27</v>
      </c>
      <c r="Q1717">
        <v>214.66</v>
      </c>
      <c r="R1717">
        <v>134.16</v>
      </c>
      <c r="S1717">
        <v>80.5</v>
      </c>
    </row>
    <row r="1718" spans="1:19" x14ac:dyDescent="0.35">
      <c r="A1718">
        <v>200456</v>
      </c>
      <c r="B1718">
        <v>1176</v>
      </c>
      <c r="C1718" t="s">
        <v>19</v>
      </c>
      <c r="D1718" t="s">
        <v>20</v>
      </c>
      <c r="E1718" t="s">
        <v>26</v>
      </c>
      <c r="F1718" t="s">
        <v>36</v>
      </c>
      <c r="G1718" s="1">
        <v>45516</v>
      </c>
      <c r="H1718" s="1">
        <v>45519</v>
      </c>
      <c r="I1718" s="1">
        <v>45545</v>
      </c>
      <c r="J1718">
        <v>29</v>
      </c>
      <c r="K1718">
        <v>3</v>
      </c>
      <c r="L1718">
        <v>14</v>
      </c>
      <c r="M1718">
        <v>602.61</v>
      </c>
      <c r="N1718">
        <v>8436.5400000000009</v>
      </c>
      <c r="O1718">
        <v>0.02</v>
      </c>
      <c r="P1718">
        <v>168.73</v>
      </c>
      <c r="Q1718">
        <v>8267.81</v>
      </c>
      <c r="R1718">
        <v>4640.1000000000004</v>
      </c>
      <c r="S1718">
        <v>3627.71</v>
      </c>
    </row>
    <row r="1719" spans="1:19" x14ac:dyDescent="0.35">
      <c r="A1719">
        <v>200457</v>
      </c>
      <c r="B1719">
        <v>4063</v>
      </c>
      <c r="C1719" t="s">
        <v>28</v>
      </c>
      <c r="D1719" t="s">
        <v>29</v>
      </c>
      <c r="E1719" t="s">
        <v>24</v>
      </c>
      <c r="F1719" t="s">
        <v>32</v>
      </c>
      <c r="G1719" s="1">
        <v>45349</v>
      </c>
      <c r="H1719" s="1">
        <v>45353</v>
      </c>
      <c r="I1719" s="1">
        <v>45365</v>
      </c>
      <c r="J1719">
        <v>16</v>
      </c>
      <c r="K1719">
        <v>4</v>
      </c>
      <c r="L1719">
        <v>13</v>
      </c>
      <c r="M1719">
        <v>233.94</v>
      </c>
      <c r="N1719">
        <v>3041.22</v>
      </c>
      <c r="O1719">
        <v>0.09</v>
      </c>
      <c r="P1719">
        <v>273.70999999999998</v>
      </c>
      <c r="Q1719">
        <v>2767.51</v>
      </c>
      <c r="R1719">
        <v>1885.56</v>
      </c>
      <c r="S1719">
        <v>881.95</v>
      </c>
    </row>
    <row r="1720" spans="1:19" x14ac:dyDescent="0.35">
      <c r="A1720">
        <v>200458</v>
      </c>
      <c r="B1720">
        <v>3171</v>
      </c>
      <c r="C1720" t="s">
        <v>28</v>
      </c>
      <c r="D1720" t="s">
        <v>20</v>
      </c>
      <c r="E1720" t="s">
        <v>26</v>
      </c>
      <c r="F1720" t="s">
        <v>37</v>
      </c>
      <c r="G1720" s="1">
        <v>45556</v>
      </c>
      <c r="H1720" s="1">
        <v>45561</v>
      </c>
      <c r="I1720" s="1">
        <v>45560</v>
      </c>
      <c r="J1720">
        <v>4</v>
      </c>
      <c r="K1720">
        <v>5</v>
      </c>
      <c r="L1720">
        <v>7</v>
      </c>
      <c r="M1720">
        <v>435.74</v>
      </c>
      <c r="N1720">
        <v>3050.18</v>
      </c>
      <c r="O1720">
        <v>0.2</v>
      </c>
      <c r="P1720">
        <v>610.04</v>
      </c>
      <c r="Q1720">
        <v>2440.14</v>
      </c>
      <c r="R1720">
        <v>1952.12</v>
      </c>
      <c r="S1720">
        <v>488.02</v>
      </c>
    </row>
    <row r="1721" spans="1:19" x14ac:dyDescent="0.35">
      <c r="A1721">
        <v>200459</v>
      </c>
      <c r="B1721">
        <v>3601</v>
      </c>
      <c r="C1721" t="s">
        <v>33</v>
      </c>
      <c r="D1721" t="s">
        <v>20</v>
      </c>
      <c r="E1721" t="s">
        <v>34</v>
      </c>
      <c r="F1721" t="s">
        <v>45</v>
      </c>
      <c r="G1721" s="1">
        <v>45435</v>
      </c>
      <c r="H1721" s="1">
        <v>45440</v>
      </c>
      <c r="I1721" s="1">
        <v>45445</v>
      </c>
      <c r="J1721">
        <v>10</v>
      </c>
      <c r="K1721">
        <v>5</v>
      </c>
      <c r="L1721">
        <v>1</v>
      </c>
      <c r="M1721">
        <v>629.89</v>
      </c>
      <c r="N1721">
        <v>629.89</v>
      </c>
      <c r="O1721">
        <v>0.09</v>
      </c>
      <c r="P1721">
        <v>56.69</v>
      </c>
      <c r="Q1721">
        <v>573.20000000000005</v>
      </c>
      <c r="R1721">
        <v>346.44</v>
      </c>
      <c r="S1721">
        <v>226.76</v>
      </c>
    </row>
    <row r="1722" spans="1:19" x14ac:dyDescent="0.35">
      <c r="A1722">
        <v>200460</v>
      </c>
      <c r="B1722">
        <v>4960</v>
      </c>
      <c r="C1722" t="s">
        <v>28</v>
      </c>
      <c r="D1722" t="s">
        <v>29</v>
      </c>
      <c r="E1722" t="s">
        <v>26</v>
      </c>
      <c r="F1722" t="s">
        <v>44</v>
      </c>
      <c r="G1722" s="1">
        <v>45299</v>
      </c>
      <c r="H1722" s="1">
        <v>45303</v>
      </c>
      <c r="I1722" s="1">
        <v>45320</v>
      </c>
      <c r="J1722">
        <v>21</v>
      </c>
      <c r="K1722">
        <v>4</v>
      </c>
      <c r="L1722">
        <v>12</v>
      </c>
      <c r="M1722">
        <v>293.57</v>
      </c>
      <c r="N1722">
        <v>3522.84</v>
      </c>
      <c r="O1722">
        <v>0.09</v>
      </c>
      <c r="P1722">
        <v>317.06</v>
      </c>
      <c r="Q1722">
        <v>3205.78</v>
      </c>
      <c r="R1722">
        <v>2113.6999999999998</v>
      </c>
      <c r="S1722">
        <v>1092.08</v>
      </c>
    </row>
    <row r="1723" spans="1:19" x14ac:dyDescent="0.35">
      <c r="A1723">
        <v>200461</v>
      </c>
      <c r="B1723">
        <v>2264</v>
      </c>
      <c r="C1723" t="s">
        <v>33</v>
      </c>
      <c r="D1723" t="s">
        <v>29</v>
      </c>
      <c r="E1723" t="s">
        <v>24</v>
      </c>
      <c r="F1723" t="s">
        <v>30</v>
      </c>
      <c r="G1723" s="1">
        <v>45403</v>
      </c>
      <c r="H1723" s="1">
        <v>45404</v>
      </c>
      <c r="I1723" s="1">
        <v>45425</v>
      </c>
      <c r="J1723">
        <v>22</v>
      </c>
      <c r="K1723">
        <v>1</v>
      </c>
      <c r="L1723">
        <v>3</v>
      </c>
      <c r="M1723">
        <v>92.12</v>
      </c>
      <c r="N1723">
        <v>276.36</v>
      </c>
      <c r="O1723">
        <v>0.12</v>
      </c>
      <c r="P1723">
        <v>33.159999999999997</v>
      </c>
      <c r="Q1723">
        <v>243.2</v>
      </c>
      <c r="R1723">
        <v>154.76</v>
      </c>
      <c r="S1723">
        <v>88.44</v>
      </c>
    </row>
    <row r="1724" spans="1:19" x14ac:dyDescent="0.35">
      <c r="A1724">
        <v>200462</v>
      </c>
      <c r="B1724">
        <v>2018</v>
      </c>
      <c r="C1724" t="s">
        <v>23</v>
      </c>
      <c r="D1724" t="s">
        <v>29</v>
      </c>
      <c r="E1724" t="s">
        <v>24</v>
      </c>
      <c r="F1724" t="s">
        <v>32</v>
      </c>
      <c r="G1724" s="1">
        <v>45626</v>
      </c>
      <c r="H1724" s="1">
        <v>45629</v>
      </c>
      <c r="I1724" s="1">
        <v>45656</v>
      </c>
      <c r="J1724">
        <v>30</v>
      </c>
      <c r="K1724">
        <v>3</v>
      </c>
      <c r="L1724">
        <v>1</v>
      </c>
      <c r="M1724">
        <v>619.67999999999995</v>
      </c>
      <c r="N1724">
        <v>619.67999999999995</v>
      </c>
      <c r="O1724">
        <v>0.12</v>
      </c>
      <c r="P1724">
        <v>74.36</v>
      </c>
      <c r="Q1724">
        <v>545.32000000000005</v>
      </c>
      <c r="R1724">
        <v>408.99</v>
      </c>
      <c r="S1724">
        <v>136.33000000000001</v>
      </c>
    </row>
    <row r="1725" spans="1:19" x14ac:dyDescent="0.35">
      <c r="A1725">
        <v>200463</v>
      </c>
      <c r="B1725">
        <v>4002</v>
      </c>
      <c r="C1725" t="s">
        <v>23</v>
      </c>
      <c r="D1725" t="s">
        <v>20</v>
      </c>
      <c r="E1725" t="s">
        <v>34</v>
      </c>
      <c r="F1725" t="s">
        <v>43</v>
      </c>
      <c r="G1725" s="1">
        <v>45444</v>
      </c>
      <c r="H1725" s="1">
        <v>45448</v>
      </c>
      <c r="I1725" s="1">
        <v>45452</v>
      </c>
      <c r="J1725">
        <v>8</v>
      </c>
      <c r="K1725">
        <v>4</v>
      </c>
      <c r="L1725">
        <v>10</v>
      </c>
      <c r="M1725">
        <v>215.02</v>
      </c>
      <c r="N1725">
        <v>2150.1999999999998</v>
      </c>
      <c r="O1725">
        <v>0.17</v>
      </c>
      <c r="P1725">
        <v>365.53</v>
      </c>
      <c r="Q1725">
        <v>1784.67</v>
      </c>
      <c r="R1725">
        <v>1290.1199999999999</v>
      </c>
      <c r="S1725">
        <v>494.55</v>
      </c>
    </row>
    <row r="1726" spans="1:19" x14ac:dyDescent="0.35">
      <c r="A1726">
        <v>200464</v>
      </c>
      <c r="B1726">
        <v>1533</v>
      </c>
      <c r="C1726" t="s">
        <v>23</v>
      </c>
      <c r="D1726" t="s">
        <v>31</v>
      </c>
      <c r="E1726" t="s">
        <v>24</v>
      </c>
      <c r="F1726" t="s">
        <v>42</v>
      </c>
      <c r="G1726" s="1">
        <v>45573</v>
      </c>
      <c r="H1726" s="1">
        <v>45574</v>
      </c>
      <c r="I1726" s="1">
        <v>45599</v>
      </c>
      <c r="J1726">
        <v>26</v>
      </c>
      <c r="K1726">
        <v>1</v>
      </c>
      <c r="L1726">
        <v>6</v>
      </c>
      <c r="M1726">
        <v>173.93</v>
      </c>
      <c r="N1726">
        <v>1043.58</v>
      </c>
      <c r="O1726">
        <v>0.08</v>
      </c>
      <c r="P1726">
        <v>83.49</v>
      </c>
      <c r="Q1726">
        <v>960.09</v>
      </c>
      <c r="R1726">
        <v>720.07</v>
      </c>
      <c r="S1726">
        <v>240.02</v>
      </c>
    </row>
    <row r="1727" spans="1:19" x14ac:dyDescent="0.35">
      <c r="A1727">
        <v>200465</v>
      </c>
      <c r="B1727">
        <v>3334</v>
      </c>
      <c r="C1727" t="s">
        <v>19</v>
      </c>
      <c r="D1727" t="s">
        <v>29</v>
      </c>
      <c r="E1727" t="s">
        <v>34</v>
      </c>
      <c r="F1727" t="s">
        <v>40</v>
      </c>
      <c r="G1727" s="1">
        <v>45539</v>
      </c>
      <c r="H1727" s="1">
        <v>45543</v>
      </c>
      <c r="I1727" s="1">
        <v>45551</v>
      </c>
      <c r="J1727">
        <v>12</v>
      </c>
      <c r="K1727">
        <v>4</v>
      </c>
      <c r="L1727">
        <v>4</v>
      </c>
      <c r="M1727">
        <v>245.32</v>
      </c>
      <c r="N1727">
        <v>981.28</v>
      </c>
      <c r="O1727">
        <v>0.08</v>
      </c>
      <c r="P1727">
        <v>78.5</v>
      </c>
      <c r="Q1727">
        <v>902.78</v>
      </c>
      <c r="R1727">
        <v>716.33</v>
      </c>
      <c r="S1727">
        <v>186.45</v>
      </c>
    </row>
    <row r="1728" spans="1:19" x14ac:dyDescent="0.35">
      <c r="A1728">
        <v>200466</v>
      </c>
      <c r="B1728">
        <v>4569</v>
      </c>
      <c r="C1728" t="s">
        <v>33</v>
      </c>
      <c r="D1728" t="s">
        <v>31</v>
      </c>
      <c r="E1728" t="s">
        <v>26</v>
      </c>
      <c r="F1728" t="s">
        <v>44</v>
      </c>
      <c r="G1728" s="1">
        <v>45356</v>
      </c>
      <c r="H1728" s="1">
        <v>45359</v>
      </c>
      <c r="I1728" s="1">
        <v>45377</v>
      </c>
      <c r="J1728">
        <v>21</v>
      </c>
      <c r="K1728">
        <v>3</v>
      </c>
      <c r="L1728">
        <v>10</v>
      </c>
      <c r="M1728">
        <v>384.65</v>
      </c>
      <c r="N1728">
        <v>3846.5</v>
      </c>
      <c r="O1728">
        <v>7.0000000000000007E-2</v>
      </c>
      <c r="P1728">
        <v>269.26</v>
      </c>
      <c r="Q1728">
        <v>3577.24</v>
      </c>
      <c r="R1728">
        <v>2423.3000000000002</v>
      </c>
      <c r="S1728">
        <v>1153.94</v>
      </c>
    </row>
    <row r="1729" spans="1:19" x14ac:dyDescent="0.35">
      <c r="A1729">
        <v>200467</v>
      </c>
      <c r="B1729">
        <v>4565</v>
      </c>
      <c r="C1729" t="s">
        <v>19</v>
      </c>
      <c r="D1729" t="s">
        <v>20</v>
      </c>
      <c r="E1729" t="s">
        <v>24</v>
      </c>
      <c r="F1729" t="s">
        <v>30</v>
      </c>
      <c r="G1729" s="1">
        <v>45616</v>
      </c>
      <c r="H1729" s="1">
        <v>45617</v>
      </c>
      <c r="I1729" s="1">
        <v>45622</v>
      </c>
      <c r="J1729">
        <v>6</v>
      </c>
      <c r="K1729">
        <v>1</v>
      </c>
      <c r="L1729">
        <v>8</v>
      </c>
      <c r="M1729">
        <v>201.08</v>
      </c>
      <c r="N1729">
        <v>1608.64</v>
      </c>
      <c r="O1729">
        <v>0.06</v>
      </c>
      <c r="P1729">
        <v>96.52</v>
      </c>
      <c r="Q1729">
        <v>1512.12</v>
      </c>
      <c r="R1729">
        <v>1093.8800000000001</v>
      </c>
      <c r="S1729">
        <v>418.24</v>
      </c>
    </row>
    <row r="1730" spans="1:19" x14ac:dyDescent="0.35">
      <c r="A1730">
        <v>200468</v>
      </c>
      <c r="B1730">
        <v>1744</v>
      </c>
      <c r="C1730" t="s">
        <v>33</v>
      </c>
      <c r="D1730" t="s">
        <v>20</v>
      </c>
      <c r="E1730" t="s">
        <v>34</v>
      </c>
      <c r="F1730" t="s">
        <v>40</v>
      </c>
      <c r="G1730" s="1">
        <v>45464</v>
      </c>
      <c r="H1730" s="1">
        <v>45468</v>
      </c>
      <c r="I1730" s="1">
        <v>45469</v>
      </c>
      <c r="J1730">
        <v>5</v>
      </c>
      <c r="K1730">
        <v>4</v>
      </c>
      <c r="L1730">
        <v>4</v>
      </c>
      <c r="M1730">
        <v>91.26</v>
      </c>
      <c r="N1730">
        <v>365.04</v>
      </c>
      <c r="O1730">
        <v>7.0000000000000007E-2</v>
      </c>
      <c r="P1730">
        <v>25.55</v>
      </c>
      <c r="Q1730">
        <v>339.49</v>
      </c>
      <c r="R1730">
        <v>229.98</v>
      </c>
      <c r="S1730">
        <v>109.51</v>
      </c>
    </row>
    <row r="1731" spans="1:19" x14ac:dyDescent="0.35">
      <c r="A1731">
        <v>200469</v>
      </c>
      <c r="B1731">
        <v>1194</v>
      </c>
      <c r="C1731" t="s">
        <v>33</v>
      </c>
      <c r="D1731" t="s">
        <v>31</v>
      </c>
      <c r="E1731" t="s">
        <v>21</v>
      </c>
      <c r="F1731" t="s">
        <v>41</v>
      </c>
      <c r="G1731" s="1">
        <v>45419</v>
      </c>
      <c r="H1731" s="1">
        <v>45423</v>
      </c>
      <c r="I1731" s="1">
        <v>45429</v>
      </c>
      <c r="J1731">
        <v>10</v>
      </c>
      <c r="K1731">
        <v>4</v>
      </c>
      <c r="L1731">
        <v>9</v>
      </c>
      <c r="M1731">
        <v>370.54</v>
      </c>
      <c r="N1731">
        <v>3334.86</v>
      </c>
      <c r="O1731">
        <v>0.03</v>
      </c>
      <c r="P1731">
        <v>100.05</v>
      </c>
      <c r="Q1731">
        <v>3234.81</v>
      </c>
      <c r="R1731">
        <v>2201.0100000000002</v>
      </c>
      <c r="S1731">
        <v>1033.8</v>
      </c>
    </row>
    <row r="1732" spans="1:19" x14ac:dyDescent="0.35">
      <c r="A1732">
        <v>200470</v>
      </c>
      <c r="B1732">
        <v>3653</v>
      </c>
      <c r="C1732" t="s">
        <v>28</v>
      </c>
      <c r="D1732" t="s">
        <v>20</v>
      </c>
      <c r="E1732" t="s">
        <v>21</v>
      </c>
      <c r="F1732" t="s">
        <v>39</v>
      </c>
      <c r="G1732" s="1">
        <v>45549</v>
      </c>
      <c r="H1732" s="1">
        <v>45551</v>
      </c>
      <c r="I1732" s="1">
        <v>45553</v>
      </c>
      <c r="J1732">
        <v>4</v>
      </c>
      <c r="K1732">
        <v>2</v>
      </c>
      <c r="L1732">
        <v>9</v>
      </c>
      <c r="M1732">
        <v>363.7</v>
      </c>
      <c r="N1732">
        <v>3273.3</v>
      </c>
      <c r="O1732">
        <v>0.09</v>
      </c>
      <c r="P1732">
        <v>294.60000000000002</v>
      </c>
      <c r="Q1732">
        <v>2978.7</v>
      </c>
      <c r="R1732">
        <v>2127.64</v>
      </c>
      <c r="S1732">
        <v>851.06</v>
      </c>
    </row>
    <row r="1733" spans="1:19" x14ac:dyDescent="0.35">
      <c r="A1733">
        <v>200471</v>
      </c>
      <c r="B1733">
        <v>1540</v>
      </c>
      <c r="C1733" t="s">
        <v>33</v>
      </c>
      <c r="D1733" t="s">
        <v>20</v>
      </c>
      <c r="E1733" t="s">
        <v>26</v>
      </c>
      <c r="F1733" t="s">
        <v>27</v>
      </c>
      <c r="G1733" s="1">
        <v>45400</v>
      </c>
      <c r="H1733" s="1">
        <v>45404</v>
      </c>
      <c r="I1733" s="1">
        <v>45424</v>
      </c>
      <c r="J1733">
        <v>24</v>
      </c>
      <c r="K1733">
        <v>4</v>
      </c>
      <c r="L1733">
        <v>5</v>
      </c>
      <c r="M1733">
        <v>64.739999999999995</v>
      </c>
      <c r="N1733">
        <v>323.7</v>
      </c>
      <c r="O1733">
        <v>0.13</v>
      </c>
      <c r="P1733">
        <v>42.08</v>
      </c>
      <c r="Q1733">
        <v>281.62</v>
      </c>
      <c r="R1733">
        <v>197.46</v>
      </c>
      <c r="S1733">
        <v>84.16</v>
      </c>
    </row>
    <row r="1734" spans="1:19" x14ac:dyDescent="0.35">
      <c r="A1734">
        <v>200472</v>
      </c>
      <c r="B1734">
        <v>3852</v>
      </c>
      <c r="C1734" t="s">
        <v>28</v>
      </c>
      <c r="D1734" t="s">
        <v>20</v>
      </c>
      <c r="E1734" t="s">
        <v>26</v>
      </c>
      <c r="F1734" t="s">
        <v>37</v>
      </c>
      <c r="G1734" s="1">
        <v>45340</v>
      </c>
      <c r="H1734" s="1">
        <v>45343</v>
      </c>
      <c r="I1734" s="1">
        <v>45366</v>
      </c>
      <c r="J1734">
        <v>26</v>
      </c>
      <c r="K1734">
        <v>3</v>
      </c>
      <c r="L1734">
        <v>10</v>
      </c>
      <c r="M1734">
        <v>235.76</v>
      </c>
      <c r="N1734">
        <v>2357.6</v>
      </c>
      <c r="O1734">
        <v>0.23</v>
      </c>
      <c r="P1734">
        <v>542.25</v>
      </c>
      <c r="Q1734">
        <v>1815.35</v>
      </c>
      <c r="R1734">
        <v>1343.83</v>
      </c>
      <c r="S1734">
        <v>471.52</v>
      </c>
    </row>
    <row r="1735" spans="1:19" x14ac:dyDescent="0.35">
      <c r="A1735">
        <v>200473</v>
      </c>
      <c r="B1735">
        <v>2957</v>
      </c>
      <c r="C1735" t="s">
        <v>23</v>
      </c>
      <c r="D1735" t="s">
        <v>20</v>
      </c>
      <c r="E1735" t="s">
        <v>34</v>
      </c>
      <c r="F1735" t="s">
        <v>43</v>
      </c>
      <c r="G1735" s="1">
        <v>45518</v>
      </c>
      <c r="H1735" s="1">
        <v>45523</v>
      </c>
      <c r="I1735" s="1">
        <v>45546</v>
      </c>
      <c r="J1735">
        <v>28</v>
      </c>
      <c r="K1735">
        <v>5</v>
      </c>
      <c r="L1735">
        <v>8</v>
      </c>
      <c r="M1735">
        <v>455.89</v>
      </c>
      <c r="N1735">
        <v>3647.12</v>
      </c>
      <c r="O1735">
        <v>0.22</v>
      </c>
      <c r="P1735">
        <v>802.37</v>
      </c>
      <c r="Q1735">
        <v>2844.75</v>
      </c>
      <c r="R1735">
        <v>2224.7399999999998</v>
      </c>
      <c r="S1735">
        <v>620.01</v>
      </c>
    </row>
    <row r="1736" spans="1:19" x14ac:dyDescent="0.35">
      <c r="A1736">
        <v>200474</v>
      </c>
      <c r="B1736">
        <v>3159</v>
      </c>
      <c r="C1736" t="s">
        <v>23</v>
      </c>
      <c r="D1736" t="s">
        <v>29</v>
      </c>
      <c r="E1736" t="s">
        <v>21</v>
      </c>
      <c r="F1736" t="s">
        <v>22</v>
      </c>
      <c r="G1736" s="1">
        <v>45637</v>
      </c>
      <c r="H1736" s="1">
        <v>45641</v>
      </c>
      <c r="I1736" s="1">
        <v>45655</v>
      </c>
      <c r="J1736">
        <v>18</v>
      </c>
      <c r="K1736">
        <v>4</v>
      </c>
      <c r="L1736">
        <v>4</v>
      </c>
      <c r="M1736">
        <v>450.51</v>
      </c>
      <c r="N1736">
        <v>1802.04</v>
      </c>
      <c r="O1736">
        <v>0.11</v>
      </c>
      <c r="P1736">
        <v>198.22</v>
      </c>
      <c r="Q1736">
        <v>1603.82</v>
      </c>
      <c r="R1736">
        <v>1243.4100000000001</v>
      </c>
      <c r="S1736">
        <v>360.41</v>
      </c>
    </row>
    <row r="1737" spans="1:19" x14ac:dyDescent="0.35">
      <c r="A1737">
        <v>200475</v>
      </c>
      <c r="B1737">
        <v>4336</v>
      </c>
      <c r="C1737" t="s">
        <v>23</v>
      </c>
      <c r="D1737" t="s">
        <v>31</v>
      </c>
      <c r="E1737" t="s">
        <v>26</v>
      </c>
      <c r="F1737" t="s">
        <v>36</v>
      </c>
      <c r="G1737" s="1">
        <v>45496</v>
      </c>
      <c r="H1737" s="1">
        <v>45498</v>
      </c>
      <c r="I1737" s="1">
        <v>45503</v>
      </c>
      <c r="J1737">
        <v>7</v>
      </c>
      <c r="K1737">
        <v>2</v>
      </c>
      <c r="L1737">
        <v>10</v>
      </c>
      <c r="M1737">
        <v>394.48</v>
      </c>
      <c r="N1737">
        <v>3944.8</v>
      </c>
      <c r="O1737">
        <v>0.11</v>
      </c>
      <c r="P1737">
        <v>433.93</v>
      </c>
      <c r="Q1737">
        <v>3510.87</v>
      </c>
      <c r="R1737">
        <v>2406.33</v>
      </c>
      <c r="S1737">
        <v>1104.54</v>
      </c>
    </row>
    <row r="1738" spans="1:19" x14ac:dyDescent="0.35">
      <c r="A1738">
        <v>200476</v>
      </c>
      <c r="B1738">
        <v>1433</v>
      </c>
      <c r="C1738" t="s">
        <v>28</v>
      </c>
      <c r="D1738" t="s">
        <v>20</v>
      </c>
      <c r="E1738" t="s">
        <v>34</v>
      </c>
      <c r="F1738" t="s">
        <v>45</v>
      </c>
      <c r="G1738" s="1">
        <v>45641</v>
      </c>
      <c r="H1738" s="1">
        <v>45645</v>
      </c>
      <c r="I1738" s="1">
        <v>45659</v>
      </c>
      <c r="J1738">
        <v>18</v>
      </c>
      <c r="K1738">
        <v>4</v>
      </c>
      <c r="L1738">
        <v>5</v>
      </c>
      <c r="M1738">
        <v>370.78</v>
      </c>
      <c r="N1738">
        <v>1853.9</v>
      </c>
      <c r="O1738">
        <v>0.06</v>
      </c>
      <c r="P1738">
        <v>111.23</v>
      </c>
      <c r="Q1738">
        <v>1742.67</v>
      </c>
      <c r="R1738">
        <v>1112.3399999999999</v>
      </c>
      <c r="S1738">
        <v>630.33000000000004</v>
      </c>
    </row>
    <row r="1739" spans="1:19" x14ac:dyDescent="0.35">
      <c r="A1739">
        <v>200477</v>
      </c>
      <c r="B1739">
        <v>2796</v>
      </c>
      <c r="C1739" t="s">
        <v>28</v>
      </c>
      <c r="D1739" t="s">
        <v>29</v>
      </c>
      <c r="E1739" t="s">
        <v>21</v>
      </c>
      <c r="F1739" t="s">
        <v>22</v>
      </c>
      <c r="G1739" s="1">
        <v>45597</v>
      </c>
      <c r="H1739" s="1">
        <v>45598</v>
      </c>
      <c r="I1739" s="1">
        <v>45601</v>
      </c>
      <c r="J1739">
        <v>4</v>
      </c>
      <c r="K1739">
        <v>1</v>
      </c>
      <c r="L1739">
        <v>2</v>
      </c>
      <c r="M1739">
        <v>469.53</v>
      </c>
      <c r="N1739">
        <v>939.06</v>
      </c>
      <c r="O1739">
        <v>0.16</v>
      </c>
      <c r="P1739">
        <v>150.25</v>
      </c>
      <c r="Q1739">
        <v>788.81</v>
      </c>
      <c r="R1739">
        <v>601</v>
      </c>
      <c r="S1739">
        <v>187.81</v>
      </c>
    </row>
    <row r="1740" spans="1:19" x14ac:dyDescent="0.35">
      <c r="A1740">
        <v>200478</v>
      </c>
      <c r="B1740">
        <v>4369</v>
      </c>
      <c r="C1740" t="s">
        <v>28</v>
      </c>
      <c r="D1740" t="s">
        <v>20</v>
      </c>
      <c r="E1740" t="s">
        <v>24</v>
      </c>
      <c r="F1740" t="s">
        <v>32</v>
      </c>
      <c r="G1740" s="1">
        <v>45441</v>
      </c>
      <c r="H1740" s="1">
        <v>45444</v>
      </c>
      <c r="I1740" s="1">
        <v>45447</v>
      </c>
      <c r="J1740">
        <v>6</v>
      </c>
      <c r="K1740">
        <v>3</v>
      </c>
      <c r="L1740">
        <v>5</v>
      </c>
      <c r="M1740">
        <v>682.37</v>
      </c>
      <c r="N1740">
        <v>3411.85</v>
      </c>
      <c r="O1740">
        <v>0.12</v>
      </c>
      <c r="P1740">
        <v>409.42</v>
      </c>
      <c r="Q1740">
        <v>3002.43</v>
      </c>
      <c r="R1740">
        <v>2456.5300000000002</v>
      </c>
      <c r="S1740">
        <v>545.9</v>
      </c>
    </row>
    <row r="1741" spans="1:19" x14ac:dyDescent="0.35">
      <c r="A1741">
        <v>200479</v>
      </c>
      <c r="B1741">
        <v>4948</v>
      </c>
      <c r="C1741" t="s">
        <v>19</v>
      </c>
      <c r="D1741" t="s">
        <v>29</v>
      </c>
      <c r="E1741" t="s">
        <v>24</v>
      </c>
      <c r="F1741" t="s">
        <v>30</v>
      </c>
      <c r="G1741" s="1">
        <v>45409</v>
      </c>
      <c r="H1741" s="1">
        <v>45412</v>
      </c>
      <c r="I1741" s="1">
        <v>45422</v>
      </c>
      <c r="J1741">
        <v>13</v>
      </c>
      <c r="K1741">
        <v>3</v>
      </c>
      <c r="L1741">
        <v>7</v>
      </c>
      <c r="M1741">
        <v>745.67</v>
      </c>
      <c r="N1741">
        <v>5219.6899999999996</v>
      </c>
      <c r="O1741">
        <v>0.18</v>
      </c>
      <c r="P1741">
        <v>939.54</v>
      </c>
      <c r="Q1741">
        <v>4280.1499999999996</v>
      </c>
      <c r="R1741">
        <v>3445</v>
      </c>
      <c r="S1741">
        <v>835.15</v>
      </c>
    </row>
    <row r="1742" spans="1:19" x14ac:dyDescent="0.35">
      <c r="A1742">
        <v>200480</v>
      </c>
      <c r="B1742">
        <v>2374</v>
      </c>
      <c r="C1742" t="s">
        <v>19</v>
      </c>
      <c r="D1742" t="s">
        <v>20</v>
      </c>
      <c r="E1742" t="s">
        <v>24</v>
      </c>
      <c r="F1742" t="s">
        <v>32</v>
      </c>
      <c r="G1742" s="1">
        <v>45518</v>
      </c>
      <c r="H1742" s="1">
        <v>45521</v>
      </c>
      <c r="I1742" s="1">
        <v>45527</v>
      </c>
      <c r="J1742">
        <v>9</v>
      </c>
      <c r="K1742">
        <v>3</v>
      </c>
      <c r="L1742">
        <v>14</v>
      </c>
      <c r="M1742">
        <v>89.33</v>
      </c>
      <c r="N1742">
        <v>1250.6199999999999</v>
      </c>
      <c r="O1742">
        <v>0.11</v>
      </c>
      <c r="P1742">
        <v>137.57</v>
      </c>
      <c r="Q1742">
        <v>1113.05</v>
      </c>
      <c r="R1742">
        <v>675.33</v>
      </c>
      <c r="S1742">
        <v>437.72</v>
      </c>
    </row>
    <row r="1743" spans="1:19" x14ac:dyDescent="0.35">
      <c r="A1743">
        <v>200481</v>
      </c>
      <c r="B1743">
        <v>4257</v>
      </c>
      <c r="C1743" t="s">
        <v>28</v>
      </c>
      <c r="D1743" t="s">
        <v>31</v>
      </c>
      <c r="E1743" t="s">
        <v>26</v>
      </c>
      <c r="F1743" t="s">
        <v>27</v>
      </c>
      <c r="G1743" s="1">
        <v>45513</v>
      </c>
      <c r="H1743" s="1">
        <v>45517</v>
      </c>
      <c r="I1743" s="1">
        <v>45533</v>
      </c>
      <c r="J1743">
        <v>20</v>
      </c>
      <c r="K1743">
        <v>4</v>
      </c>
      <c r="L1743">
        <v>1</v>
      </c>
      <c r="M1743">
        <v>519.13</v>
      </c>
      <c r="N1743">
        <v>519.13</v>
      </c>
      <c r="O1743">
        <v>7.0000000000000007E-2</v>
      </c>
      <c r="P1743">
        <v>36.340000000000003</v>
      </c>
      <c r="Q1743">
        <v>482.79</v>
      </c>
      <c r="R1743">
        <v>316.67</v>
      </c>
      <c r="S1743">
        <v>166.12</v>
      </c>
    </row>
    <row r="1744" spans="1:19" x14ac:dyDescent="0.35">
      <c r="A1744">
        <v>200482</v>
      </c>
      <c r="B1744">
        <v>3048</v>
      </c>
      <c r="C1744" t="s">
        <v>23</v>
      </c>
      <c r="D1744" t="s">
        <v>31</v>
      </c>
      <c r="E1744" t="s">
        <v>24</v>
      </c>
      <c r="F1744" t="s">
        <v>25</v>
      </c>
      <c r="G1744" s="1">
        <v>45339</v>
      </c>
      <c r="H1744" s="1">
        <v>45344</v>
      </c>
      <c r="I1744" s="1">
        <v>45359</v>
      </c>
      <c r="J1744">
        <v>20</v>
      </c>
      <c r="K1744">
        <v>5</v>
      </c>
      <c r="L1744">
        <v>5</v>
      </c>
      <c r="M1744">
        <v>537.58000000000004</v>
      </c>
      <c r="N1744">
        <v>2687.9</v>
      </c>
      <c r="O1744">
        <v>0.09</v>
      </c>
      <c r="P1744">
        <v>241.91</v>
      </c>
      <c r="Q1744">
        <v>2445.9899999999998</v>
      </c>
      <c r="R1744">
        <v>1774.01</v>
      </c>
      <c r="S1744">
        <v>671.98</v>
      </c>
    </row>
    <row r="1745" spans="1:19" x14ac:dyDescent="0.35">
      <c r="A1745">
        <v>200483</v>
      </c>
      <c r="B1745">
        <v>4306</v>
      </c>
      <c r="C1745" t="s">
        <v>33</v>
      </c>
      <c r="D1745" t="s">
        <v>31</v>
      </c>
      <c r="E1745" t="s">
        <v>34</v>
      </c>
      <c r="F1745" t="s">
        <v>35</v>
      </c>
      <c r="G1745" s="1">
        <v>45306</v>
      </c>
      <c r="H1745" s="1">
        <v>45310</v>
      </c>
      <c r="I1745" s="1">
        <v>45333</v>
      </c>
      <c r="J1745">
        <v>27</v>
      </c>
      <c r="K1745">
        <v>4</v>
      </c>
      <c r="L1745">
        <v>7</v>
      </c>
      <c r="M1745">
        <v>778.26</v>
      </c>
      <c r="N1745">
        <v>5447.82</v>
      </c>
      <c r="O1745">
        <v>0.13</v>
      </c>
      <c r="P1745">
        <v>708.22</v>
      </c>
      <c r="Q1745">
        <v>4739.6000000000004</v>
      </c>
      <c r="R1745">
        <v>2941.82</v>
      </c>
      <c r="S1745">
        <v>1797.78</v>
      </c>
    </row>
    <row r="1746" spans="1:19" x14ac:dyDescent="0.35">
      <c r="A1746">
        <v>200484</v>
      </c>
      <c r="B1746">
        <v>1707</v>
      </c>
      <c r="C1746" t="s">
        <v>28</v>
      </c>
      <c r="D1746" t="s">
        <v>20</v>
      </c>
      <c r="E1746" t="s">
        <v>21</v>
      </c>
      <c r="F1746" t="s">
        <v>22</v>
      </c>
      <c r="G1746" s="1">
        <v>45504</v>
      </c>
      <c r="H1746" s="1">
        <v>45505</v>
      </c>
      <c r="I1746" s="1">
        <v>45517</v>
      </c>
      <c r="J1746">
        <v>13</v>
      </c>
      <c r="K1746">
        <v>1</v>
      </c>
      <c r="L1746">
        <v>6</v>
      </c>
      <c r="M1746">
        <v>255.76</v>
      </c>
      <c r="N1746">
        <v>1534.56</v>
      </c>
      <c r="O1746">
        <v>0.05</v>
      </c>
      <c r="P1746">
        <v>76.73</v>
      </c>
      <c r="Q1746">
        <v>1457.83</v>
      </c>
      <c r="R1746">
        <v>1043.5</v>
      </c>
      <c r="S1746">
        <v>414.33</v>
      </c>
    </row>
    <row r="1747" spans="1:19" x14ac:dyDescent="0.35">
      <c r="A1747">
        <v>200485</v>
      </c>
      <c r="B1747">
        <v>1312</v>
      </c>
      <c r="C1747" t="s">
        <v>19</v>
      </c>
      <c r="D1747" t="s">
        <v>20</v>
      </c>
      <c r="E1747" t="s">
        <v>24</v>
      </c>
      <c r="F1747" t="s">
        <v>30</v>
      </c>
      <c r="G1747" s="1">
        <v>45404</v>
      </c>
      <c r="H1747" s="1">
        <v>45405</v>
      </c>
      <c r="I1747" s="1">
        <v>45423</v>
      </c>
      <c r="J1747">
        <v>19</v>
      </c>
      <c r="K1747">
        <v>1</v>
      </c>
      <c r="L1747">
        <v>8</v>
      </c>
      <c r="M1747">
        <v>694.58</v>
      </c>
      <c r="N1747">
        <v>5556.64</v>
      </c>
      <c r="O1747">
        <v>0.12</v>
      </c>
      <c r="P1747">
        <v>666.8</v>
      </c>
      <c r="Q1747">
        <v>4889.84</v>
      </c>
      <c r="R1747">
        <v>3389.55</v>
      </c>
      <c r="S1747">
        <v>1500.29</v>
      </c>
    </row>
    <row r="1748" spans="1:19" x14ac:dyDescent="0.35">
      <c r="A1748">
        <v>200486</v>
      </c>
      <c r="B1748">
        <v>3873</v>
      </c>
      <c r="C1748" t="s">
        <v>28</v>
      </c>
      <c r="D1748" t="s">
        <v>20</v>
      </c>
      <c r="E1748" t="s">
        <v>21</v>
      </c>
      <c r="F1748" t="s">
        <v>38</v>
      </c>
      <c r="G1748" s="1">
        <v>45561</v>
      </c>
      <c r="H1748" s="1">
        <v>45563</v>
      </c>
      <c r="I1748" s="1">
        <v>45584</v>
      </c>
      <c r="J1748">
        <v>23</v>
      </c>
      <c r="K1748">
        <v>2</v>
      </c>
      <c r="L1748">
        <v>6</v>
      </c>
      <c r="M1748">
        <v>349.16</v>
      </c>
      <c r="N1748">
        <v>2094.96</v>
      </c>
      <c r="O1748">
        <v>0.11</v>
      </c>
      <c r="P1748">
        <v>230.45</v>
      </c>
      <c r="Q1748">
        <v>1864.51</v>
      </c>
      <c r="R1748">
        <v>1298.8800000000001</v>
      </c>
      <c r="S1748">
        <v>565.63</v>
      </c>
    </row>
    <row r="1749" spans="1:19" x14ac:dyDescent="0.35">
      <c r="A1749">
        <v>200487</v>
      </c>
      <c r="B1749">
        <v>1672</v>
      </c>
      <c r="C1749" t="s">
        <v>28</v>
      </c>
      <c r="D1749" t="s">
        <v>29</v>
      </c>
      <c r="E1749" t="s">
        <v>26</v>
      </c>
      <c r="F1749" t="s">
        <v>44</v>
      </c>
      <c r="G1749" s="1">
        <v>45546</v>
      </c>
      <c r="H1749" s="1">
        <v>45549</v>
      </c>
      <c r="I1749" s="1">
        <v>45551</v>
      </c>
      <c r="J1749">
        <v>5</v>
      </c>
      <c r="K1749">
        <v>3</v>
      </c>
      <c r="L1749">
        <v>3</v>
      </c>
      <c r="M1749">
        <v>146.01</v>
      </c>
      <c r="N1749">
        <v>438.03</v>
      </c>
      <c r="O1749">
        <v>0.13</v>
      </c>
      <c r="P1749">
        <v>56.94</v>
      </c>
      <c r="Q1749">
        <v>381.09</v>
      </c>
      <c r="R1749">
        <v>271.58</v>
      </c>
      <c r="S1749">
        <v>109.51</v>
      </c>
    </row>
    <row r="1750" spans="1:19" x14ac:dyDescent="0.35">
      <c r="A1750">
        <v>200488</v>
      </c>
      <c r="B1750">
        <v>2129</v>
      </c>
      <c r="C1750" t="s">
        <v>28</v>
      </c>
      <c r="D1750" t="s">
        <v>31</v>
      </c>
      <c r="E1750" t="s">
        <v>21</v>
      </c>
      <c r="F1750" t="s">
        <v>22</v>
      </c>
      <c r="G1750" s="1">
        <v>45403</v>
      </c>
      <c r="H1750" s="1">
        <v>45407</v>
      </c>
      <c r="I1750" s="1">
        <v>45411</v>
      </c>
      <c r="J1750">
        <v>8</v>
      </c>
      <c r="K1750">
        <v>4</v>
      </c>
      <c r="L1750">
        <v>14</v>
      </c>
      <c r="M1750">
        <v>376.56</v>
      </c>
      <c r="N1750">
        <v>5271.84</v>
      </c>
      <c r="O1750">
        <v>0.08</v>
      </c>
      <c r="P1750">
        <v>421.75</v>
      </c>
      <c r="Q1750">
        <v>4850.09</v>
      </c>
      <c r="R1750">
        <v>3373.98</v>
      </c>
      <c r="S1750">
        <v>1476.11</v>
      </c>
    </row>
    <row r="1751" spans="1:19" x14ac:dyDescent="0.35">
      <c r="A1751">
        <v>200489</v>
      </c>
      <c r="B1751">
        <v>2916</v>
      </c>
      <c r="C1751" t="s">
        <v>19</v>
      </c>
      <c r="D1751" t="s">
        <v>29</v>
      </c>
      <c r="E1751" t="s">
        <v>34</v>
      </c>
      <c r="F1751" t="s">
        <v>35</v>
      </c>
      <c r="G1751" s="1">
        <v>45639</v>
      </c>
      <c r="H1751" s="1">
        <v>45641</v>
      </c>
      <c r="I1751" s="1">
        <v>45657</v>
      </c>
      <c r="J1751">
        <v>18</v>
      </c>
      <c r="K1751">
        <v>2</v>
      </c>
      <c r="L1751">
        <v>12</v>
      </c>
      <c r="M1751">
        <v>673.23</v>
      </c>
      <c r="N1751">
        <v>8078.76</v>
      </c>
      <c r="O1751">
        <v>0.12</v>
      </c>
      <c r="P1751">
        <v>969.45</v>
      </c>
      <c r="Q1751">
        <v>7109.31</v>
      </c>
      <c r="R1751">
        <v>5655.13</v>
      </c>
      <c r="S1751">
        <v>1454.18</v>
      </c>
    </row>
    <row r="1752" spans="1:19" x14ac:dyDescent="0.35">
      <c r="A1752">
        <v>200490</v>
      </c>
      <c r="B1752">
        <v>1026</v>
      </c>
      <c r="C1752" t="s">
        <v>23</v>
      </c>
      <c r="D1752" t="s">
        <v>29</v>
      </c>
      <c r="E1752" t="s">
        <v>24</v>
      </c>
      <c r="F1752" t="s">
        <v>42</v>
      </c>
      <c r="G1752" s="1">
        <v>45441</v>
      </c>
      <c r="H1752" s="1">
        <v>45443</v>
      </c>
      <c r="I1752" s="1">
        <v>45446</v>
      </c>
      <c r="J1752">
        <v>5</v>
      </c>
      <c r="K1752">
        <v>2</v>
      </c>
      <c r="L1752">
        <v>8</v>
      </c>
      <c r="M1752">
        <v>420.13</v>
      </c>
      <c r="N1752">
        <v>3361.04</v>
      </c>
      <c r="O1752">
        <v>0.08</v>
      </c>
      <c r="P1752">
        <v>268.88</v>
      </c>
      <c r="Q1752">
        <v>3092.16</v>
      </c>
      <c r="R1752">
        <v>1848.57</v>
      </c>
      <c r="S1752">
        <v>1243.5899999999999</v>
      </c>
    </row>
    <row r="1753" spans="1:19" x14ac:dyDescent="0.35">
      <c r="A1753">
        <v>200491</v>
      </c>
      <c r="B1753">
        <v>1246</v>
      </c>
      <c r="C1753" t="s">
        <v>28</v>
      </c>
      <c r="D1753" t="s">
        <v>31</v>
      </c>
      <c r="E1753" t="s">
        <v>34</v>
      </c>
      <c r="F1753" t="s">
        <v>35</v>
      </c>
      <c r="G1753" s="1">
        <v>45651</v>
      </c>
      <c r="H1753" s="1">
        <v>45655</v>
      </c>
      <c r="I1753" s="1">
        <v>45653</v>
      </c>
      <c r="J1753">
        <v>2</v>
      </c>
      <c r="K1753">
        <v>4</v>
      </c>
      <c r="L1753">
        <v>6</v>
      </c>
      <c r="M1753">
        <v>243.98</v>
      </c>
      <c r="N1753">
        <v>1463.88</v>
      </c>
      <c r="O1753">
        <v>0.15</v>
      </c>
      <c r="P1753">
        <v>219.58</v>
      </c>
      <c r="Q1753">
        <v>1244.3</v>
      </c>
      <c r="R1753">
        <v>907.61</v>
      </c>
      <c r="S1753">
        <v>336.69</v>
      </c>
    </row>
    <row r="1754" spans="1:19" x14ac:dyDescent="0.35">
      <c r="A1754">
        <v>200492</v>
      </c>
      <c r="B1754">
        <v>2631</v>
      </c>
      <c r="C1754" t="s">
        <v>19</v>
      </c>
      <c r="D1754" t="s">
        <v>31</v>
      </c>
      <c r="E1754" t="s">
        <v>24</v>
      </c>
      <c r="F1754" t="s">
        <v>32</v>
      </c>
      <c r="G1754" s="1">
        <v>45417</v>
      </c>
      <c r="H1754" s="1">
        <v>45418</v>
      </c>
      <c r="I1754" s="1">
        <v>45447</v>
      </c>
      <c r="J1754">
        <v>30</v>
      </c>
      <c r="K1754">
        <v>1</v>
      </c>
      <c r="L1754">
        <v>7</v>
      </c>
      <c r="M1754">
        <v>686.02</v>
      </c>
      <c r="N1754">
        <v>4802.1400000000003</v>
      </c>
      <c r="O1754">
        <v>0.1</v>
      </c>
      <c r="P1754">
        <v>480.21</v>
      </c>
      <c r="Q1754">
        <v>4321.93</v>
      </c>
      <c r="R1754">
        <v>3505.56</v>
      </c>
      <c r="S1754">
        <v>816.37</v>
      </c>
    </row>
    <row r="1755" spans="1:19" x14ac:dyDescent="0.35">
      <c r="A1755">
        <v>200493</v>
      </c>
      <c r="B1755">
        <v>2126</v>
      </c>
      <c r="C1755" t="s">
        <v>28</v>
      </c>
      <c r="D1755" t="s">
        <v>31</v>
      </c>
      <c r="E1755" t="s">
        <v>24</v>
      </c>
      <c r="F1755" t="s">
        <v>42</v>
      </c>
      <c r="G1755" s="1">
        <v>45495</v>
      </c>
      <c r="H1755" s="1">
        <v>45496</v>
      </c>
      <c r="I1755" s="1">
        <v>45525</v>
      </c>
      <c r="J1755">
        <v>30</v>
      </c>
      <c r="K1755">
        <v>1</v>
      </c>
      <c r="L1755">
        <v>8</v>
      </c>
      <c r="M1755">
        <v>512.36</v>
      </c>
      <c r="N1755">
        <v>4098.88</v>
      </c>
      <c r="O1755">
        <v>0.1</v>
      </c>
      <c r="P1755">
        <v>409.89</v>
      </c>
      <c r="Q1755">
        <v>3688.99</v>
      </c>
      <c r="R1755">
        <v>3156.14</v>
      </c>
      <c r="S1755">
        <v>532.85</v>
      </c>
    </row>
    <row r="1756" spans="1:19" x14ac:dyDescent="0.35">
      <c r="A1756">
        <v>200494</v>
      </c>
      <c r="B1756">
        <v>4272</v>
      </c>
      <c r="C1756" t="s">
        <v>33</v>
      </c>
      <c r="D1756" t="s">
        <v>29</v>
      </c>
      <c r="E1756" t="s">
        <v>26</v>
      </c>
      <c r="F1756" t="s">
        <v>36</v>
      </c>
      <c r="G1756" s="1">
        <v>45593</v>
      </c>
      <c r="H1756" s="1">
        <v>45594</v>
      </c>
      <c r="I1756" s="1">
        <v>45604</v>
      </c>
      <c r="J1756">
        <v>11</v>
      </c>
      <c r="K1756">
        <v>1</v>
      </c>
      <c r="L1756">
        <v>1</v>
      </c>
      <c r="M1756">
        <v>520.47</v>
      </c>
      <c r="N1756">
        <v>520.47</v>
      </c>
      <c r="O1756">
        <v>0.03</v>
      </c>
      <c r="P1756">
        <v>15.61</v>
      </c>
      <c r="Q1756">
        <v>504.86</v>
      </c>
      <c r="R1756">
        <v>296.67</v>
      </c>
      <c r="S1756">
        <v>208.19</v>
      </c>
    </row>
    <row r="1757" spans="1:19" x14ac:dyDescent="0.35">
      <c r="A1757">
        <v>200495</v>
      </c>
      <c r="B1757">
        <v>2624</v>
      </c>
      <c r="C1757" t="s">
        <v>23</v>
      </c>
      <c r="D1757" t="s">
        <v>31</v>
      </c>
      <c r="E1757" t="s">
        <v>21</v>
      </c>
      <c r="F1757" t="s">
        <v>38</v>
      </c>
      <c r="G1757" s="1">
        <v>45358</v>
      </c>
      <c r="H1757" s="1">
        <v>45359</v>
      </c>
      <c r="I1757" s="1">
        <v>45363</v>
      </c>
      <c r="J1757">
        <v>5</v>
      </c>
      <c r="K1757">
        <v>1</v>
      </c>
      <c r="L1757">
        <v>2</v>
      </c>
      <c r="M1757">
        <v>318.58999999999997</v>
      </c>
      <c r="N1757">
        <v>637.17999999999995</v>
      </c>
      <c r="O1757">
        <v>0.09</v>
      </c>
      <c r="P1757">
        <v>57.35</v>
      </c>
      <c r="Q1757">
        <v>579.83000000000004</v>
      </c>
      <c r="R1757">
        <v>401.42</v>
      </c>
      <c r="S1757">
        <v>178.41</v>
      </c>
    </row>
    <row r="1758" spans="1:19" x14ac:dyDescent="0.35">
      <c r="A1758">
        <v>200496</v>
      </c>
      <c r="B1758">
        <v>3510</v>
      </c>
      <c r="C1758" t="s">
        <v>33</v>
      </c>
      <c r="D1758" t="s">
        <v>20</v>
      </c>
      <c r="E1758" t="s">
        <v>21</v>
      </c>
      <c r="F1758" t="s">
        <v>38</v>
      </c>
      <c r="G1758" s="1">
        <v>45339</v>
      </c>
      <c r="H1758" s="1">
        <v>45341</v>
      </c>
      <c r="I1758" s="1">
        <v>45351</v>
      </c>
      <c r="J1758">
        <v>12</v>
      </c>
      <c r="K1758">
        <v>2</v>
      </c>
      <c r="L1758">
        <v>9</v>
      </c>
      <c r="M1758">
        <v>459.51</v>
      </c>
      <c r="N1758">
        <v>4135.59</v>
      </c>
      <c r="O1758">
        <v>0.12</v>
      </c>
      <c r="P1758">
        <v>496.27</v>
      </c>
      <c r="Q1758">
        <v>3639.32</v>
      </c>
      <c r="R1758">
        <v>2770.85</v>
      </c>
      <c r="S1758">
        <v>868.47</v>
      </c>
    </row>
    <row r="1759" spans="1:19" x14ac:dyDescent="0.35">
      <c r="A1759">
        <v>200497</v>
      </c>
      <c r="B1759">
        <v>3494</v>
      </c>
      <c r="C1759" t="s">
        <v>33</v>
      </c>
      <c r="D1759" t="s">
        <v>20</v>
      </c>
      <c r="E1759" t="s">
        <v>26</v>
      </c>
      <c r="F1759" t="s">
        <v>36</v>
      </c>
      <c r="G1759" s="1">
        <v>45578</v>
      </c>
      <c r="H1759" s="1">
        <v>45583</v>
      </c>
      <c r="I1759" s="1">
        <v>45591</v>
      </c>
      <c r="J1759">
        <v>13</v>
      </c>
      <c r="K1759">
        <v>5</v>
      </c>
      <c r="L1759">
        <v>4</v>
      </c>
      <c r="M1759">
        <v>225.48</v>
      </c>
      <c r="N1759">
        <v>901.92</v>
      </c>
      <c r="O1759">
        <v>0.19</v>
      </c>
      <c r="P1759">
        <v>171.36</v>
      </c>
      <c r="Q1759">
        <v>730.56</v>
      </c>
      <c r="R1759">
        <v>550.16999999999996</v>
      </c>
      <c r="S1759">
        <v>180.39</v>
      </c>
    </row>
    <row r="1760" spans="1:19" x14ac:dyDescent="0.35">
      <c r="A1760">
        <v>200498</v>
      </c>
      <c r="B1760">
        <v>3060</v>
      </c>
      <c r="C1760" t="s">
        <v>19</v>
      </c>
      <c r="D1760" t="s">
        <v>20</v>
      </c>
      <c r="E1760" t="s">
        <v>24</v>
      </c>
      <c r="F1760" t="s">
        <v>25</v>
      </c>
      <c r="G1760" s="1">
        <v>45482</v>
      </c>
      <c r="H1760" s="1">
        <v>45487</v>
      </c>
      <c r="I1760" s="1">
        <v>45491</v>
      </c>
      <c r="J1760">
        <v>9</v>
      </c>
      <c r="K1760">
        <v>5</v>
      </c>
      <c r="L1760">
        <v>9</v>
      </c>
      <c r="M1760">
        <v>168.58</v>
      </c>
      <c r="N1760">
        <v>1517.22</v>
      </c>
      <c r="O1760">
        <v>0.12</v>
      </c>
      <c r="P1760">
        <v>182.07</v>
      </c>
      <c r="Q1760">
        <v>1335.15</v>
      </c>
      <c r="R1760">
        <v>1031.71</v>
      </c>
      <c r="S1760">
        <v>303.44</v>
      </c>
    </row>
    <row r="1761" spans="1:19" x14ac:dyDescent="0.35">
      <c r="A1761">
        <v>200499</v>
      </c>
      <c r="B1761">
        <v>2304</v>
      </c>
      <c r="C1761" t="s">
        <v>23</v>
      </c>
      <c r="D1761" t="s">
        <v>31</v>
      </c>
      <c r="E1761" t="s">
        <v>34</v>
      </c>
      <c r="F1761" t="s">
        <v>43</v>
      </c>
      <c r="G1761" s="1">
        <v>45392</v>
      </c>
      <c r="H1761" s="1">
        <v>45397</v>
      </c>
      <c r="I1761" s="1">
        <v>45410</v>
      </c>
      <c r="J1761">
        <v>18</v>
      </c>
      <c r="K1761">
        <v>5</v>
      </c>
      <c r="L1761">
        <v>12</v>
      </c>
      <c r="M1761">
        <v>299.14999999999998</v>
      </c>
      <c r="N1761">
        <v>3589.8</v>
      </c>
      <c r="O1761">
        <v>0.08</v>
      </c>
      <c r="P1761">
        <v>287.18</v>
      </c>
      <c r="Q1761">
        <v>3302.62</v>
      </c>
      <c r="R1761">
        <v>2333.37</v>
      </c>
      <c r="S1761">
        <v>969.25</v>
      </c>
    </row>
    <row r="1762" spans="1:19" x14ac:dyDescent="0.35">
      <c r="A1762">
        <v>200500</v>
      </c>
      <c r="B1762">
        <v>4184</v>
      </c>
      <c r="C1762" t="s">
        <v>33</v>
      </c>
      <c r="D1762" t="s">
        <v>20</v>
      </c>
      <c r="E1762" t="s">
        <v>34</v>
      </c>
      <c r="F1762" t="s">
        <v>35</v>
      </c>
      <c r="G1762" s="1">
        <v>45636</v>
      </c>
      <c r="H1762" s="1">
        <v>45641</v>
      </c>
      <c r="I1762" s="1">
        <v>45652</v>
      </c>
      <c r="J1762">
        <v>16</v>
      </c>
      <c r="K1762">
        <v>5</v>
      </c>
      <c r="L1762">
        <v>4</v>
      </c>
      <c r="M1762">
        <v>366.68</v>
      </c>
      <c r="N1762">
        <v>1466.72</v>
      </c>
      <c r="O1762">
        <v>0.08</v>
      </c>
      <c r="P1762">
        <v>117.34</v>
      </c>
      <c r="Q1762">
        <v>1349.38</v>
      </c>
      <c r="R1762">
        <v>850.7</v>
      </c>
      <c r="S1762">
        <v>498.68</v>
      </c>
    </row>
    <row r="1763" spans="1:19" x14ac:dyDescent="0.35">
      <c r="A1763">
        <v>200501</v>
      </c>
      <c r="B1763">
        <v>1395</v>
      </c>
      <c r="C1763" t="s">
        <v>23</v>
      </c>
      <c r="D1763" t="s">
        <v>29</v>
      </c>
      <c r="E1763" t="s">
        <v>26</v>
      </c>
      <c r="F1763" t="s">
        <v>37</v>
      </c>
      <c r="G1763" s="1">
        <v>45532</v>
      </c>
      <c r="H1763" s="1">
        <v>45533</v>
      </c>
      <c r="I1763" s="1">
        <v>45543</v>
      </c>
      <c r="J1763">
        <v>11</v>
      </c>
      <c r="K1763">
        <v>1</v>
      </c>
      <c r="L1763">
        <v>11</v>
      </c>
      <c r="M1763">
        <v>635.24</v>
      </c>
      <c r="N1763">
        <v>6987.64</v>
      </c>
      <c r="O1763">
        <v>0.12</v>
      </c>
      <c r="P1763">
        <v>838.52</v>
      </c>
      <c r="Q1763">
        <v>6149.12</v>
      </c>
      <c r="R1763">
        <v>3982.95</v>
      </c>
      <c r="S1763">
        <v>2166.17</v>
      </c>
    </row>
    <row r="1764" spans="1:19" x14ac:dyDescent="0.35">
      <c r="A1764">
        <v>200502</v>
      </c>
      <c r="B1764">
        <v>2659</v>
      </c>
      <c r="C1764" t="s">
        <v>19</v>
      </c>
      <c r="D1764" t="s">
        <v>31</v>
      </c>
      <c r="E1764" t="s">
        <v>21</v>
      </c>
      <c r="F1764" t="s">
        <v>38</v>
      </c>
      <c r="G1764" s="1">
        <v>45469</v>
      </c>
      <c r="H1764" s="1">
        <v>45473</v>
      </c>
      <c r="I1764" s="1">
        <v>45485</v>
      </c>
      <c r="J1764">
        <v>16</v>
      </c>
      <c r="K1764">
        <v>4</v>
      </c>
      <c r="L1764">
        <v>11</v>
      </c>
      <c r="M1764">
        <v>268.56</v>
      </c>
      <c r="N1764">
        <v>2954.16</v>
      </c>
      <c r="O1764">
        <v>0.03</v>
      </c>
      <c r="P1764">
        <v>88.62</v>
      </c>
      <c r="Q1764">
        <v>2865.54</v>
      </c>
      <c r="R1764">
        <v>1979.29</v>
      </c>
      <c r="S1764">
        <v>886.25</v>
      </c>
    </row>
    <row r="1765" spans="1:19" x14ac:dyDescent="0.35">
      <c r="A1765">
        <v>200503</v>
      </c>
      <c r="B1765">
        <v>4554</v>
      </c>
      <c r="C1765" t="s">
        <v>33</v>
      </c>
      <c r="D1765" t="s">
        <v>29</v>
      </c>
      <c r="E1765" t="s">
        <v>21</v>
      </c>
      <c r="F1765" t="s">
        <v>41</v>
      </c>
      <c r="G1765" s="1">
        <v>45489</v>
      </c>
      <c r="H1765" s="1">
        <v>45491</v>
      </c>
      <c r="I1765" s="1">
        <v>45518</v>
      </c>
      <c r="J1765">
        <v>29</v>
      </c>
      <c r="K1765">
        <v>2</v>
      </c>
      <c r="L1765">
        <v>1</v>
      </c>
      <c r="M1765">
        <v>143.02000000000001</v>
      </c>
      <c r="N1765">
        <v>143.02000000000001</v>
      </c>
      <c r="O1765">
        <v>0.1</v>
      </c>
      <c r="P1765">
        <v>14.3</v>
      </c>
      <c r="Q1765">
        <v>128.72</v>
      </c>
      <c r="R1765">
        <v>74.37</v>
      </c>
      <c r="S1765">
        <v>54.35</v>
      </c>
    </row>
    <row r="1766" spans="1:19" x14ac:dyDescent="0.35">
      <c r="A1766">
        <v>200504</v>
      </c>
      <c r="B1766">
        <v>1846</v>
      </c>
      <c r="C1766" t="s">
        <v>19</v>
      </c>
      <c r="D1766" t="s">
        <v>20</v>
      </c>
      <c r="E1766" t="s">
        <v>26</v>
      </c>
      <c r="F1766" t="s">
        <v>37</v>
      </c>
      <c r="G1766" s="1">
        <v>45419</v>
      </c>
      <c r="H1766" s="1">
        <v>45422</v>
      </c>
      <c r="I1766" s="1">
        <v>45449</v>
      </c>
      <c r="J1766">
        <v>30</v>
      </c>
      <c r="K1766">
        <v>3</v>
      </c>
      <c r="L1766">
        <v>1</v>
      </c>
      <c r="M1766">
        <v>49.2</v>
      </c>
      <c r="N1766">
        <v>49.2</v>
      </c>
      <c r="O1766">
        <v>0.06</v>
      </c>
      <c r="P1766">
        <v>2.95</v>
      </c>
      <c r="Q1766">
        <v>46.25</v>
      </c>
      <c r="R1766">
        <v>28.54</v>
      </c>
      <c r="S1766">
        <v>17.71</v>
      </c>
    </row>
    <row r="1767" spans="1:19" x14ac:dyDescent="0.35">
      <c r="A1767">
        <v>200505</v>
      </c>
      <c r="B1767">
        <v>1940</v>
      </c>
      <c r="C1767" t="s">
        <v>23</v>
      </c>
      <c r="D1767" t="s">
        <v>20</v>
      </c>
      <c r="E1767" t="s">
        <v>24</v>
      </c>
      <c r="F1767" t="s">
        <v>42</v>
      </c>
      <c r="G1767" s="1">
        <v>45484</v>
      </c>
      <c r="H1767" s="1">
        <v>45487</v>
      </c>
      <c r="I1767" s="1">
        <v>45500</v>
      </c>
      <c r="J1767">
        <v>16</v>
      </c>
      <c r="K1767">
        <v>3</v>
      </c>
      <c r="L1767">
        <v>4</v>
      </c>
      <c r="M1767">
        <v>489.93</v>
      </c>
      <c r="N1767">
        <v>1959.72</v>
      </c>
      <c r="O1767">
        <v>0.05</v>
      </c>
      <c r="P1767">
        <v>97.99</v>
      </c>
      <c r="Q1767">
        <v>1861.73</v>
      </c>
      <c r="R1767">
        <v>1077.8499999999999</v>
      </c>
      <c r="S1767">
        <v>783.88</v>
      </c>
    </row>
    <row r="1768" spans="1:19" x14ac:dyDescent="0.35">
      <c r="A1768">
        <v>200506</v>
      </c>
      <c r="B1768">
        <v>2412</v>
      </c>
      <c r="C1768" t="s">
        <v>19</v>
      </c>
      <c r="D1768" t="s">
        <v>29</v>
      </c>
      <c r="E1768" t="s">
        <v>34</v>
      </c>
      <c r="F1768" t="s">
        <v>45</v>
      </c>
      <c r="G1768" s="1">
        <v>45509</v>
      </c>
      <c r="H1768" s="1">
        <v>45514</v>
      </c>
      <c r="I1768" s="1">
        <v>45511</v>
      </c>
      <c r="J1768">
        <v>2</v>
      </c>
      <c r="K1768">
        <v>5</v>
      </c>
      <c r="L1768">
        <v>7</v>
      </c>
      <c r="M1768">
        <v>358.36</v>
      </c>
      <c r="N1768">
        <v>2508.52</v>
      </c>
      <c r="O1768">
        <v>0.12</v>
      </c>
      <c r="P1768">
        <v>301.02</v>
      </c>
      <c r="Q1768">
        <v>2207.5</v>
      </c>
      <c r="R1768">
        <v>1580.37</v>
      </c>
      <c r="S1768">
        <v>627.13</v>
      </c>
    </row>
    <row r="1769" spans="1:19" x14ac:dyDescent="0.35">
      <c r="A1769">
        <v>200507</v>
      </c>
      <c r="B1769">
        <v>4235</v>
      </c>
      <c r="C1769" t="s">
        <v>33</v>
      </c>
      <c r="D1769" t="s">
        <v>20</v>
      </c>
      <c r="E1769" t="s">
        <v>24</v>
      </c>
      <c r="F1769" t="s">
        <v>32</v>
      </c>
      <c r="G1769" s="1">
        <v>45427</v>
      </c>
      <c r="H1769" s="1">
        <v>45432</v>
      </c>
      <c r="I1769" s="1">
        <v>45452</v>
      </c>
      <c r="J1769">
        <v>25</v>
      </c>
      <c r="K1769">
        <v>5</v>
      </c>
      <c r="L1769">
        <v>1</v>
      </c>
      <c r="M1769">
        <v>99.03</v>
      </c>
      <c r="N1769">
        <v>99.03</v>
      </c>
      <c r="O1769">
        <v>0.09</v>
      </c>
      <c r="P1769">
        <v>8.91</v>
      </c>
      <c r="Q1769">
        <v>90.12</v>
      </c>
      <c r="R1769">
        <v>61.4</v>
      </c>
      <c r="S1769">
        <v>28.72</v>
      </c>
    </row>
    <row r="1770" spans="1:19" x14ac:dyDescent="0.35">
      <c r="A1770">
        <v>200508</v>
      </c>
      <c r="B1770">
        <v>3692</v>
      </c>
      <c r="C1770" t="s">
        <v>23</v>
      </c>
      <c r="D1770" t="s">
        <v>20</v>
      </c>
      <c r="E1770" t="s">
        <v>26</v>
      </c>
      <c r="F1770" t="s">
        <v>27</v>
      </c>
      <c r="G1770" s="1">
        <v>45448</v>
      </c>
      <c r="H1770" s="1">
        <v>45452</v>
      </c>
      <c r="I1770" s="1">
        <v>45466</v>
      </c>
      <c r="J1770">
        <v>18</v>
      </c>
      <c r="K1770">
        <v>4</v>
      </c>
      <c r="L1770">
        <v>3</v>
      </c>
      <c r="M1770">
        <v>726.83</v>
      </c>
      <c r="N1770">
        <v>2180.4899999999998</v>
      </c>
      <c r="O1770">
        <v>0.15</v>
      </c>
      <c r="P1770">
        <v>327.07</v>
      </c>
      <c r="Q1770">
        <v>1853.42</v>
      </c>
      <c r="R1770">
        <v>1395.51</v>
      </c>
      <c r="S1770">
        <v>457.91</v>
      </c>
    </row>
    <row r="1771" spans="1:19" x14ac:dyDescent="0.35">
      <c r="A1771">
        <v>200509</v>
      </c>
      <c r="B1771">
        <v>3026</v>
      </c>
      <c r="C1771" t="s">
        <v>28</v>
      </c>
      <c r="D1771" t="s">
        <v>29</v>
      </c>
      <c r="E1771" t="s">
        <v>21</v>
      </c>
      <c r="F1771" t="s">
        <v>41</v>
      </c>
      <c r="G1771" s="1">
        <v>45536</v>
      </c>
      <c r="H1771" s="1">
        <v>45539</v>
      </c>
      <c r="I1771" s="1">
        <v>45548</v>
      </c>
      <c r="J1771">
        <v>12</v>
      </c>
      <c r="K1771">
        <v>3</v>
      </c>
      <c r="L1771">
        <v>14</v>
      </c>
      <c r="M1771">
        <v>323.7</v>
      </c>
      <c r="N1771">
        <v>4531.8</v>
      </c>
      <c r="O1771">
        <v>7.0000000000000007E-2</v>
      </c>
      <c r="P1771">
        <v>317.23</v>
      </c>
      <c r="Q1771">
        <v>4214.57</v>
      </c>
      <c r="R1771">
        <v>3444.17</v>
      </c>
      <c r="S1771">
        <v>770.4</v>
      </c>
    </row>
    <row r="1772" spans="1:19" x14ac:dyDescent="0.35">
      <c r="A1772">
        <v>200510</v>
      </c>
      <c r="B1772">
        <v>1416</v>
      </c>
      <c r="C1772" t="s">
        <v>23</v>
      </c>
      <c r="D1772" t="s">
        <v>29</v>
      </c>
      <c r="E1772" t="s">
        <v>24</v>
      </c>
      <c r="F1772" t="s">
        <v>32</v>
      </c>
      <c r="G1772" s="1">
        <v>45646</v>
      </c>
      <c r="H1772" s="1">
        <v>45647</v>
      </c>
      <c r="I1772" s="1">
        <v>45668</v>
      </c>
      <c r="J1772">
        <v>22</v>
      </c>
      <c r="K1772">
        <v>1</v>
      </c>
      <c r="L1772">
        <v>5</v>
      </c>
      <c r="M1772">
        <v>797.06</v>
      </c>
      <c r="N1772">
        <v>3985.3</v>
      </c>
      <c r="O1772">
        <v>0.13</v>
      </c>
      <c r="P1772">
        <v>518.09</v>
      </c>
      <c r="Q1772">
        <v>3467.21</v>
      </c>
      <c r="R1772">
        <v>2749.86</v>
      </c>
      <c r="S1772">
        <v>717.35</v>
      </c>
    </row>
    <row r="1773" spans="1:19" x14ac:dyDescent="0.35">
      <c r="A1773">
        <v>200511</v>
      </c>
      <c r="B1773">
        <v>3431</v>
      </c>
      <c r="C1773" t="s">
        <v>23</v>
      </c>
      <c r="D1773" t="s">
        <v>31</v>
      </c>
      <c r="E1773" t="s">
        <v>26</v>
      </c>
      <c r="F1773" t="s">
        <v>37</v>
      </c>
      <c r="G1773" s="1">
        <v>45543</v>
      </c>
      <c r="H1773" s="1">
        <v>45546</v>
      </c>
      <c r="I1773" s="1">
        <v>45550</v>
      </c>
      <c r="J1773">
        <v>7</v>
      </c>
      <c r="K1773">
        <v>3</v>
      </c>
      <c r="L1773">
        <v>2</v>
      </c>
      <c r="M1773">
        <v>492.08</v>
      </c>
      <c r="N1773">
        <v>984.16</v>
      </c>
      <c r="O1773">
        <v>7.0000000000000007E-2</v>
      </c>
      <c r="P1773">
        <v>68.89</v>
      </c>
      <c r="Q1773">
        <v>915.27</v>
      </c>
      <c r="R1773">
        <v>738.12</v>
      </c>
      <c r="S1773">
        <v>177.15</v>
      </c>
    </row>
    <row r="1774" spans="1:19" x14ac:dyDescent="0.35">
      <c r="A1774">
        <v>200512</v>
      </c>
      <c r="B1774">
        <v>2561</v>
      </c>
      <c r="C1774" t="s">
        <v>28</v>
      </c>
      <c r="D1774" t="s">
        <v>29</v>
      </c>
      <c r="E1774" t="s">
        <v>34</v>
      </c>
      <c r="F1774" t="s">
        <v>35</v>
      </c>
      <c r="G1774" s="1">
        <v>45622</v>
      </c>
      <c r="H1774" s="1">
        <v>45627</v>
      </c>
      <c r="I1774" s="1">
        <v>45651</v>
      </c>
      <c r="J1774">
        <v>29</v>
      </c>
      <c r="K1774">
        <v>5</v>
      </c>
      <c r="L1774">
        <v>1</v>
      </c>
      <c r="M1774">
        <v>123.87</v>
      </c>
      <c r="N1774">
        <v>123.87</v>
      </c>
      <c r="O1774">
        <v>0.06</v>
      </c>
      <c r="P1774">
        <v>7.43</v>
      </c>
      <c r="Q1774">
        <v>116.44</v>
      </c>
      <c r="R1774">
        <v>78.040000000000006</v>
      </c>
      <c r="S1774">
        <v>38.4</v>
      </c>
    </row>
    <row r="1775" spans="1:19" x14ac:dyDescent="0.35">
      <c r="A1775">
        <v>200513</v>
      </c>
      <c r="B1775">
        <v>4197</v>
      </c>
      <c r="C1775" t="s">
        <v>33</v>
      </c>
      <c r="D1775" t="s">
        <v>31</v>
      </c>
      <c r="E1775" t="s">
        <v>34</v>
      </c>
      <c r="F1775" t="s">
        <v>35</v>
      </c>
      <c r="G1775" s="1">
        <v>45386</v>
      </c>
      <c r="H1775" s="1">
        <v>45390</v>
      </c>
      <c r="I1775" s="1">
        <v>45412</v>
      </c>
      <c r="J1775">
        <v>26</v>
      </c>
      <c r="K1775">
        <v>4</v>
      </c>
      <c r="L1775">
        <v>2</v>
      </c>
      <c r="M1775">
        <v>145.91</v>
      </c>
      <c r="N1775">
        <v>291.82</v>
      </c>
      <c r="O1775">
        <v>0.1</v>
      </c>
      <c r="P1775">
        <v>29.18</v>
      </c>
      <c r="Q1775">
        <v>262.64</v>
      </c>
      <c r="R1775">
        <v>151.75</v>
      </c>
      <c r="S1775">
        <v>110.89</v>
      </c>
    </row>
    <row r="1776" spans="1:19" x14ac:dyDescent="0.35">
      <c r="A1776">
        <v>200514</v>
      </c>
      <c r="B1776">
        <v>3947</v>
      </c>
      <c r="C1776" t="s">
        <v>19</v>
      </c>
      <c r="D1776" t="s">
        <v>31</v>
      </c>
      <c r="E1776" t="s">
        <v>34</v>
      </c>
      <c r="F1776" t="s">
        <v>40</v>
      </c>
      <c r="G1776" s="1">
        <v>45408</v>
      </c>
      <c r="H1776" s="1">
        <v>45409</v>
      </c>
      <c r="I1776" s="1">
        <v>45422</v>
      </c>
      <c r="J1776">
        <v>14</v>
      </c>
      <c r="K1776">
        <v>1</v>
      </c>
      <c r="L1776">
        <v>8</v>
      </c>
      <c r="M1776">
        <v>349.62</v>
      </c>
      <c r="N1776">
        <v>2796.96</v>
      </c>
      <c r="O1776">
        <v>0.16</v>
      </c>
      <c r="P1776">
        <v>447.51</v>
      </c>
      <c r="Q1776">
        <v>2349.4499999999998</v>
      </c>
      <c r="R1776">
        <v>1929.9</v>
      </c>
      <c r="S1776">
        <v>419.55</v>
      </c>
    </row>
    <row r="1777" spans="1:19" x14ac:dyDescent="0.35">
      <c r="A1777">
        <v>200515</v>
      </c>
      <c r="B1777">
        <v>1265</v>
      </c>
      <c r="C1777" t="s">
        <v>19</v>
      </c>
      <c r="D1777" t="s">
        <v>20</v>
      </c>
      <c r="E1777" t="s">
        <v>26</v>
      </c>
      <c r="F1777" t="s">
        <v>44</v>
      </c>
      <c r="G1777" s="1">
        <v>45294</v>
      </c>
      <c r="H1777" s="1">
        <v>45297</v>
      </c>
      <c r="I1777" s="1">
        <v>45322</v>
      </c>
      <c r="J1777">
        <v>28</v>
      </c>
      <c r="K1777">
        <v>3</v>
      </c>
      <c r="L1777">
        <v>2</v>
      </c>
      <c r="M1777">
        <v>593.75</v>
      </c>
      <c r="N1777">
        <v>1187.5</v>
      </c>
      <c r="O1777">
        <v>0.16</v>
      </c>
      <c r="P1777">
        <v>190</v>
      </c>
      <c r="Q1777">
        <v>997.5</v>
      </c>
      <c r="R1777">
        <v>807.5</v>
      </c>
      <c r="S1777">
        <v>190</v>
      </c>
    </row>
    <row r="1778" spans="1:19" x14ac:dyDescent="0.35">
      <c r="A1778">
        <v>200516</v>
      </c>
      <c r="B1778">
        <v>1101</v>
      </c>
      <c r="C1778" t="s">
        <v>33</v>
      </c>
      <c r="D1778" t="s">
        <v>31</v>
      </c>
      <c r="E1778" t="s">
        <v>21</v>
      </c>
      <c r="F1778" t="s">
        <v>39</v>
      </c>
      <c r="G1778" s="1">
        <v>45619</v>
      </c>
      <c r="H1778" s="1">
        <v>45620</v>
      </c>
      <c r="I1778" s="1">
        <v>45624</v>
      </c>
      <c r="J1778">
        <v>5</v>
      </c>
      <c r="K1778">
        <v>1</v>
      </c>
      <c r="L1778">
        <v>4</v>
      </c>
      <c r="M1778">
        <v>745.65</v>
      </c>
      <c r="N1778">
        <v>2982.6</v>
      </c>
      <c r="O1778">
        <v>0.1</v>
      </c>
      <c r="P1778">
        <v>298.26</v>
      </c>
      <c r="Q1778">
        <v>2684.34</v>
      </c>
      <c r="R1778">
        <v>1759.73</v>
      </c>
      <c r="S1778">
        <v>924.61</v>
      </c>
    </row>
    <row r="1779" spans="1:19" x14ac:dyDescent="0.35">
      <c r="A1779">
        <v>200517</v>
      </c>
      <c r="B1779">
        <v>3967</v>
      </c>
      <c r="C1779" t="s">
        <v>23</v>
      </c>
      <c r="D1779" t="s">
        <v>20</v>
      </c>
      <c r="E1779" t="s">
        <v>26</v>
      </c>
      <c r="F1779" t="s">
        <v>44</v>
      </c>
      <c r="G1779" s="1">
        <v>45414</v>
      </c>
      <c r="H1779" s="1">
        <v>45418</v>
      </c>
      <c r="I1779" s="1">
        <v>45436</v>
      </c>
      <c r="J1779">
        <v>22</v>
      </c>
      <c r="K1779">
        <v>4</v>
      </c>
      <c r="L1779">
        <v>3</v>
      </c>
      <c r="M1779">
        <v>685.52</v>
      </c>
      <c r="N1779">
        <v>2056.56</v>
      </c>
      <c r="O1779">
        <v>0.11</v>
      </c>
      <c r="P1779">
        <v>226.22</v>
      </c>
      <c r="Q1779">
        <v>1830.34</v>
      </c>
      <c r="R1779">
        <v>1151.67</v>
      </c>
      <c r="S1779">
        <v>678.67</v>
      </c>
    </row>
    <row r="1780" spans="1:19" x14ac:dyDescent="0.35">
      <c r="A1780">
        <v>200518</v>
      </c>
      <c r="B1780">
        <v>1853</v>
      </c>
      <c r="C1780" t="s">
        <v>28</v>
      </c>
      <c r="D1780" t="s">
        <v>31</v>
      </c>
      <c r="E1780" t="s">
        <v>34</v>
      </c>
      <c r="F1780" t="s">
        <v>43</v>
      </c>
      <c r="G1780" s="1">
        <v>45540</v>
      </c>
      <c r="H1780" s="1">
        <v>45542</v>
      </c>
      <c r="I1780" s="1">
        <v>45553</v>
      </c>
      <c r="J1780">
        <v>13</v>
      </c>
      <c r="K1780">
        <v>2</v>
      </c>
      <c r="L1780">
        <v>11</v>
      </c>
      <c r="M1780">
        <v>368.04</v>
      </c>
      <c r="N1780">
        <v>4048.44</v>
      </c>
      <c r="O1780">
        <v>0.06</v>
      </c>
      <c r="P1780">
        <v>242.91</v>
      </c>
      <c r="Q1780">
        <v>3805.53</v>
      </c>
      <c r="R1780">
        <v>2550.52</v>
      </c>
      <c r="S1780">
        <v>1255.01</v>
      </c>
    </row>
    <row r="1781" spans="1:19" x14ac:dyDescent="0.35">
      <c r="A1781">
        <v>200519</v>
      </c>
      <c r="B1781">
        <v>2687</v>
      </c>
      <c r="C1781" t="s">
        <v>19</v>
      </c>
      <c r="D1781" t="s">
        <v>31</v>
      </c>
      <c r="E1781" t="s">
        <v>24</v>
      </c>
      <c r="F1781" t="s">
        <v>25</v>
      </c>
      <c r="G1781" s="1">
        <v>45442</v>
      </c>
      <c r="H1781" s="1">
        <v>45444</v>
      </c>
      <c r="I1781" s="1">
        <v>45460</v>
      </c>
      <c r="J1781">
        <v>18</v>
      </c>
      <c r="K1781">
        <v>2</v>
      </c>
      <c r="L1781">
        <v>14</v>
      </c>
      <c r="M1781">
        <v>235.57</v>
      </c>
      <c r="N1781">
        <v>3297.98</v>
      </c>
      <c r="O1781">
        <v>0.08</v>
      </c>
      <c r="P1781">
        <v>263.83999999999997</v>
      </c>
      <c r="Q1781">
        <v>3034.14</v>
      </c>
      <c r="R1781">
        <v>1879.85</v>
      </c>
      <c r="S1781">
        <v>1154.29</v>
      </c>
    </row>
    <row r="1782" spans="1:19" x14ac:dyDescent="0.35">
      <c r="A1782">
        <v>200520</v>
      </c>
      <c r="B1782">
        <v>3850</v>
      </c>
      <c r="C1782" t="s">
        <v>19</v>
      </c>
      <c r="D1782" t="s">
        <v>20</v>
      </c>
      <c r="E1782" t="s">
        <v>24</v>
      </c>
      <c r="F1782" t="s">
        <v>25</v>
      </c>
      <c r="G1782" s="1">
        <v>45560</v>
      </c>
      <c r="H1782" s="1">
        <v>45562</v>
      </c>
      <c r="I1782" s="1">
        <v>45577</v>
      </c>
      <c r="J1782">
        <v>17</v>
      </c>
      <c r="K1782">
        <v>2</v>
      </c>
      <c r="L1782">
        <v>8</v>
      </c>
      <c r="M1782">
        <v>478.81</v>
      </c>
      <c r="N1782">
        <v>3830.48</v>
      </c>
      <c r="O1782">
        <v>0.05</v>
      </c>
      <c r="P1782">
        <v>191.52</v>
      </c>
      <c r="Q1782">
        <v>3638.96</v>
      </c>
      <c r="R1782">
        <v>2413.1999999999998</v>
      </c>
      <c r="S1782">
        <v>1225.76</v>
      </c>
    </row>
    <row r="1783" spans="1:19" x14ac:dyDescent="0.35">
      <c r="A1783">
        <v>200521</v>
      </c>
      <c r="B1783">
        <v>3797</v>
      </c>
      <c r="C1783" t="s">
        <v>23</v>
      </c>
      <c r="D1783" t="s">
        <v>31</v>
      </c>
      <c r="E1783" t="s">
        <v>21</v>
      </c>
      <c r="F1783" t="s">
        <v>39</v>
      </c>
      <c r="G1783" s="1">
        <v>45420</v>
      </c>
      <c r="H1783" s="1">
        <v>45422</v>
      </c>
      <c r="I1783" s="1">
        <v>45427</v>
      </c>
      <c r="J1783">
        <v>7</v>
      </c>
      <c r="K1783">
        <v>2</v>
      </c>
      <c r="L1783">
        <v>7</v>
      </c>
      <c r="M1783">
        <v>274.89</v>
      </c>
      <c r="N1783">
        <v>1924.23</v>
      </c>
      <c r="O1783">
        <v>0.14000000000000001</v>
      </c>
      <c r="P1783">
        <v>269.39</v>
      </c>
      <c r="Q1783">
        <v>1654.84</v>
      </c>
      <c r="R1783">
        <v>1077.57</v>
      </c>
      <c r="S1783">
        <v>577.27</v>
      </c>
    </row>
    <row r="1784" spans="1:19" x14ac:dyDescent="0.35">
      <c r="A1784">
        <v>200522</v>
      </c>
      <c r="B1784">
        <v>3380</v>
      </c>
      <c r="C1784" t="s">
        <v>33</v>
      </c>
      <c r="D1784" t="s">
        <v>29</v>
      </c>
      <c r="E1784" t="s">
        <v>26</v>
      </c>
      <c r="F1784" t="s">
        <v>27</v>
      </c>
      <c r="G1784" s="1">
        <v>45319</v>
      </c>
      <c r="H1784" s="1">
        <v>45323</v>
      </c>
      <c r="I1784" s="1">
        <v>45330</v>
      </c>
      <c r="J1784">
        <v>11</v>
      </c>
      <c r="K1784">
        <v>4</v>
      </c>
      <c r="L1784">
        <v>3</v>
      </c>
      <c r="M1784">
        <v>572.47</v>
      </c>
      <c r="N1784">
        <v>1717.41</v>
      </c>
      <c r="O1784">
        <v>0.08</v>
      </c>
      <c r="P1784">
        <v>137.38999999999999</v>
      </c>
      <c r="Q1784">
        <v>1580.02</v>
      </c>
      <c r="R1784">
        <v>1133.49</v>
      </c>
      <c r="S1784">
        <v>446.53</v>
      </c>
    </row>
    <row r="1785" spans="1:19" x14ac:dyDescent="0.35">
      <c r="A1785">
        <v>200523</v>
      </c>
      <c r="B1785">
        <v>2851</v>
      </c>
      <c r="C1785" t="s">
        <v>19</v>
      </c>
      <c r="D1785" t="s">
        <v>20</v>
      </c>
      <c r="E1785" t="s">
        <v>24</v>
      </c>
      <c r="F1785" t="s">
        <v>25</v>
      </c>
      <c r="G1785" s="1">
        <v>45628</v>
      </c>
      <c r="H1785" s="1">
        <v>45633</v>
      </c>
      <c r="I1785" s="1">
        <v>45655</v>
      </c>
      <c r="J1785">
        <v>27</v>
      </c>
      <c r="K1785">
        <v>5</v>
      </c>
      <c r="L1785">
        <v>6</v>
      </c>
      <c r="M1785">
        <v>452.07</v>
      </c>
      <c r="N1785">
        <v>2712.42</v>
      </c>
      <c r="O1785">
        <v>0.1</v>
      </c>
      <c r="P1785">
        <v>271.24</v>
      </c>
      <c r="Q1785">
        <v>2441.1799999999998</v>
      </c>
      <c r="R1785">
        <v>1654.58</v>
      </c>
      <c r="S1785">
        <v>786.6</v>
      </c>
    </row>
    <row r="1786" spans="1:19" x14ac:dyDescent="0.35">
      <c r="A1786">
        <v>200524</v>
      </c>
      <c r="B1786">
        <v>2541</v>
      </c>
      <c r="C1786" t="s">
        <v>19</v>
      </c>
      <c r="D1786" t="s">
        <v>31</v>
      </c>
      <c r="E1786" t="s">
        <v>24</v>
      </c>
      <c r="F1786" t="s">
        <v>32</v>
      </c>
      <c r="G1786" s="1">
        <v>45441</v>
      </c>
      <c r="H1786" s="1">
        <v>45443</v>
      </c>
      <c r="I1786" s="1">
        <v>45445</v>
      </c>
      <c r="J1786">
        <v>4</v>
      </c>
      <c r="K1786">
        <v>2</v>
      </c>
      <c r="L1786">
        <v>7</v>
      </c>
      <c r="M1786">
        <v>279.16000000000003</v>
      </c>
      <c r="N1786">
        <v>1954.12</v>
      </c>
      <c r="O1786">
        <v>0.01</v>
      </c>
      <c r="P1786">
        <v>19.54</v>
      </c>
      <c r="Q1786">
        <v>1934.58</v>
      </c>
      <c r="R1786">
        <v>1113.8499999999999</v>
      </c>
      <c r="S1786">
        <v>820.73</v>
      </c>
    </row>
    <row r="1787" spans="1:19" x14ac:dyDescent="0.35">
      <c r="A1787">
        <v>200525</v>
      </c>
      <c r="B1787">
        <v>3045</v>
      </c>
      <c r="C1787" t="s">
        <v>28</v>
      </c>
      <c r="D1787" t="s">
        <v>29</v>
      </c>
      <c r="E1787" t="s">
        <v>26</v>
      </c>
      <c r="F1787" t="s">
        <v>37</v>
      </c>
      <c r="G1787" s="1">
        <v>45630</v>
      </c>
      <c r="H1787" s="1">
        <v>45631</v>
      </c>
      <c r="I1787" s="1">
        <v>45652</v>
      </c>
      <c r="J1787">
        <v>22</v>
      </c>
      <c r="K1787">
        <v>1</v>
      </c>
      <c r="L1787">
        <v>5</v>
      </c>
      <c r="M1787">
        <v>248.26</v>
      </c>
      <c r="N1787">
        <v>1241.3</v>
      </c>
      <c r="O1787">
        <v>0.14000000000000001</v>
      </c>
      <c r="P1787">
        <v>173.78</v>
      </c>
      <c r="Q1787">
        <v>1067.52</v>
      </c>
      <c r="R1787">
        <v>856.5</v>
      </c>
      <c r="S1787">
        <v>211.02</v>
      </c>
    </row>
    <row r="1788" spans="1:19" x14ac:dyDescent="0.35">
      <c r="A1788">
        <v>200526</v>
      </c>
      <c r="B1788">
        <v>2479</v>
      </c>
      <c r="C1788" t="s">
        <v>33</v>
      </c>
      <c r="D1788" t="s">
        <v>29</v>
      </c>
      <c r="E1788" t="s">
        <v>34</v>
      </c>
      <c r="F1788" t="s">
        <v>45</v>
      </c>
      <c r="G1788" s="1">
        <v>45584</v>
      </c>
      <c r="H1788" s="1">
        <v>45586</v>
      </c>
      <c r="I1788" s="1">
        <v>45614</v>
      </c>
      <c r="J1788">
        <v>30</v>
      </c>
      <c r="K1788">
        <v>2</v>
      </c>
      <c r="L1788">
        <v>12</v>
      </c>
      <c r="M1788">
        <v>582.01</v>
      </c>
      <c r="N1788">
        <v>6984.12</v>
      </c>
      <c r="O1788">
        <v>0.13</v>
      </c>
      <c r="P1788">
        <v>907.94</v>
      </c>
      <c r="Q1788">
        <v>6076.18</v>
      </c>
      <c r="R1788">
        <v>4400</v>
      </c>
      <c r="S1788">
        <v>1676.18</v>
      </c>
    </row>
    <row r="1789" spans="1:19" x14ac:dyDescent="0.35">
      <c r="A1789">
        <v>200527</v>
      </c>
      <c r="B1789">
        <v>2394</v>
      </c>
      <c r="C1789" t="s">
        <v>28</v>
      </c>
      <c r="D1789" t="s">
        <v>29</v>
      </c>
      <c r="E1789" t="s">
        <v>24</v>
      </c>
      <c r="F1789" t="s">
        <v>32</v>
      </c>
      <c r="G1789" s="1">
        <v>45492</v>
      </c>
      <c r="H1789" s="1">
        <v>45496</v>
      </c>
      <c r="I1789" s="1">
        <v>45500</v>
      </c>
      <c r="J1789">
        <v>8</v>
      </c>
      <c r="K1789">
        <v>4</v>
      </c>
      <c r="L1789">
        <v>12</v>
      </c>
      <c r="M1789">
        <v>56.77</v>
      </c>
      <c r="N1789">
        <v>681.24</v>
      </c>
      <c r="O1789">
        <v>0.05</v>
      </c>
      <c r="P1789">
        <v>34.06</v>
      </c>
      <c r="Q1789">
        <v>647.17999999999995</v>
      </c>
      <c r="R1789">
        <v>422.37</v>
      </c>
      <c r="S1789">
        <v>224.81</v>
      </c>
    </row>
    <row r="1790" spans="1:19" x14ac:dyDescent="0.35">
      <c r="A1790">
        <v>200528</v>
      </c>
      <c r="B1790">
        <v>4570</v>
      </c>
      <c r="C1790" t="s">
        <v>33</v>
      </c>
      <c r="D1790" t="s">
        <v>20</v>
      </c>
      <c r="E1790" t="s">
        <v>24</v>
      </c>
      <c r="F1790" t="s">
        <v>42</v>
      </c>
      <c r="G1790" s="1">
        <v>45409</v>
      </c>
      <c r="H1790" s="1">
        <v>45410</v>
      </c>
      <c r="I1790" s="1">
        <v>45435</v>
      </c>
      <c r="J1790">
        <v>26</v>
      </c>
      <c r="K1790">
        <v>1</v>
      </c>
      <c r="L1790">
        <v>7</v>
      </c>
      <c r="M1790">
        <v>402.04</v>
      </c>
      <c r="N1790">
        <v>2814.28</v>
      </c>
      <c r="O1790">
        <v>0.14000000000000001</v>
      </c>
      <c r="P1790">
        <v>394</v>
      </c>
      <c r="Q1790">
        <v>2420.2800000000002</v>
      </c>
      <c r="R1790">
        <v>1801.14</v>
      </c>
      <c r="S1790">
        <v>619.14</v>
      </c>
    </row>
    <row r="1791" spans="1:19" x14ac:dyDescent="0.35">
      <c r="A1791">
        <v>200529</v>
      </c>
      <c r="B1791">
        <v>3841</v>
      </c>
      <c r="C1791" t="s">
        <v>33</v>
      </c>
      <c r="D1791" t="s">
        <v>29</v>
      </c>
      <c r="E1791" t="s">
        <v>24</v>
      </c>
      <c r="F1791" t="s">
        <v>25</v>
      </c>
      <c r="G1791" s="1">
        <v>45632</v>
      </c>
      <c r="H1791" s="1">
        <v>45636</v>
      </c>
      <c r="I1791" s="1">
        <v>45647</v>
      </c>
      <c r="J1791">
        <v>15</v>
      </c>
      <c r="K1791">
        <v>4</v>
      </c>
      <c r="L1791">
        <v>4</v>
      </c>
      <c r="M1791">
        <v>171.53</v>
      </c>
      <c r="N1791">
        <v>686.12</v>
      </c>
      <c r="O1791">
        <v>0.09</v>
      </c>
      <c r="P1791">
        <v>61.75</v>
      </c>
      <c r="Q1791">
        <v>624.37</v>
      </c>
      <c r="R1791">
        <v>404.81</v>
      </c>
      <c r="S1791">
        <v>219.56</v>
      </c>
    </row>
    <row r="1792" spans="1:19" x14ac:dyDescent="0.35">
      <c r="A1792">
        <v>200530</v>
      </c>
      <c r="B1792">
        <v>2410</v>
      </c>
      <c r="C1792" t="s">
        <v>23</v>
      </c>
      <c r="D1792" t="s">
        <v>20</v>
      </c>
      <c r="E1792" t="s">
        <v>21</v>
      </c>
      <c r="F1792" t="s">
        <v>38</v>
      </c>
      <c r="G1792" s="1">
        <v>45604</v>
      </c>
      <c r="H1792" s="1">
        <v>45607</v>
      </c>
      <c r="I1792" s="1">
        <v>45619</v>
      </c>
      <c r="J1792">
        <v>15</v>
      </c>
      <c r="K1792">
        <v>3</v>
      </c>
      <c r="L1792">
        <v>5</v>
      </c>
      <c r="M1792">
        <v>652.01</v>
      </c>
      <c r="N1792">
        <v>3260.05</v>
      </c>
      <c r="O1792">
        <v>0.06</v>
      </c>
      <c r="P1792">
        <v>195.6</v>
      </c>
      <c r="Q1792">
        <v>3064.45</v>
      </c>
      <c r="R1792">
        <v>1956.03</v>
      </c>
      <c r="S1792">
        <v>1108.42</v>
      </c>
    </row>
    <row r="1793" spans="1:19" x14ac:dyDescent="0.35">
      <c r="A1793">
        <v>200531</v>
      </c>
      <c r="B1793">
        <v>4598</v>
      </c>
      <c r="C1793" t="s">
        <v>23</v>
      </c>
      <c r="D1793" t="s">
        <v>31</v>
      </c>
      <c r="E1793" t="s">
        <v>21</v>
      </c>
      <c r="F1793" t="s">
        <v>38</v>
      </c>
      <c r="G1793" s="1">
        <v>45554</v>
      </c>
      <c r="H1793" s="1">
        <v>45556</v>
      </c>
      <c r="I1793" s="1">
        <v>45572</v>
      </c>
      <c r="J1793">
        <v>18</v>
      </c>
      <c r="K1793">
        <v>2</v>
      </c>
      <c r="L1793">
        <v>11</v>
      </c>
      <c r="M1793">
        <v>147.31</v>
      </c>
      <c r="N1793">
        <v>1620.41</v>
      </c>
      <c r="O1793">
        <v>0.05</v>
      </c>
      <c r="P1793">
        <v>81.02</v>
      </c>
      <c r="Q1793">
        <v>1539.39</v>
      </c>
      <c r="R1793">
        <v>1134.29</v>
      </c>
      <c r="S1793">
        <v>405.1</v>
      </c>
    </row>
    <row r="1794" spans="1:19" x14ac:dyDescent="0.35">
      <c r="A1794">
        <v>200532</v>
      </c>
      <c r="B1794">
        <v>2965</v>
      </c>
      <c r="C1794" t="s">
        <v>33</v>
      </c>
      <c r="D1794" t="s">
        <v>20</v>
      </c>
      <c r="E1794" t="s">
        <v>34</v>
      </c>
      <c r="F1794" t="s">
        <v>35</v>
      </c>
      <c r="G1794" s="1">
        <v>45602</v>
      </c>
      <c r="H1794" s="1">
        <v>45606</v>
      </c>
      <c r="I1794" s="1">
        <v>45618</v>
      </c>
      <c r="J1794">
        <v>16</v>
      </c>
      <c r="K1794">
        <v>4</v>
      </c>
      <c r="L1794">
        <v>1</v>
      </c>
      <c r="M1794">
        <v>443.01</v>
      </c>
      <c r="N1794">
        <v>443.01</v>
      </c>
      <c r="O1794">
        <v>0.1</v>
      </c>
      <c r="P1794">
        <v>44.3</v>
      </c>
      <c r="Q1794">
        <v>398.71</v>
      </c>
      <c r="R1794">
        <v>287.95999999999998</v>
      </c>
      <c r="S1794">
        <v>110.75</v>
      </c>
    </row>
    <row r="1795" spans="1:19" x14ac:dyDescent="0.35">
      <c r="A1795">
        <v>200533</v>
      </c>
      <c r="B1795">
        <v>2760</v>
      </c>
      <c r="C1795" t="s">
        <v>28</v>
      </c>
      <c r="D1795" t="s">
        <v>31</v>
      </c>
      <c r="E1795" t="s">
        <v>26</v>
      </c>
      <c r="F1795" t="s">
        <v>36</v>
      </c>
      <c r="G1795" s="1">
        <v>45568</v>
      </c>
      <c r="H1795" s="1">
        <v>45572</v>
      </c>
      <c r="I1795" s="1">
        <v>45573</v>
      </c>
      <c r="J1795">
        <v>5</v>
      </c>
      <c r="K1795">
        <v>4</v>
      </c>
      <c r="L1795">
        <v>11</v>
      </c>
      <c r="M1795">
        <v>408.24</v>
      </c>
      <c r="N1795">
        <v>4490.6400000000003</v>
      </c>
      <c r="O1795">
        <v>0.15</v>
      </c>
      <c r="P1795">
        <v>673.6</v>
      </c>
      <c r="Q1795">
        <v>3817.04</v>
      </c>
      <c r="R1795">
        <v>2829.1</v>
      </c>
      <c r="S1795">
        <v>987.94</v>
      </c>
    </row>
    <row r="1796" spans="1:19" x14ac:dyDescent="0.35">
      <c r="A1796">
        <v>200534</v>
      </c>
      <c r="B1796">
        <v>4119</v>
      </c>
      <c r="C1796" t="s">
        <v>33</v>
      </c>
      <c r="D1796" t="s">
        <v>20</v>
      </c>
      <c r="E1796" t="s">
        <v>26</v>
      </c>
      <c r="F1796" t="s">
        <v>44</v>
      </c>
      <c r="G1796" s="1">
        <v>45561</v>
      </c>
      <c r="H1796" s="1">
        <v>45563</v>
      </c>
      <c r="I1796" s="1">
        <v>45575</v>
      </c>
      <c r="J1796">
        <v>14</v>
      </c>
      <c r="K1796">
        <v>2</v>
      </c>
      <c r="L1796">
        <v>1</v>
      </c>
      <c r="M1796">
        <v>774.36</v>
      </c>
      <c r="N1796">
        <v>774.36</v>
      </c>
      <c r="O1796">
        <v>0.11</v>
      </c>
      <c r="P1796">
        <v>85.18</v>
      </c>
      <c r="Q1796">
        <v>689.18</v>
      </c>
      <c r="R1796">
        <v>495.59</v>
      </c>
      <c r="S1796">
        <v>193.59</v>
      </c>
    </row>
    <row r="1797" spans="1:19" x14ac:dyDescent="0.35">
      <c r="A1797">
        <v>200535</v>
      </c>
      <c r="B1797">
        <v>1389</v>
      </c>
      <c r="C1797" t="s">
        <v>33</v>
      </c>
      <c r="D1797" t="s">
        <v>31</v>
      </c>
      <c r="E1797" t="s">
        <v>34</v>
      </c>
      <c r="F1797" t="s">
        <v>45</v>
      </c>
      <c r="G1797" s="1">
        <v>45389</v>
      </c>
      <c r="H1797" s="1">
        <v>45393</v>
      </c>
      <c r="I1797" s="1">
        <v>45392</v>
      </c>
      <c r="J1797">
        <v>3</v>
      </c>
      <c r="K1797">
        <v>4</v>
      </c>
      <c r="L1797">
        <v>9</v>
      </c>
      <c r="M1797">
        <v>426.77</v>
      </c>
      <c r="N1797">
        <v>3840.93</v>
      </c>
      <c r="O1797">
        <v>0.11</v>
      </c>
      <c r="P1797">
        <v>422.5</v>
      </c>
      <c r="Q1797">
        <v>3418.43</v>
      </c>
      <c r="R1797">
        <v>2458.1999999999998</v>
      </c>
      <c r="S1797">
        <v>960.23</v>
      </c>
    </row>
    <row r="1798" spans="1:19" x14ac:dyDescent="0.35">
      <c r="A1798">
        <v>200536</v>
      </c>
      <c r="B1798">
        <v>1538</v>
      </c>
      <c r="C1798" t="s">
        <v>23</v>
      </c>
      <c r="D1798" t="s">
        <v>31</v>
      </c>
      <c r="E1798" t="s">
        <v>21</v>
      </c>
      <c r="F1798" t="s">
        <v>39</v>
      </c>
      <c r="G1798" s="1">
        <v>45427</v>
      </c>
      <c r="H1798" s="1">
        <v>45431</v>
      </c>
      <c r="I1798" s="1">
        <v>45447</v>
      </c>
      <c r="J1798">
        <v>20</v>
      </c>
      <c r="K1798">
        <v>4</v>
      </c>
      <c r="L1798">
        <v>4</v>
      </c>
      <c r="M1798">
        <v>449.73</v>
      </c>
      <c r="N1798">
        <v>1798.92</v>
      </c>
      <c r="O1798">
        <v>0.04</v>
      </c>
      <c r="P1798">
        <v>71.959999999999994</v>
      </c>
      <c r="Q1798">
        <v>1726.96</v>
      </c>
      <c r="R1798">
        <v>1187.29</v>
      </c>
      <c r="S1798">
        <v>539.66999999999996</v>
      </c>
    </row>
    <row r="1799" spans="1:19" x14ac:dyDescent="0.35">
      <c r="A1799">
        <v>200537</v>
      </c>
      <c r="B1799">
        <v>4747</v>
      </c>
      <c r="C1799" t="s">
        <v>28</v>
      </c>
      <c r="D1799" t="s">
        <v>29</v>
      </c>
      <c r="E1799" t="s">
        <v>21</v>
      </c>
      <c r="F1799" t="s">
        <v>38</v>
      </c>
      <c r="G1799" s="1">
        <v>45337</v>
      </c>
      <c r="H1799" s="1">
        <v>45342</v>
      </c>
      <c r="I1799" s="1">
        <v>45343</v>
      </c>
      <c r="J1799">
        <v>6</v>
      </c>
      <c r="K1799">
        <v>5</v>
      </c>
      <c r="L1799">
        <v>12</v>
      </c>
      <c r="M1799">
        <v>793.26</v>
      </c>
      <c r="N1799">
        <v>9519.1200000000008</v>
      </c>
      <c r="O1799">
        <v>7.0000000000000007E-2</v>
      </c>
      <c r="P1799">
        <v>666.34</v>
      </c>
      <c r="Q1799">
        <v>8852.7800000000007</v>
      </c>
      <c r="R1799">
        <v>6473</v>
      </c>
      <c r="S1799">
        <v>2379.7800000000002</v>
      </c>
    </row>
    <row r="1800" spans="1:19" x14ac:dyDescent="0.35">
      <c r="A1800">
        <v>200538</v>
      </c>
      <c r="B1800">
        <v>2572</v>
      </c>
      <c r="C1800" t="s">
        <v>28</v>
      </c>
      <c r="D1800" t="s">
        <v>31</v>
      </c>
      <c r="E1800" t="s">
        <v>26</v>
      </c>
      <c r="F1800" t="s">
        <v>27</v>
      </c>
      <c r="G1800" s="1">
        <v>45512</v>
      </c>
      <c r="H1800" s="1">
        <v>45516</v>
      </c>
      <c r="I1800" s="1">
        <v>45540</v>
      </c>
      <c r="J1800">
        <v>28</v>
      </c>
      <c r="K1800">
        <v>4</v>
      </c>
      <c r="L1800">
        <v>6</v>
      </c>
      <c r="M1800">
        <v>235.43</v>
      </c>
      <c r="N1800">
        <v>1412.58</v>
      </c>
      <c r="O1800">
        <v>0.08</v>
      </c>
      <c r="P1800">
        <v>113.01</v>
      </c>
      <c r="Q1800">
        <v>1299.57</v>
      </c>
      <c r="R1800">
        <v>946.43</v>
      </c>
      <c r="S1800">
        <v>353.14</v>
      </c>
    </row>
    <row r="1801" spans="1:19" x14ac:dyDescent="0.35">
      <c r="A1801">
        <v>200539</v>
      </c>
      <c r="B1801">
        <v>4078</v>
      </c>
      <c r="C1801" t="s">
        <v>33</v>
      </c>
      <c r="D1801" t="s">
        <v>31</v>
      </c>
      <c r="E1801" t="s">
        <v>26</v>
      </c>
      <c r="F1801" t="s">
        <v>37</v>
      </c>
      <c r="G1801" s="1">
        <v>45386</v>
      </c>
      <c r="H1801" s="1">
        <v>45390</v>
      </c>
      <c r="I1801" s="1">
        <v>45393</v>
      </c>
      <c r="J1801">
        <v>7</v>
      </c>
      <c r="K1801">
        <v>4</v>
      </c>
      <c r="L1801">
        <v>12</v>
      </c>
      <c r="M1801">
        <v>187.26</v>
      </c>
      <c r="N1801">
        <v>2247.12</v>
      </c>
      <c r="O1801">
        <v>0.13</v>
      </c>
      <c r="P1801">
        <v>292.13</v>
      </c>
      <c r="Q1801">
        <v>1954.99</v>
      </c>
      <c r="R1801">
        <v>1415.69</v>
      </c>
      <c r="S1801">
        <v>539.29999999999995</v>
      </c>
    </row>
    <row r="1802" spans="1:19" x14ac:dyDescent="0.35">
      <c r="A1802">
        <v>200540</v>
      </c>
      <c r="B1802">
        <v>3441</v>
      </c>
      <c r="C1802" t="s">
        <v>28</v>
      </c>
      <c r="D1802" t="s">
        <v>20</v>
      </c>
      <c r="E1802" t="s">
        <v>26</v>
      </c>
      <c r="F1802" t="s">
        <v>37</v>
      </c>
      <c r="G1802" s="1">
        <v>45598</v>
      </c>
      <c r="H1802" s="1">
        <v>45599</v>
      </c>
      <c r="I1802" s="1">
        <v>45607</v>
      </c>
      <c r="J1802">
        <v>9</v>
      </c>
      <c r="K1802">
        <v>1</v>
      </c>
      <c r="L1802">
        <v>3</v>
      </c>
      <c r="M1802">
        <v>303.2</v>
      </c>
      <c r="N1802">
        <v>909.6</v>
      </c>
      <c r="O1802">
        <v>0.09</v>
      </c>
      <c r="P1802">
        <v>81.86</v>
      </c>
      <c r="Q1802">
        <v>827.74</v>
      </c>
      <c r="R1802">
        <v>618.53</v>
      </c>
      <c r="S1802">
        <v>209.21</v>
      </c>
    </row>
    <row r="1803" spans="1:19" x14ac:dyDescent="0.35">
      <c r="A1803">
        <v>200541</v>
      </c>
      <c r="B1803">
        <v>1774</v>
      </c>
      <c r="C1803" t="s">
        <v>23</v>
      </c>
      <c r="D1803" t="s">
        <v>20</v>
      </c>
      <c r="E1803" t="s">
        <v>21</v>
      </c>
      <c r="F1803" t="s">
        <v>41</v>
      </c>
      <c r="G1803" s="1">
        <v>45390</v>
      </c>
      <c r="H1803" s="1">
        <v>45392</v>
      </c>
      <c r="I1803" s="1">
        <v>45414</v>
      </c>
      <c r="J1803">
        <v>24</v>
      </c>
      <c r="K1803">
        <v>2</v>
      </c>
      <c r="L1803">
        <v>10</v>
      </c>
      <c r="M1803">
        <v>170.74</v>
      </c>
      <c r="N1803">
        <v>1707.4</v>
      </c>
      <c r="O1803">
        <v>0.09</v>
      </c>
      <c r="P1803">
        <v>153.66999999999999</v>
      </c>
      <c r="Q1803">
        <v>1553.73</v>
      </c>
      <c r="R1803">
        <v>1161.03</v>
      </c>
      <c r="S1803">
        <v>392.7</v>
      </c>
    </row>
    <row r="1804" spans="1:19" x14ac:dyDescent="0.35">
      <c r="A1804">
        <v>200542</v>
      </c>
      <c r="B1804">
        <v>3727</v>
      </c>
      <c r="C1804" t="s">
        <v>19</v>
      </c>
      <c r="D1804" t="s">
        <v>29</v>
      </c>
      <c r="E1804" t="s">
        <v>34</v>
      </c>
      <c r="F1804" t="s">
        <v>35</v>
      </c>
      <c r="G1804" s="1">
        <v>45557</v>
      </c>
      <c r="H1804" s="1">
        <v>45558</v>
      </c>
      <c r="I1804" s="1">
        <v>45578</v>
      </c>
      <c r="J1804">
        <v>21</v>
      </c>
      <c r="K1804">
        <v>1</v>
      </c>
      <c r="L1804">
        <v>3</v>
      </c>
      <c r="M1804">
        <v>575.27</v>
      </c>
      <c r="N1804">
        <v>1725.81</v>
      </c>
      <c r="O1804">
        <v>0.05</v>
      </c>
      <c r="P1804">
        <v>86.29</v>
      </c>
      <c r="Q1804">
        <v>1639.52</v>
      </c>
      <c r="R1804">
        <v>931.94</v>
      </c>
      <c r="S1804">
        <v>707.58</v>
      </c>
    </row>
    <row r="1805" spans="1:19" x14ac:dyDescent="0.35">
      <c r="A1805">
        <v>200543</v>
      </c>
      <c r="B1805">
        <v>3658</v>
      </c>
      <c r="C1805" t="s">
        <v>28</v>
      </c>
      <c r="D1805" t="s">
        <v>31</v>
      </c>
      <c r="E1805" t="s">
        <v>26</v>
      </c>
      <c r="F1805" t="s">
        <v>36</v>
      </c>
      <c r="G1805" s="1">
        <v>45636</v>
      </c>
      <c r="H1805" s="1">
        <v>45641</v>
      </c>
      <c r="I1805" s="1">
        <v>45651</v>
      </c>
      <c r="J1805">
        <v>15</v>
      </c>
      <c r="K1805">
        <v>5</v>
      </c>
      <c r="L1805">
        <v>4</v>
      </c>
      <c r="M1805">
        <v>624.45000000000005</v>
      </c>
      <c r="N1805">
        <v>2497.8000000000002</v>
      </c>
      <c r="O1805">
        <v>7.0000000000000007E-2</v>
      </c>
      <c r="P1805">
        <v>174.85</v>
      </c>
      <c r="Q1805">
        <v>2322.9499999999998</v>
      </c>
      <c r="R1805">
        <v>1773.44</v>
      </c>
      <c r="S1805">
        <v>549.51</v>
      </c>
    </row>
    <row r="1806" spans="1:19" x14ac:dyDescent="0.35">
      <c r="A1806">
        <v>200544</v>
      </c>
      <c r="B1806">
        <v>4122</v>
      </c>
      <c r="C1806" t="s">
        <v>33</v>
      </c>
      <c r="D1806" t="s">
        <v>20</v>
      </c>
      <c r="E1806" t="s">
        <v>26</v>
      </c>
      <c r="F1806" t="s">
        <v>27</v>
      </c>
      <c r="G1806" s="1">
        <v>45555</v>
      </c>
      <c r="H1806" s="1">
        <v>45558</v>
      </c>
      <c r="I1806" s="1">
        <v>45573</v>
      </c>
      <c r="J1806">
        <v>18</v>
      </c>
      <c r="K1806">
        <v>3</v>
      </c>
      <c r="L1806">
        <v>1</v>
      </c>
      <c r="M1806">
        <v>558.09</v>
      </c>
      <c r="N1806">
        <v>558.09</v>
      </c>
      <c r="O1806">
        <v>0.09</v>
      </c>
      <c r="P1806">
        <v>50.23</v>
      </c>
      <c r="Q1806">
        <v>507.86</v>
      </c>
      <c r="R1806">
        <v>362.76</v>
      </c>
      <c r="S1806">
        <v>145.1</v>
      </c>
    </row>
    <row r="1807" spans="1:19" x14ac:dyDescent="0.35">
      <c r="A1807">
        <v>200545</v>
      </c>
      <c r="B1807">
        <v>2354</v>
      </c>
      <c r="C1807" t="s">
        <v>28</v>
      </c>
      <c r="D1807" t="s">
        <v>29</v>
      </c>
      <c r="E1807" t="s">
        <v>34</v>
      </c>
      <c r="F1807" t="s">
        <v>45</v>
      </c>
      <c r="G1807" s="1">
        <v>45582</v>
      </c>
      <c r="H1807" s="1">
        <v>45587</v>
      </c>
      <c r="I1807" s="1">
        <v>45606</v>
      </c>
      <c r="J1807">
        <v>24</v>
      </c>
      <c r="K1807">
        <v>5</v>
      </c>
      <c r="L1807">
        <v>3</v>
      </c>
      <c r="M1807">
        <v>790.93</v>
      </c>
      <c r="N1807">
        <v>2372.79</v>
      </c>
      <c r="O1807">
        <v>0.12</v>
      </c>
      <c r="P1807">
        <v>284.73</v>
      </c>
      <c r="Q1807">
        <v>2088.06</v>
      </c>
      <c r="R1807">
        <v>1399.95</v>
      </c>
      <c r="S1807">
        <v>688.11</v>
      </c>
    </row>
    <row r="1808" spans="1:19" x14ac:dyDescent="0.35">
      <c r="A1808">
        <v>200546</v>
      </c>
      <c r="B1808">
        <v>4681</v>
      </c>
      <c r="C1808" t="s">
        <v>28</v>
      </c>
      <c r="D1808" t="s">
        <v>31</v>
      </c>
      <c r="E1808" t="s">
        <v>21</v>
      </c>
      <c r="F1808" t="s">
        <v>38</v>
      </c>
      <c r="G1808" s="1">
        <v>45476</v>
      </c>
      <c r="H1808" s="1">
        <v>45481</v>
      </c>
      <c r="I1808" s="1">
        <v>45498</v>
      </c>
      <c r="J1808">
        <v>22</v>
      </c>
      <c r="K1808">
        <v>5</v>
      </c>
      <c r="L1808">
        <v>14</v>
      </c>
      <c r="M1808">
        <v>776.56</v>
      </c>
      <c r="N1808">
        <v>10871.84</v>
      </c>
      <c r="O1808">
        <v>0.14000000000000001</v>
      </c>
      <c r="P1808">
        <v>1522.06</v>
      </c>
      <c r="Q1808">
        <v>9349.7800000000007</v>
      </c>
      <c r="R1808">
        <v>6849.26</v>
      </c>
      <c r="S1808">
        <v>2500.52</v>
      </c>
    </row>
    <row r="1809" spans="1:19" x14ac:dyDescent="0.35">
      <c r="A1809">
        <v>200547</v>
      </c>
      <c r="B1809">
        <v>4996</v>
      </c>
      <c r="C1809" t="s">
        <v>33</v>
      </c>
      <c r="D1809" t="s">
        <v>31</v>
      </c>
      <c r="E1809" t="s">
        <v>34</v>
      </c>
      <c r="F1809" t="s">
        <v>40</v>
      </c>
      <c r="G1809" s="1">
        <v>45638</v>
      </c>
      <c r="H1809" s="1">
        <v>45639</v>
      </c>
      <c r="I1809" s="1">
        <v>45652</v>
      </c>
      <c r="J1809">
        <v>14</v>
      </c>
      <c r="K1809">
        <v>1</v>
      </c>
      <c r="L1809">
        <v>4</v>
      </c>
      <c r="M1809">
        <v>668.82</v>
      </c>
      <c r="N1809">
        <v>2675.28</v>
      </c>
      <c r="O1809">
        <v>0.08</v>
      </c>
      <c r="P1809">
        <v>214.02</v>
      </c>
      <c r="Q1809">
        <v>2461.2600000000002</v>
      </c>
      <c r="R1809">
        <v>1765.68</v>
      </c>
      <c r="S1809">
        <v>695.58</v>
      </c>
    </row>
    <row r="1810" spans="1:19" x14ac:dyDescent="0.35">
      <c r="A1810">
        <v>200548</v>
      </c>
      <c r="B1810">
        <v>1977</v>
      </c>
      <c r="C1810" t="s">
        <v>23</v>
      </c>
      <c r="D1810" t="s">
        <v>29</v>
      </c>
      <c r="E1810" t="s">
        <v>26</v>
      </c>
      <c r="F1810" t="s">
        <v>36</v>
      </c>
      <c r="G1810" s="1">
        <v>45415</v>
      </c>
      <c r="H1810" s="1">
        <v>45420</v>
      </c>
      <c r="I1810" s="1">
        <v>45430</v>
      </c>
      <c r="J1810">
        <v>15</v>
      </c>
      <c r="K1810">
        <v>5</v>
      </c>
      <c r="L1810">
        <v>12</v>
      </c>
      <c r="M1810">
        <v>8.81</v>
      </c>
      <c r="N1810">
        <v>105.72</v>
      </c>
      <c r="O1810">
        <v>0.12</v>
      </c>
      <c r="P1810">
        <v>12.69</v>
      </c>
      <c r="Q1810">
        <v>93.03</v>
      </c>
      <c r="R1810">
        <v>68.72</v>
      </c>
      <c r="S1810">
        <v>24.31</v>
      </c>
    </row>
    <row r="1811" spans="1:19" x14ac:dyDescent="0.35">
      <c r="A1811">
        <v>200549</v>
      </c>
      <c r="B1811">
        <v>3813</v>
      </c>
      <c r="C1811" t="s">
        <v>33</v>
      </c>
      <c r="D1811" t="s">
        <v>20</v>
      </c>
      <c r="E1811" t="s">
        <v>34</v>
      </c>
      <c r="F1811" t="s">
        <v>43</v>
      </c>
      <c r="G1811" s="1">
        <v>45610</v>
      </c>
      <c r="H1811" s="1">
        <v>45612</v>
      </c>
      <c r="I1811" s="1">
        <v>45630</v>
      </c>
      <c r="J1811">
        <v>20</v>
      </c>
      <c r="K1811">
        <v>2</v>
      </c>
      <c r="L1811">
        <v>7</v>
      </c>
      <c r="M1811">
        <v>498.83</v>
      </c>
      <c r="N1811">
        <v>3491.81</v>
      </c>
      <c r="O1811">
        <v>7.0000000000000007E-2</v>
      </c>
      <c r="P1811">
        <v>244.43</v>
      </c>
      <c r="Q1811">
        <v>3247.38</v>
      </c>
      <c r="R1811">
        <v>2025.25</v>
      </c>
      <c r="S1811">
        <v>1222.1300000000001</v>
      </c>
    </row>
    <row r="1812" spans="1:19" x14ac:dyDescent="0.35">
      <c r="A1812">
        <v>200550</v>
      </c>
      <c r="B1812">
        <v>4368</v>
      </c>
      <c r="C1812" t="s">
        <v>19</v>
      </c>
      <c r="D1812" t="s">
        <v>31</v>
      </c>
      <c r="E1812" t="s">
        <v>24</v>
      </c>
      <c r="F1812" t="s">
        <v>42</v>
      </c>
      <c r="G1812" s="1">
        <v>45376</v>
      </c>
      <c r="H1812" s="1">
        <v>45379</v>
      </c>
      <c r="I1812" s="1">
        <v>45391</v>
      </c>
      <c r="J1812">
        <v>15</v>
      </c>
      <c r="K1812">
        <v>3</v>
      </c>
      <c r="L1812">
        <v>13</v>
      </c>
      <c r="M1812">
        <v>498.11</v>
      </c>
      <c r="N1812">
        <v>6475.43</v>
      </c>
      <c r="O1812">
        <v>0.08</v>
      </c>
      <c r="P1812">
        <v>518.03</v>
      </c>
      <c r="Q1812">
        <v>5957.4</v>
      </c>
      <c r="R1812">
        <v>4014.77</v>
      </c>
      <c r="S1812">
        <v>1942.63</v>
      </c>
    </row>
    <row r="1813" spans="1:19" x14ac:dyDescent="0.35">
      <c r="A1813">
        <v>200551</v>
      </c>
      <c r="B1813">
        <v>2522</v>
      </c>
      <c r="C1813" t="s">
        <v>23</v>
      </c>
      <c r="D1813" t="s">
        <v>20</v>
      </c>
      <c r="E1813" t="s">
        <v>26</v>
      </c>
      <c r="F1813" t="s">
        <v>27</v>
      </c>
      <c r="G1813" s="1">
        <v>45428</v>
      </c>
      <c r="H1813" s="1">
        <v>45430</v>
      </c>
      <c r="I1813" s="1">
        <v>45451</v>
      </c>
      <c r="J1813">
        <v>23</v>
      </c>
      <c r="K1813">
        <v>2</v>
      </c>
      <c r="L1813">
        <v>4</v>
      </c>
      <c r="M1813">
        <v>390.74</v>
      </c>
      <c r="N1813">
        <v>1562.96</v>
      </c>
      <c r="O1813">
        <v>0.11</v>
      </c>
      <c r="P1813">
        <v>171.93</v>
      </c>
      <c r="Q1813">
        <v>1391.03</v>
      </c>
      <c r="R1813">
        <v>1031.55</v>
      </c>
      <c r="S1813">
        <v>359.48</v>
      </c>
    </row>
    <row r="1814" spans="1:19" x14ac:dyDescent="0.35">
      <c r="A1814">
        <v>200552</v>
      </c>
      <c r="B1814">
        <v>4988</v>
      </c>
      <c r="C1814" t="s">
        <v>28</v>
      </c>
      <c r="D1814" t="s">
        <v>20</v>
      </c>
      <c r="E1814" t="s">
        <v>26</v>
      </c>
      <c r="F1814" t="s">
        <v>36</v>
      </c>
      <c r="G1814" s="1">
        <v>45462</v>
      </c>
      <c r="H1814" s="1">
        <v>45467</v>
      </c>
      <c r="I1814" s="1">
        <v>45491</v>
      </c>
      <c r="J1814">
        <v>29</v>
      </c>
      <c r="K1814">
        <v>5</v>
      </c>
      <c r="L1814">
        <v>8</v>
      </c>
      <c r="M1814">
        <v>683.42</v>
      </c>
      <c r="N1814">
        <v>5467.36</v>
      </c>
      <c r="O1814">
        <v>7.0000000000000007E-2</v>
      </c>
      <c r="P1814">
        <v>382.72</v>
      </c>
      <c r="Q1814">
        <v>5084.6400000000003</v>
      </c>
      <c r="R1814">
        <v>3335.09</v>
      </c>
      <c r="S1814">
        <v>1749.55</v>
      </c>
    </row>
    <row r="1815" spans="1:19" x14ac:dyDescent="0.35">
      <c r="A1815">
        <v>200553</v>
      </c>
      <c r="B1815">
        <v>2272</v>
      </c>
      <c r="C1815" t="s">
        <v>23</v>
      </c>
      <c r="D1815" t="s">
        <v>31</v>
      </c>
      <c r="E1815" t="s">
        <v>24</v>
      </c>
      <c r="F1815" t="s">
        <v>42</v>
      </c>
      <c r="G1815" s="1">
        <v>45355</v>
      </c>
      <c r="H1815" s="1">
        <v>45359</v>
      </c>
      <c r="I1815" s="1">
        <v>45384</v>
      </c>
      <c r="J1815">
        <v>29</v>
      </c>
      <c r="K1815">
        <v>4</v>
      </c>
      <c r="L1815">
        <v>9</v>
      </c>
      <c r="M1815">
        <v>92.39</v>
      </c>
      <c r="N1815">
        <v>831.51</v>
      </c>
      <c r="O1815">
        <v>0.26</v>
      </c>
      <c r="P1815">
        <v>216.19</v>
      </c>
      <c r="Q1815">
        <v>615.32000000000005</v>
      </c>
      <c r="R1815">
        <v>498.91</v>
      </c>
      <c r="S1815">
        <v>116.41</v>
      </c>
    </row>
    <row r="1816" spans="1:19" x14ac:dyDescent="0.35">
      <c r="A1816">
        <v>200554</v>
      </c>
      <c r="B1816">
        <v>4956</v>
      </c>
      <c r="C1816" t="s">
        <v>23</v>
      </c>
      <c r="D1816" t="s">
        <v>20</v>
      </c>
      <c r="E1816" t="s">
        <v>26</v>
      </c>
      <c r="F1816" t="s">
        <v>36</v>
      </c>
      <c r="G1816" s="1">
        <v>45535</v>
      </c>
      <c r="H1816" s="1">
        <v>45536</v>
      </c>
      <c r="I1816" s="1">
        <v>45553</v>
      </c>
      <c r="J1816">
        <v>18</v>
      </c>
      <c r="K1816">
        <v>1</v>
      </c>
      <c r="L1816">
        <v>14</v>
      </c>
      <c r="M1816">
        <v>153.49</v>
      </c>
      <c r="N1816">
        <v>2148.86</v>
      </c>
      <c r="O1816">
        <v>7.0000000000000007E-2</v>
      </c>
      <c r="P1816">
        <v>150.41999999999999</v>
      </c>
      <c r="Q1816">
        <v>1998.44</v>
      </c>
      <c r="R1816">
        <v>1310.8</v>
      </c>
      <c r="S1816">
        <v>687.64</v>
      </c>
    </row>
    <row r="1817" spans="1:19" x14ac:dyDescent="0.35">
      <c r="A1817">
        <v>200555</v>
      </c>
      <c r="B1817">
        <v>1241</v>
      </c>
      <c r="C1817" t="s">
        <v>19</v>
      </c>
      <c r="D1817" t="s">
        <v>20</v>
      </c>
      <c r="E1817" t="s">
        <v>21</v>
      </c>
      <c r="F1817" t="s">
        <v>38</v>
      </c>
      <c r="G1817" s="1">
        <v>45425</v>
      </c>
      <c r="H1817" s="1">
        <v>45429</v>
      </c>
      <c r="I1817" s="1">
        <v>45451</v>
      </c>
      <c r="J1817">
        <v>26</v>
      </c>
      <c r="K1817">
        <v>4</v>
      </c>
      <c r="L1817">
        <v>8</v>
      </c>
      <c r="M1817">
        <v>757.25</v>
      </c>
      <c r="N1817">
        <v>6058</v>
      </c>
      <c r="O1817">
        <v>0.15</v>
      </c>
      <c r="P1817">
        <v>908.7</v>
      </c>
      <c r="Q1817">
        <v>5149.3</v>
      </c>
      <c r="R1817">
        <v>3331.9</v>
      </c>
      <c r="S1817">
        <v>1817.4</v>
      </c>
    </row>
    <row r="1818" spans="1:19" x14ac:dyDescent="0.35">
      <c r="A1818">
        <v>200556</v>
      </c>
      <c r="B1818">
        <v>2157</v>
      </c>
      <c r="C1818" t="s">
        <v>19</v>
      </c>
      <c r="D1818" t="s">
        <v>31</v>
      </c>
      <c r="E1818" t="s">
        <v>34</v>
      </c>
      <c r="F1818" t="s">
        <v>35</v>
      </c>
      <c r="G1818" s="1">
        <v>45514</v>
      </c>
      <c r="H1818" s="1">
        <v>45516</v>
      </c>
      <c r="I1818" s="1">
        <v>45521</v>
      </c>
      <c r="J1818">
        <v>7</v>
      </c>
      <c r="K1818">
        <v>2</v>
      </c>
      <c r="L1818">
        <v>7</v>
      </c>
      <c r="M1818">
        <v>230.39</v>
      </c>
      <c r="N1818">
        <v>1612.73</v>
      </c>
      <c r="O1818">
        <v>0.13</v>
      </c>
      <c r="P1818">
        <v>209.65</v>
      </c>
      <c r="Q1818">
        <v>1403.08</v>
      </c>
      <c r="R1818">
        <v>1016.02</v>
      </c>
      <c r="S1818">
        <v>387.06</v>
      </c>
    </row>
    <row r="1819" spans="1:19" x14ac:dyDescent="0.35">
      <c r="A1819">
        <v>200557</v>
      </c>
      <c r="B1819">
        <v>1319</v>
      </c>
      <c r="C1819" t="s">
        <v>33</v>
      </c>
      <c r="D1819" t="s">
        <v>29</v>
      </c>
      <c r="E1819" t="s">
        <v>21</v>
      </c>
      <c r="F1819" t="s">
        <v>41</v>
      </c>
      <c r="G1819" s="1">
        <v>45487</v>
      </c>
      <c r="H1819" s="1">
        <v>45489</v>
      </c>
      <c r="I1819" s="1">
        <v>45504</v>
      </c>
      <c r="J1819">
        <v>17</v>
      </c>
      <c r="K1819">
        <v>2</v>
      </c>
      <c r="L1819">
        <v>5</v>
      </c>
      <c r="M1819">
        <v>160.05000000000001</v>
      </c>
      <c r="N1819">
        <v>800.25</v>
      </c>
      <c r="O1819">
        <v>0.09</v>
      </c>
      <c r="P1819">
        <v>72.02</v>
      </c>
      <c r="Q1819">
        <v>728.23</v>
      </c>
      <c r="R1819">
        <v>568.17999999999995</v>
      </c>
      <c r="S1819">
        <v>160.05000000000001</v>
      </c>
    </row>
    <row r="1820" spans="1:19" x14ac:dyDescent="0.35">
      <c r="A1820">
        <v>200558</v>
      </c>
      <c r="B1820">
        <v>1976</v>
      </c>
      <c r="C1820" t="s">
        <v>33</v>
      </c>
      <c r="D1820" t="s">
        <v>31</v>
      </c>
      <c r="E1820" t="s">
        <v>26</v>
      </c>
      <c r="F1820" t="s">
        <v>37</v>
      </c>
      <c r="G1820" s="1">
        <v>45644</v>
      </c>
      <c r="H1820" s="1">
        <v>45649</v>
      </c>
      <c r="I1820" s="1">
        <v>45673</v>
      </c>
      <c r="J1820">
        <v>29</v>
      </c>
      <c r="K1820">
        <v>5</v>
      </c>
      <c r="L1820">
        <v>13</v>
      </c>
      <c r="M1820">
        <v>28.05</v>
      </c>
      <c r="N1820">
        <v>364.65</v>
      </c>
      <c r="O1820">
        <v>7.0000000000000007E-2</v>
      </c>
      <c r="P1820">
        <v>25.53</v>
      </c>
      <c r="Q1820">
        <v>339.12</v>
      </c>
      <c r="R1820">
        <v>240.67</v>
      </c>
      <c r="S1820">
        <v>98.45</v>
      </c>
    </row>
    <row r="1821" spans="1:19" x14ac:dyDescent="0.35">
      <c r="A1821">
        <v>200559</v>
      </c>
      <c r="B1821">
        <v>2490</v>
      </c>
      <c r="C1821" t="s">
        <v>23</v>
      </c>
      <c r="D1821" t="s">
        <v>20</v>
      </c>
      <c r="E1821" t="s">
        <v>21</v>
      </c>
      <c r="F1821" t="s">
        <v>39</v>
      </c>
      <c r="G1821" s="1">
        <v>45502</v>
      </c>
      <c r="H1821" s="1">
        <v>45503</v>
      </c>
      <c r="I1821" s="1">
        <v>45522</v>
      </c>
      <c r="J1821">
        <v>20</v>
      </c>
      <c r="K1821">
        <v>1</v>
      </c>
      <c r="L1821">
        <v>2</v>
      </c>
      <c r="M1821">
        <v>351.77</v>
      </c>
      <c r="N1821">
        <v>703.54</v>
      </c>
      <c r="O1821">
        <v>0.03</v>
      </c>
      <c r="P1821">
        <v>21.11</v>
      </c>
      <c r="Q1821">
        <v>682.43</v>
      </c>
      <c r="R1821">
        <v>478.41</v>
      </c>
      <c r="S1821">
        <v>204.02</v>
      </c>
    </row>
    <row r="1822" spans="1:19" x14ac:dyDescent="0.35">
      <c r="A1822">
        <v>200560</v>
      </c>
      <c r="B1822">
        <v>1647</v>
      </c>
      <c r="C1822" t="s">
        <v>33</v>
      </c>
      <c r="D1822" t="s">
        <v>31</v>
      </c>
      <c r="E1822" t="s">
        <v>34</v>
      </c>
      <c r="F1822" t="s">
        <v>43</v>
      </c>
      <c r="G1822" s="1">
        <v>45338</v>
      </c>
      <c r="H1822" s="1">
        <v>45339</v>
      </c>
      <c r="I1822" s="1">
        <v>45367</v>
      </c>
      <c r="J1822">
        <v>29</v>
      </c>
      <c r="K1822">
        <v>1</v>
      </c>
      <c r="L1822">
        <v>1</v>
      </c>
      <c r="M1822">
        <v>600.49</v>
      </c>
      <c r="N1822">
        <v>600.49</v>
      </c>
      <c r="O1822">
        <v>0.15</v>
      </c>
      <c r="P1822">
        <v>90.07</v>
      </c>
      <c r="Q1822">
        <v>510.42</v>
      </c>
      <c r="R1822">
        <v>390.32</v>
      </c>
      <c r="S1822">
        <v>120.1</v>
      </c>
    </row>
    <row r="1823" spans="1:19" x14ac:dyDescent="0.35">
      <c r="A1823">
        <v>200561</v>
      </c>
      <c r="B1823">
        <v>2150</v>
      </c>
      <c r="C1823" t="s">
        <v>23</v>
      </c>
      <c r="D1823" t="s">
        <v>20</v>
      </c>
      <c r="E1823" t="s">
        <v>34</v>
      </c>
      <c r="F1823" t="s">
        <v>45</v>
      </c>
      <c r="G1823" s="1">
        <v>45606</v>
      </c>
      <c r="H1823" s="1">
        <v>45608</v>
      </c>
      <c r="I1823" s="1">
        <v>45625</v>
      </c>
      <c r="J1823">
        <v>19</v>
      </c>
      <c r="K1823">
        <v>2</v>
      </c>
      <c r="L1823">
        <v>5</v>
      </c>
      <c r="M1823">
        <v>186.53</v>
      </c>
      <c r="N1823">
        <v>932.65</v>
      </c>
      <c r="O1823">
        <v>0.11</v>
      </c>
      <c r="P1823">
        <v>102.59</v>
      </c>
      <c r="Q1823">
        <v>830.06</v>
      </c>
      <c r="R1823">
        <v>615.54999999999995</v>
      </c>
      <c r="S1823">
        <v>214.51</v>
      </c>
    </row>
    <row r="1824" spans="1:19" x14ac:dyDescent="0.35">
      <c r="A1824">
        <v>200562</v>
      </c>
      <c r="B1824">
        <v>4541</v>
      </c>
      <c r="C1824" t="s">
        <v>33</v>
      </c>
      <c r="D1824" t="s">
        <v>31</v>
      </c>
      <c r="E1824" t="s">
        <v>21</v>
      </c>
      <c r="F1824" t="s">
        <v>22</v>
      </c>
      <c r="G1824" s="1">
        <v>45543</v>
      </c>
      <c r="H1824" s="1">
        <v>45544</v>
      </c>
      <c r="I1824" s="1">
        <v>45563</v>
      </c>
      <c r="J1824">
        <v>20</v>
      </c>
      <c r="K1824">
        <v>1</v>
      </c>
      <c r="L1824">
        <v>3</v>
      </c>
      <c r="M1824">
        <v>752.16</v>
      </c>
      <c r="N1824">
        <v>2256.48</v>
      </c>
      <c r="O1824">
        <v>0.1</v>
      </c>
      <c r="P1824">
        <v>225.65</v>
      </c>
      <c r="Q1824">
        <v>2030.83</v>
      </c>
      <c r="R1824">
        <v>1534.41</v>
      </c>
      <c r="S1824">
        <v>496.42</v>
      </c>
    </row>
    <row r="1825" spans="1:19" x14ac:dyDescent="0.35">
      <c r="A1825">
        <v>200563</v>
      </c>
      <c r="B1825">
        <v>3913</v>
      </c>
      <c r="C1825" t="s">
        <v>19</v>
      </c>
      <c r="D1825" t="s">
        <v>31</v>
      </c>
      <c r="E1825" t="s">
        <v>21</v>
      </c>
      <c r="F1825" t="s">
        <v>38</v>
      </c>
      <c r="G1825" s="1">
        <v>45477</v>
      </c>
      <c r="H1825" s="1">
        <v>45478</v>
      </c>
      <c r="I1825" s="1">
        <v>45483</v>
      </c>
      <c r="J1825">
        <v>6</v>
      </c>
      <c r="K1825">
        <v>1</v>
      </c>
      <c r="L1825">
        <v>2</v>
      </c>
      <c r="M1825">
        <v>633.41</v>
      </c>
      <c r="N1825">
        <v>1266.82</v>
      </c>
      <c r="O1825">
        <v>0.09</v>
      </c>
      <c r="P1825">
        <v>114.01</v>
      </c>
      <c r="Q1825">
        <v>1152.81</v>
      </c>
      <c r="R1825">
        <v>823.43</v>
      </c>
      <c r="S1825">
        <v>329.38</v>
      </c>
    </row>
    <row r="1826" spans="1:19" x14ac:dyDescent="0.35">
      <c r="A1826">
        <v>200564</v>
      </c>
      <c r="B1826">
        <v>4286</v>
      </c>
      <c r="C1826" t="s">
        <v>28</v>
      </c>
      <c r="D1826" t="s">
        <v>20</v>
      </c>
      <c r="E1826" t="s">
        <v>24</v>
      </c>
      <c r="F1826" t="s">
        <v>42</v>
      </c>
      <c r="G1826" s="1">
        <v>45343</v>
      </c>
      <c r="H1826" s="1">
        <v>45347</v>
      </c>
      <c r="I1826" s="1">
        <v>45364</v>
      </c>
      <c r="J1826">
        <v>21</v>
      </c>
      <c r="K1826">
        <v>4</v>
      </c>
      <c r="L1826">
        <v>10</v>
      </c>
      <c r="M1826">
        <v>782.49</v>
      </c>
      <c r="N1826">
        <v>7824.9</v>
      </c>
      <c r="O1826">
        <v>0.09</v>
      </c>
      <c r="P1826">
        <v>704.24</v>
      </c>
      <c r="Q1826">
        <v>7120.66</v>
      </c>
      <c r="R1826">
        <v>4773.1899999999996</v>
      </c>
      <c r="S1826">
        <v>2347.4699999999998</v>
      </c>
    </row>
    <row r="1827" spans="1:19" x14ac:dyDescent="0.35">
      <c r="A1827">
        <v>200565</v>
      </c>
      <c r="B1827">
        <v>4069</v>
      </c>
      <c r="C1827" t="s">
        <v>28</v>
      </c>
      <c r="D1827" t="s">
        <v>29</v>
      </c>
      <c r="E1827" t="s">
        <v>34</v>
      </c>
      <c r="F1827" t="s">
        <v>45</v>
      </c>
      <c r="G1827" s="1">
        <v>45383</v>
      </c>
      <c r="H1827" s="1">
        <v>45388</v>
      </c>
      <c r="I1827" s="1">
        <v>45388</v>
      </c>
      <c r="J1827">
        <v>5</v>
      </c>
      <c r="K1827">
        <v>5</v>
      </c>
      <c r="L1827">
        <v>7</v>
      </c>
      <c r="M1827">
        <v>738.72</v>
      </c>
      <c r="N1827">
        <v>5171.04</v>
      </c>
      <c r="O1827">
        <v>7.0000000000000007E-2</v>
      </c>
      <c r="P1827">
        <v>361.97</v>
      </c>
      <c r="Q1827">
        <v>4809.07</v>
      </c>
      <c r="R1827">
        <v>3464.6</v>
      </c>
      <c r="S1827">
        <v>1344.47</v>
      </c>
    </row>
    <row r="1828" spans="1:19" x14ac:dyDescent="0.35">
      <c r="A1828">
        <v>200566</v>
      </c>
      <c r="B1828">
        <v>3444</v>
      </c>
      <c r="C1828" t="s">
        <v>33</v>
      </c>
      <c r="D1828" t="s">
        <v>29</v>
      </c>
      <c r="E1828" t="s">
        <v>21</v>
      </c>
      <c r="F1828" t="s">
        <v>22</v>
      </c>
      <c r="G1828" s="1">
        <v>45342</v>
      </c>
      <c r="H1828" s="1">
        <v>45347</v>
      </c>
      <c r="I1828" s="1">
        <v>45361</v>
      </c>
      <c r="J1828">
        <v>19</v>
      </c>
      <c r="K1828">
        <v>5</v>
      </c>
      <c r="L1828">
        <v>9</v>
      </c>
      <c r="M1828">
        <v>391.86</v>
      </c>
      <c r="N1828">
        <v>3526.74</v>
      </c>
      <c r="O1828">
        <v>0.08</v>
      </c>
      <c r="P1828">
        <v>282.14</v>
      </c>
      <c r="Q1828">
        <v>3244.6</v>
      </c>
      <c r="R1828">
        <v>2609.79</v>
      </c>
      <c r="S1828">
        <v>634.80999999999995</v>
      </c>
    </row>
    <row r="1829" spans="1:19" x14ac:dyDescent="0.35">
      <c r="A1829">
        <v>200567</v>
      </c>
      <c r="B1829">
        <v>2768</v>
      </c>
      <c r="C1829" t="s">
        <v>33</v>
      </c>
      <c r="D1829" t="s">
        <v>20</v>
      </c>
      <c r="E1829" t="s">
        <v>24</v>
      </c>
      <c r="F1829" t="s">
        <v>30</v>
      </c>
      <c r="G1829" s="1">
        <v>45414</v>
      </c>
      <c r="H1829" s="1">
        <v>45418</v>
      </c>
      <c r="I1829" s="1">
        <v>45434</v>
      </c>
      <c r="J1829">
        <v>20</v>
      </c>
      <c r="K1829">
        <v>4</v>
      </c>
      <c r="L1829">
        <v>11</v>
      </c>
      <c r="M1829">
        <v>320.2</v>
      </c>
      <c r="N1829">
        <v>3522.2</v>
      </c>
      <c r="O1829">
        <v>0.02</v>
      </c>
      <c r="P1829">
        <v>70.44</v>
      </c>
      <c r="Q1829">
        <v>3451.76</v>
      </c>
      <c r="R1829">
        <v>2289.4299999999998</v>
      </c>
      <c r="S1829">
        <v>1162.33</v>
      </c>
    </row>
    <row r="1830" spans="1:19" x14ac:dyDescent="0.35">
      <c r="A1830">
        <v>200568</v>
      </c>
      <c r="B1830">
        <v>4338</v>
      </c>
      <c r="C1830" t="s">
        <v>23</v>
      </c>
      <c r="D1830" t="s">
        <v>20</v>
      </c>
      <c r="E1830" t="s">
        <v>21</v>
      </c>
      <c r="F1830" t="s">
        <v>39</v>
      </c>
      <c r="G1830" s="1">
        <v>45504</v>
      </c>
      <c r="H1830" s="1">
        <v>45506</v>
      </c>
      <c r="I1830" s="1">
        <v>45509</v>
      </c>
      <c r="J1830">
        <v>5</v>
      </c>
      <c r="K1830">
        <v>2</v>
      </c>
      <c r="L1830">
        <v>4</v>
      </c>
      <c r="M1830">
        <v>157.38</v>
      </c>
      <c r="N1830">
        <v>629.52</v>
      </c>
      <c r="O1830">
        <v>0.15</v>
      </c>
      <c r="P1830">
        <v>94.43</v>
      </c>
      <c r="Q1830">
        <v>535.09</v>
      </c>
      <c r="R1830">
        <v>371.42</v>
      </c>
      <c r="S1830">
        <v>163.66999999999999</v>
      </c>
    </row>
    <row r="1831" spans="1:19" x14ac:dyDescent="0.35">
      <c r="A1831">
        <v>200569</v>
      </c>
      <c r="B1831">
        <v>2453</v>
      </c>
      <c r="C1831" t="s">
        <v>33</v>
      </c>
      <c r="D1831" t="s">
        <v>31</v>
      </c>
      <c r="E1831" t="s">
        <v>21</v>
      </c>
      <c r="F1831" t="s">
        <v>41</v>
      </c>
      <c r="G1831" s="1">
        <v>45457</v>
      </c>
      <c r="H1831" s="1">
        <v>45459</v>
      </c>
      <c r="I1831" s="1">
        <v>45484</v>
      </c>
      <c r="J1831">
        <v>27</v>
      </c>
      <c r="K1831">
        <v>2</v>
      </c>
      <c r="L1831">
        <v>6</v>
      </c>
      <c r="M1831">
        <v>676.17</v>
      </c>
      <c r="N1831">
        <v>4057.02</v>
      </c>
      <c r="O1831">
        <v>0.05</v>
      </c>
      <c r="P1831">
        <v>202.85</v>
      </c>
      <c r="Q1831">
        <v>3854.17</v>
      </c>
      <c r="R1831">
        <v>2637.06</v>
      </c>
      <c r="S1831">
        <v>1217.1099999999999</v>
      </c>
    </row>
    <row r="1832" spans="1:19" x14ac:dyDescent="0.35">
      <c r="A1832">
        <v>200570</v>
      </c>
      <c r="B1832">
        <v>4876</v>
      </c>
      <c r="C1832" t="s">
        <v>28</v>
      </c>
      <c r="D1832" t="s">
        <v>29</v>
      </c>
      <c r="E1832" t="s">
        <v>21</v>
      </c>
      <c r="F1832" t="s">
        <v>39</v>
      </c>
      <c r="G1832" s="1">
        <v>45322</v>
      </c>
      <c r="H1832" s="1">
        <v>45323</v>
      </c>
      <c r="I1832" s="1">
        <v>45343</v>
      </c>
      <c r="J1832">
        <v>21</v>
      </c>
      <c r="K1832">
        <v>1</v>
      </c>
      <c r="L1832">
        <v>3</v>
      </c>
      <c r="M1832">
        <v>72.38</v>
      </c>
      <c r="N1832">
        <v>217.14</v>
      </c>
      <c r="O1832">
        <v>0.02</v>
      </c>
      <c r="P1832">
        <v>4.34</v>
      </c>
      <c r="Q1832">
        <v>212.8</v>
      </c>
      <c r="R1832">
        <v>136.80000000000001</v>
      </c>
      <c r="S1832">
        <v>76</v>
      </c>
    </row>
    <row r="1833" spans="1:19" x14ac:dyDescent="0.35">
      <c r="A1833">
        <v>200571</v>
      </c>
      <c r="B1833">
        <v>2072</v>
      </c>
      <c r="C1833" t="s">
        <v>28</v>
      </c>
      <c r="D1833" t="s">
        <v>29</v>
      </c>
      <c r="E1833" t="s">
        <v>26</v>
      </c>
      <c r="F1833" t="s">
        <v>27</v>
      </c>
      <c r="G1833" s="1">
        <v>45361</v>
      </c>
      <c r="H1833" s="1">
        <v>45366</v>
      </c>
      <c r="I1833" s="1">
        <v>45372</v>
      </c>
      <c r="J1833">
        <v>11</v>
      </c>
      <c r="K1833">
        <v>5</v>
      </c>
      <c r="L1833">
        <v>5</v>
      </c>
      <c r="M1833">
        <v>23.95</v>
      </c>
      <c r="N1833">
        <v>119.75</v>
      </c>
      <c r="O1833">
        <v>0.18</v>
      </c>
      <c r="P1833">
        <v>21.56</v>
      </c>
      <c r="Q1833">
        <v>98.2</v>
      </c>
      <c r="R1833">
        <v>71.849999999999994</v>
      </c>
      <c r="S1833">
        <v>26.35</v>
      </c>
    </row>
    <row r="1834" spans="1:19" x14ac:dyDescent="0.35">
      <c r="A1834">
        <v>200572</v>
      </c>
      <c r="B1834">
        <v>2255</v>
      </c>
      <c r="C1834" t="s">
        <v>23</v>
      </c>
      <c r="D1834" t="s">
        <v>31</v>
      </c>
      <c r="E1834" t="s">
        <v>21</v>
      </c>
      <c r="F1834" t="s">
        <v>38</v>
      </c>
      <c r="G1834" s="1">
        <v>45302</v>
      </c>
      <c r="H1834" s="1">
        <v>45304</v>
      </c>
      <c r="I1834" s="1">
        <v>45323</v>
      </c>
      <c r="J1834">
        <v>21</v>
      </c>
      <c r="K1834">
        <v>2</v>
      </c>
      <c r="L1834">
        <v>2</v>
      </c>
      <c r="M1834">
        <v>404.9</v>
      </c>
      <c r="N1834">
        <v>809.8</v>
      </c>
      <c r="O1834">
        <v>0.11</v>
      </c>
      <c r="P1834">
        <v>89.08</v>
      </c>
      <c r="Q1834">
        <v>720.72</v>
      </c>
      <c r="R1834">
        <v>518.27</v>
      </c>
      <c r="S1834">
        <v>202.45</v>
      </c>
    </row>
    <row r="1835" spans="1:19" x14ac:dyDescent="0.35">
      <c r="A1835">
        <v>200573</v>
      </c>
      <c r="B1835">
        <v>3952</v>
      </c>
      <c r="C1835" t="s">
        <v>33</v>
      </c>
      <c r="D1835" t="s">
        <v>20</v>
      </c>
      <c r="E1835" t="s">
        <v>21</v>
      </c>
      <c r="F1835" t="s">
        <v>38</v>
      </c>
      <c r="G1835" s="1">
        <v>45625</v>
      </c>
      <c r="H1835" s="1">
        <v>45626</v>
      </c>
      <c r="I1835" s="1">
        <v>45638</v>
      </c>
      <c r="J1835">
        <v>13</v>
      </c>
      <c r="K1835">
        <v>1</v>
      </c>
      <c r="L1835">
        <v>9</v>
      </c>
      <c r="M1835">
        <v>590.65</v>
      </c>
      <c r="N1835">
        <v>5315.85</v>
      </c>
      <c r="O1835">
        <v>7.0000000000000007E-2</v>
      </c>
      <c r="P1835">
        <v>372.11</v>
      </c>
      <c r="Q1835">
        <v>4943.74</v>
      </c>
      <c r="R1835">
        <v>3455.3</v>
      </c>
      <c r="S1835">
        <v>1488.44</v>
      </c>
    </row>
    <row r="1836" spans="1:19" x14ac:dyDescent="0.35">
      <c r="A1836">
        <v>200574</v>
      </c>
      <c r="B1836">
        <v>2790</v>
      </c>
      <c r="C1836" t="s">
        <v>28</v>
      </c>
      <c r="D1836" t="s">
        <v>20</v>
      </c>
      <c r="E1836" t="s">
        <v>21</v>
      </c>
      <c r="F1836" t="s">
        <v>39</v>
      </c>
      <c r="G1836" s="1">
        <v>45600</v>
      </c>
      <c r="H1836" s="1">
        <v>45604</v>
      </c>
      <c r="I1836" s="1">
        <v>45603</v>
      </c>
      <c r="J1836">
        <v>3</v>
      </c>
      <c r="K1836">
        <v>4</v>
      </c>
      <c r="L1836">
        <v>12</v>
      </c>
      <c r="M1836">
        <v>102.07</v>
      </c>
      <c r="N1836">
        <v>1224.8399999999999</v>
      </c>
      <c r="O1836">
        <v>0.13</v>
      </c>
      <c r="P1836">
        <v>159.22999999999999</v>
      </c>
      <c r="Q1836">
        <v>1065.6099999999999</v>
      </c>
      <c r="R1836">
        <v>894.13</v>
      </c>
      <c r="S1836">
        <v>171.48</v>
      </c>
    </row>
    <row r="1837" spans="1:19" x14ac:dyDescent="0.35">
      <c r="A1837">
        <v>200575</v>
      </c>
      <c r="B1837">
        <v>1265</v>
      </c>
      <c r="C1837" t="s">
        <v>23</v>
      </c>
      <c r="D1837" t="s">
        <v>20</v>
      </c>
      <c r="E1837" t="s">
        <v>26</v>
      </c>
      <c r="F1837" t="s">
        <v>37</v>
      </c>
      <c r="G1837" s="1">
        <v>45425</v>
      </c>
      <c r="H1837" s="1">
        <v>45426</v>
      </c>
      <c r="I1837" s="1">
        <v>45455</v>
      </c>
      <c r="J1837">
        <v>30</v>
      </c>
      <c r="K1837">
        <v>1</v>
      </c>
      <c r="L1837">
        <v>5</v>
      </c>
      <c r="M1837">
        <v>537.63</v>
      </c>
      <c r="N1837">
        <v>2688.15</v>
      </c>
      <c r="O1837">
        <v>0.13</v>
      </c>
      <c r="P1837">
        <v>349.46</v>
      </c>
      <c r="Q1837">
        <v>2338.69</v>
      </c>
      <c r="R1837">
        <v>1747.3</v>
      </c>
      <c r="S1837">
        <v>591.39</v>
      </c>
    </row>
    <row r="1838" spans="1:19" x14ac:dyDescent="0.35">
      <c r="A1838">
        <v>200576</v>
      </c>
      <c r="B1838">
        <v>4852</v>
      </c>
      <c r="C1838" t="s">
        <v>28</v>
      </c>
      <c r="D1838" t="s">
        <v>29</v>
      </c>
      <c r="E1838" t="s">
        <v>24</v>
      </c>
      <c r="F1838" t="s">
        <v>25</v>
      </c>
      <c r="G1838" s="1">
        <v>45406</v>
      </c>
      <c r="H1838" s="1">
        <v>45408</v>
      </c>
      <c r="I1838" s="1">
        <v>45420</v>
      </c>
      <c r="J1838">
        <v>14</v>
      </c>
      <c r="K1838">
        <v>2</v>
      </c>
      <c r="L1838">
        <v>7</v>
      </c>
      <c r="M1838">
        <v>142.1</v>
      </c>
      <c r="N1838">
        <v>994.7</v>
      </c>
      <c r="O1838">
        <v>0.09</v>
      </c>
      <c r="P1838">
        <v>89.52</v>
      </c>
      <c r="Q1838">
        <v>905.18</v>
      </c>
      <c r="R1838">
        <v>656.5</v>
      </c>
      <c r="S1838">
        <v>248.68</v>
      </c>
    </row>
    <row r="1839" spans="1:19" x14ac:dyDescent="0.35">
      <c r="A1839">
        <v>200577</v>
      </c>
      <c r="B1839">
        <v>2152</v>
      </c>
      <c r="C1839" t="s">
        <v>23</v>
      </c>
      <c r="D1839" t="s">
        <v>29</v>
      </c>
      <c r="E1839" t="s">
        <v>21</v>
      </c>
      <c r="F1839" t="s">
        <v>38</v>
      </c>
      <c r="G1839" s="1">
        <v>45464</v>
      </c>
      <c r="H1839" s="1">
        <v>45466</v>
      </c>
      <c r="I1839" s="1">
        <v>45487</v>
      </c>
      <c r="J1839">
        <v>23</v>
      </c>
      <c r="K1839">
        <v>2</v>
      </c>
      <c r="L1839">
        <v>8</v>
      </c>
      <c r="M1839">
        <v>209.03</v>
      </c>
      <c r="N1839">
        <v>1672.24</v>
      </c>
      <c r="O1839">
        <v>0.11</v>
      </c>
      <c r="P1839">
        <v>183.95</v>
      </c>
      <c r="Q1839">
        <v>1488.29</v>
      </c>
      <c r="R1839">
        <v>969.9</v>
      </c>
      <c r="S1839">
        <v>518.39</v>
      </c>
    </row>
    <row r="1840" spans="1:19" x14ac:dyDescent="0.35">
      <c r="A1840">
        <v>200578</v>
      </c>
      <c r="B1840">
        <v>2058</v>
      </c>
      <c r="C1840" t="s">
        <v>19</v>
      </c>
      <c r="D1840" t="s">
        <v>31</v>
      </c>
      <c r="E1840" t="s">
        <v>34</v>
      </c>
      <c r="F1840" t="s">
        <v>40</v>
      </c>
      <c r="G1840" s="1">
        <v>45648</v>
      </c>
      <c r="H1840" s="1">
        <v>45649</v>
      </c>
      <c r="I1840" s="1">
        <v>45665</v>
      </c>
      <c r="J1840">
        <v>17</v>
      </c>
      <c r="K1840">
        <v>1</v>
      </c>
      <c r="L1840">
        <v>10</v>
      </c>
      <c r="M1840">
        <v>360.67</v>
      </c>
      <c r="N1840">
        <v>3606.7</v>
      </c>
      <c r="O1840">
        <v>0.15</v>
      </c>
      <c r="P1840">
        <v>541</v>
      </c>
      <c r="Q1840">
        <v>3065.7</v>
      </c>
      <c r="R1840">
        <v>2200.09</v>
      </c>
      <c r="S1840">
        <v>865.61</v>
      </c>
    </row>
    <row r="1841" spans="1:19" x14ac:dyDescent="0.35">
      <c r="A1841">
        <v>200579</v>
      </c>
      <c r="B1841">
        <v>1213</v>
      </c>
      <c r="C1841" t="s">
        <v>33</v>
      </c>
      <c r="D1841" t="s">
        <v>20</v>
      </c>
      <c r="E1841" t="s">
        <v>24</v>
      </c>
      <c r="F1841" t="s">
        <v>25</v>
      </c>
      <c r="G1841" s="1">
        <v>45565</v>
      </c>
      <c r="H1841" s="1">
        <v>45568</v>
      </c>
      <c r="I1841" s="1">
        <v>45586</v>
      </c>
      <c r="J1841">
        <v>21</v>
      </c>
      <c r="K1841">
        <v>3</v>
      </c>
      <c r="L1841">
        <v>4</v>
      </c>
      <c r="M1841">
        <v>388</v>
      </c>
      <c r="N1841">
        <v>1552</v>
      </c>
      <c r="O1841">
        <v>0.09</v>
      </c>
      <c r="P1841">
        <v>139.68</v>
      </c>
      <c r="Q1841">
        <v>1412.32</v>
      </c>
      <c r="R1841">
        <v>1008.8</v>
      </c>
      <c r="S1841">
        <v>403.52</v>
      </c>
    </row>
    <row r="1842" spans="1:19" x14ac:dyDescent="0.35">
      <c r="A1842">
        <v>200580</v>
      </c>
      <c r="B1842">
        <v>1229</v>
      </c>
      <c r="C1842" t="s">
        <v>33</v>
      </c>
      <c r="D1842" t="s">
        <v>31</v>
      </c>
      <c r="E1842" t="s">
        <v>24</v>
      </c>
      <c r="F1842" t="s">
        <v>30</v>
      </c>
      <c r="G1842" s="1">
        <v>45536</v>
      </c>
      <c r="H1842" s="1">
        <v>45540</v>
      </c>
      <c r="I1842" s="1">
        <v>45562</v>
      </c>
      <c r="J1842">
        <v>26</v>
      </c>
      <c r="K1842">
        <v>4</v>
      </c>
      <c r="L1842">
        <v>4</v>
      </c>
      <c r="M1842">
        <v>364.96</v>
      </c>
      <c r="N1842">
        <v>1459.84</v>
      </c>
      <c r="O1842">
        <v>0.11</v>
      </c>
      <c r="P1842">
        <v>160.58000000000001</v>
      </c>
      <c r="Q1842">
        <v>1299.26</v>
      </c>
      <c r="R1842">
        <v>832.11</v>
      </c>
      <c r="S1842">
        <v>467.15</v>
      </c>
    </row>
    <row r="1843" spans="1:19" x14ac:dyDescent="0.35">
      <c r="A1843">
        <v>200581</v>
      </c>
      <c r="B1843">
        <v>1909</v>
      </c>
      <c r="C1843" t="s">
        <v>23</v>
      </c>
      <c r="D1843" t="s">
        <v>29</v>
      </c>
      <c r="E1843" t="s">
        <v>26</v>
      </c>
      <c r="F1843" t="s">
        <v>37</v>
      </c>
      <c r="G1843" s="1">
        <v>45581</v>
      </c>
      <c r="H1843" s="1">
        <v>45586</v>
      </c>
      <c r="I1843" s="1">
        <v>45599</v>
      </c>
      <c r="J1843">
        <v>18</v>
      </c>
      <c r="K1843">
        <v>5</v>
      </c>
      <c r="L1843">
        <v>4</v>
      </c>
      <c r="M1843">
        <v>199.22</v>
      </c>
      <c r="N1843">
        <v>796.88</v>
      </c>
      <c r="O1843">
        <v>0.09</v>
      </c>
      <c r="P1843">
        <v>71.72</v>
      </c>
      <c r="Q1843">
        <v>725.16</v>
      </c>
      <c r="R1843">
        <v>478.13</v>
      </c>
      <c r="S1843">
        <v>247.03</v>
      </c>
    </row>
    <row r="1844" spans="1:19" x14ac:dyDescent="0.35">
      <c r="A1844">
        <v>200582</v>
      </c>
      <c r="B1844">
        <v>3069</v>
      </c>
      <c r="C1844" t="s">
        <v>33</v>
      </c>
      <c r="D1844" t="s">
        <v>31</v>
      </c>
      <c r="E1844" t="s">
        <v>24</v>
      </c>
      <c r="F1844" t="s">
        <v>32</v>
      </c>
      <c r="G1844" s="1">
        <v>45578</v>
      </c>
      <c r="H1844" s="1">
        <v>45580</v>
      </c>
      <c r="I1844" s="1">
        <v>45590</v>
      </c>
      <c r="J1844">
        <v>12</v>
      </c>
      <c r="K1844">
        <v>2</v>
      </c>
      <c r="L1844">
        <v>8</v>
      </c>
      <c r="M1844">
        <v>719.18</v>
      </c>
      <c r="N1844">
        <v>5753.44</v>
      </c>
      <c r="O1844">
        <v>0.13</v>
      </c>
      <c r="P1844">
        <v>747.95</v>
      </c>
      <c r="Q1844">
        <v>5005.49</v>
      </c>
      <c r="R1844">
        <v>3394.53</v>
      </c>
      <c r="S1844">
        <v>1610.96</v>
      </c>
    </row>
    <row r="1845" spans="1:19" x14ac:dyDescent="0.35">
      <c r="A1845">
        <v>200583</v>
      </c>
      <c r="B1845">
        <v>2915</v>
      </c>
      <c r="C1845" t="s">
        <v>23</v>
      </c>
      <c r="D1845" t="s">
        <v>29</v>
      </c>
      <c r="E1845" t="s">
        <v>24</v>
      </c>
      <c r="F1845" t="s">
        <v>25</v>
      </c>
      <c r="G1845" s="1">
        <v>45520</v>
      </c>
      <c r="H1845" s="1">
        <v>45524</v>
      </c>
      <c r="I1845" s="1">
        <v>45524</v>
      </c>
      <c r="J1845">
        <v>4</v>
      </c>
      <c r="K1845">
        <v>4</v>
      </c>
      <c r="L1845">
        <v>7</v>
      </c>
      <c r="M1845">
        <v>330.66</v>
      </c>
      <c r="N1845">
        <v>2314.62</v>
      </c>
      <c r="O1845">
        <v>0.1</v>
      </c>
      <c r="P1845">
        <v>231.46</v>
      </c>
      <c r="Q1845">
        <v>2083.16</v>
      </c>
      <c r="R1845">
        <v>1388.77</v>
      </c>
      <c r="S1845">
        <v>694.39</v>
      </c>
    </row>
    <row r="1846" spans="1:19" x14ac:dyDescent="0.35">
      <c r="A1846">
        <v>200584</v>
      </c>
      <c r="B1846">
        <v>1187</v>
      </c>
      <c r="C1846" t="s">
        <v>33</v>
      </c>
      <c r="D1846" t="s">
        <v>29</v>
      </c>
      <c r="E1846" t="s">
        <v>34</v>
      </c>
      <c r="F1846" t="s">
        <v>43</v>
      </c>
      <c r="G1846" s="1">
        <v>45654</v>
      </c>
      <c r="H1846" s="1">
        <v>45658</v>
      </c>
      <c r="I1846" s="1">
        <v>45680</v>
      </c>
      <c r="J1846">
        <v>26</v>
      </c>
      <c r="K1846">
        <v>4</v>
      </c>
      <c r="L1846">
        <v>13</v>
      </c>
      <c r="M1846">
        <v>52.68</v>
      </c>
      <c r="N1846">
        <v>684.84</v>
      </c>
      <c r="O1846">
        <v>0.06</v>
      </c>
      <c r="P1846">
        <v>41.09</v>
      </c>
      <c r="Q1846">
        <v>643.75</v>
      </c>
      <c r="R1846">
        <v>410.9</v>
      </c>
      <c r="S1846">
        <v>232.85</v>
      </c>
    </row>
    <row r="1847" spans="1:19" x14ac:dyDescent="0.35">
      <c r="A1847">
        <v>200585</v>
      </c>
      <c r="B1847">
        <v>4222</v>
      </c>
      <c r="C1847" t="s">
        <v>19</v>
      </c>
      <c r="D1847" t="s">
        <v>20</v>
      </c>
      <c r="E1847" t="s">
        <v>24</v>
      </c>
      <c r="F1847" t="s">
        <v>25</v>
      </c>
      <c r="G1847" s="1">
        <v>45543</v>
      </c>
      <c r="H1847" s="1">
        <v>45545</v>
      </c>
      <c r="I1847" s="1">
        <v>45566</v>
      </c>
      <c r="J1847">
        <v>23</v>
      </c>
      <c r="K1847">
        <v>2</v>
      </c>
      <c r="L1847">
        <v>14</v>
      </c>
      <c r="M1847">
        <v>128.72</v>
      </c>
      <c r="N1847">
        <v>1802.08</v>
      </c>
      <c r="O1847">
        <v>7.0000000000000007E-2</v>
      </c>
      <c r="P1847">
        <v>126.15</v>
      </c>
      <c r="Q1847">
        <v>1675.93</v>
      </c>
      <c r="R1847">
        <v>1135.31</v>
      </c>
      <c r="S1847">
        <v>540.62</v>
      </c>
    </row>
    <row r="1848" spans="1:19" x14ac:dyDescent="0.35">
      <c r="A1848">
        <v>200586</v>
      </c>
      <c r="B1848">
        <v>3799</v>
      </c>
      <c r="C1848" t="s">
        <v>19</v>
      </c>
      <c r="D1848" t="s">
        <v>20</v>
      </c>
      <c r="E1848" t="s">
        <v>21</v>
      </c>
      <c r="F1848" t="s">
        <v>38</v>
      </c>
      <c r="G1848" s="1">
        <v>45620</v>
      </c>
      <c r="H1848" s="1">
        <v>45625</v>
      </c>
      <c r="I1848" s="1">
        <v>45643</v>
      </c>
      <c r="J1848">
        <v>23</v>
      </c>
      <c r="K1848">
        <v>5</v>
      </c>
      <c r="L1848">
        <v>11</v>
      </c>
      <c r="M1848">
        <v>662.6</v>
      </c>
      <c r="N1848">
        <v>7288.6</v>
      </c>
      <c r="O1848">
        <v>0.1</v>
      </c>
      <c r="P1848">
        <v>728.86</v>
      </c>
      <c r="Q1848">
        <v>6559.74</v>
      </c>
      <c r="R1848">
        <v>5320.68</v>
      </c>
      <c r="S1848">
        <v>1239.06</v>
      </c>
    </row>
    <row r="1849" spans="1:19" x14ac:dyDescent="0.35">
      <c r="A1849">
        <v>200587</v>
      </c>
      <c r="B1849">
        <v>1619</v>
      </c>
      <c r="C1849" t="s">
        <v>33</v>
      </c>
      <c r="D1849" t="s">
        <v>29</v>
      </c>
      <c r="E1849" t="s">
        <v>34</v>
      </c>
      <c r="F1849" t="s">
        <v>35</v>
      </c>
      <c r="G1849" s="1">
        <v>45577</v>
      </c>
      <c r="H1849" s="1">
        <v>45578</v>
      </c>
      <c r="I1849" s="1">
        <v>45584</v>
      </c>
      <c r="J1849">
        <v>7</v>
      </c>
      <c r="K1849">
        <v>1</v>
      </c>
      <c r="L1849">
        <v>8</v>
      </c>
      <c r="M1849">
        <v>555.65</v>
      </c>
      <c r="N1849">
        <v>4445.2</v>
      </c>
      <c r="O1849">
        <v>0.11</v>
      </c>
      <c r="P1849">
        <v>488.97</v>
      </c>
      <c r="Q1849">
        <v>3956.23</v>
      </c>
      <c r="R1849">
        <v>3111.64</v>
      </c>
      <c r="S1849">
        <v>844.59</v>
      </c>
    </row>
    <row r="1850" spans="1:19" x14ac:dyDescent="0.35">
      <c r="A1850">
        <v>200588</v>
      </c>
      <c r="B1850">
        <v>2695</v>
      </c>
      <c r="C1850" t="s">
        <v>19</v>
      </c>
      <c r="D1850" t="s">
        <v>20</v>
      </c>
      <c r="E1850" t="s">
        <v>24</v>
      </c>
      <c r="F1850" t="s">
        <v>42</v>
      </c>
      <c r="G1850" s="1">
        <v>45446</v>
      </c>
      <c r="H1850" s="1">
        <v>45450</v>
      </c>
      <c r="I1850" s="1">
        <v>45475</v>
      </c>
      <c r="J1850">
        <v>29</v>
      </c>
      <c r="K1850">
        <v>4</v>
      </c>
      <c r="L1850">
        <v>7</v>
      </c>
      <c r="M1850">
        <v>272.73</v>
      </c>
      <c r="N1850">
        <v>1909.11</v>
      </c>
      <c r="O1850">
        <v>0.17</v>
      </c>
      <c r="P1850">
        <v>324.55</v>
      </c>
      <c r="Q1850">
        <v>1584.56</v>
      </c>
      <c r="R1850">
        <v>1336.38</v>
      </c>
      <c r="S1850">
        <v>248.18</v>
      </c>
    </row>
    <row r="1851" spans="1:19" x14ac:dyDescent="0.35">
      <c r="A1851">
        <v>200589</v>
      </c>
      <c r="B1851">
        <v>3818</v>
      </c>
      <c r="C1851" t="s">
        <v>33</v>
      </c>
      <c r="D1851" t="s">
        <v>20</v>
      </c>
      <c r="E1851" t="s">
        <v>24</v>
      </c>
      <c r="F1851" t="s">
        <v>32</v>
      </c>
      <c r="G1851" s="1">
        <v>45584</v>
      </c>
      <c r="H1851" s="1">
        <v>45589</v>
      </c>
      <c r="I1851" s="1">
        <v>45588</v>
      </c>
      <c r="J1851">
        <v>4</v>
      </c>
      <c r="K1851">
        <v>5</v>
      </c>
      <c r="L1851">
        <v>5</v>
      </c>
      <c r="M1851">
        <v>768.46</v>
      </c>
      <c r="N1851">
        <v>3842.3</v>
      </c>
      <c r="O1851">
        <v>0.12</v>
      </c>
      <c r="P1851">
        <v>461.08</v>
      </c>
      <c r="Q1851">
        <v>3381.22</v>
      </c>
      <c r="R1851">
        <v>2651.19</v>
      </c>
      <c r="S1851">
        <v>730.03</v>
      </c>
    </row>
    <row r="1852" spans="1:19" x14ac:dyDescent="0.35">
      <c r="A1852">
        <v>200590</v>
      </c>
      <c r="B1852">
        <v>2766</v>
      </c>
      <c r="C1852" t="s">
        <v>28</v>
      </c>
      <c r="D1852" t="s">
        <v>29</v>
      </c>
      <c r="E1852" t="s">
        <v>24</v>
      </c>
      <c r="F1852" t="s">
        <v>32</v>
      </c>
      <c r="G1852" s="1">
        <v>45359</v>
      </c>
      <c r="H1852" s="1">
        <v>45363</v>
      </c>
      <c r="I1852" s="1">
        <v>45383</v>
      </c>
      <c r="J1852">
        <v>24</v>
      </c>
      <c r="K1852">
        <v>4</v>
      </c>
      <c r="L1852">
        <v>2</v>
      </c>
      <c r="M1852">
        <v>294.22000000000003</v>
      </c>
      <c r="N1852">
        <v>588.44000000000005</v>
      </c>
      <c r="O1852">
        <v>0.09</v>
      </c>
      <c r="P1852">
        <v>52.96</v>
      </c>
      <c r="Q1852">
        <v>535.48</v>
      </c>
      <c r="R1852">
        <v>382.49</v>
      </c>
      <c r="S1852">
        <v>152.99</v>
      </c>
    </row>
    <row r="1853" spans="1:19" x14ac:dyDescent="0.35">
      <c r="A1853">
        <v>200591</v>
      </c>
      <c r="B1853">
        <v>2120</v>
      </c>
      <c r="C1853" t="s">
        <v>33</v>
      </c>
      <c r="D1853" t="s">
        <v>20</v>
      </c>
      <c r="E1853" t="s">
        <v>24</v>
      </c>
      <c r="F1853" t="s">
        <v>30</v>
      </c>
      <c r="G1853" s="1">
        <v>45618</v>
      </c>
      <c r="H1853" s="1">
        <v>45621</v>
      </c>
      <c r="I1853" s="1">
        <v>45620</v>
      </c>
      <c r="J1853">
        <v>2</v>
      </c>
      <c r="K1853">
        <v>3</v>
      </c>
      <c r="L1853">
        <v>10</v>
      </c>
      <c r="M1853">
        <v>452.55</v>
      </c>
      <c r="N1853">
        <v>4525.5</v>
      </c>
      <c r="O1853">
        <v>0.08</v>
      </c>
      <c r="P1853">
        <v>362.04</v>
      </c>
      <c r="Q1853">
        <v>4163.46</v>
      </c>
      <c r="R1853">
        <v>2851.06</v>
      </c>
      <c r="S1853">
        <v>1312.4</v>
      </c>
    </row>
    <row r="1854" spans="1:19" x14ac:dyDescent="0.35">
      <c r="A1854">
        <v>200592</v>
      </c>
      <c r="B1854">
        <v>3666</v>
      </c>
      <c r="C1854" t="s">
        <v>33</v>
      </c>
      <c r="D1854" t="s">
        <v>29</v>
      </c>
      <c r="E1854" t="s">
        <v>26</v>
      </c>
      <c r="F1854" t="s">
        <v>27</v>
      </c>
      <c r="G1854" s="1">
        <v>45336</v>
      </c>
      <c r="H1854" s="1">
        <v>45338</v>
      </c>
      <c r="I1854" s="1">
        <v>45360</v>
      </c>
      <c r="J1854">
        <v>24</v>
      </c>
      <c r="K1854">
        <v>2</v>
      </c>
      <c r="L1854">
        <v>13</v>
      </c>
      <c r="M1854">
        <v>53.66</v>
      </c>
      <c r="N1854">
        <v>697.58</v>
      </c>
      <c r="O1854">
        <v>0.05</v>
      </c>
      <c r="P1854">
        <v>34.880000000000003</v>
      </c>
      <c r="Q1854">
        <v>662.7</v>
      </c>
      <c r="R1854">
        <v>474.35</v>
      </c>
      <c r="S1854">
        <v>188.35</v>
      </c>
    </row>
    <row r="1855" spans="1:19" x14ac:dyDescent="0.35">
      <c r="A1855">
        <v>200593</v>
      </c>
      <c r="B1855">
        <v>3090</v>
      </c>
      <c r="C1855" t="s">
        <v>19</v>
      </c>
      <c r="D1855" t="s">
        <v>29</v>
      </c>
      <c r="E1855" t="s">
        <v>24</v>
      </c>
      <c r="F1855" t="s">
        <v>32</v>
      </c>
      <c r="G1855" s="1">
        <v>45551</v>
      </c>
      <c r="H1855" s="1">
        <v>45554</v>
      </c>
      <c r="I1855" s="1">
        <v>45567</v>
      </c>
      <c r="J1855">
        <v>16</v>
      </c>
      <c r="K1855">
        <v>3</v>
      </c>
      <c r="L1855">
        <v>13</v>
      </c>
      <c r="M1855">
        <v>226.34</v>
      </c>
      <c r="N1855">
        <v>2942.42</v>
      </c>
      <c r="O1855">
        <v>0.08</v>
      </c>
      <c r="P1855">
        <v>235.39</v>
      </c>
      <c r="Q1855">
        <v>2707.03</v>
      </c>
      <c r="R1855">
        <v>1853.72</v>
      </c>
      <c r="S1855">
        <v>853.31</v>
      </c>
    </row>
    <row r="1856" spans="1:19" x14ac:dyDescent="0.35">
      <c r="A1856">
        <v>200594</v>
      </c>
      <c r="B1856">
        <v>2531</v>
      </c>
      <c r="C1856" t="s">
        <v>33</v>
      </c>
      <c r="D1856" t="s">
        <v>31</v>
      </c>
      <c r="E1856" t="s">
        <v>34</v>
      </c>
      <c r="F1856" t="s">
        <v>45</v>
      </c>
      <c r="G1856" s="1">
        <v>45572</v>
      </c>
      <c r="H1856" s="1">
        <v>45573</v>
      </c>
      <c r="I1856" s="1">
        <v>45593</v>
      </c>
      <c r="J1856">
        <v>21</v>
      </c>
      <c r="K1856">
        <v>1</v>
      </c>
      <c r="L1856">
        <v>12</v>
      </c>
      <c r="M1856">
        <v>578.52</v>
      </c>
      <c r="N1856">
        <v>6942.24</v>
      </c>
      <c r="O1856">
        <v>0.2</v>
      </c>
      <c r="P1856">
        <v>1388.45</v>
      </c>
      <c r="Q1856">
        <v>5553.79</v>
      </c>
      <c r="R1856">
        <v>4651.3</v>
      </c>
      <c r="S1856">
        <v>902.49</v>
      </c>
    </row>
    <row r="1857" spans="1:19" x14ac:dyDescent="0.35">
      <c r="A1857">
        <v>200595</v>
      </c>
      <c r="B1857">
        <v>1807</v>
      </c>
      <c r="C1857" t="s">
        <v>23</v>
      </c>
      <c r="D1857" t="s">
        <v>29</v>
      </c>
      <c r="E1857" t="s">
        <v>26</v>
      </c>
      <c r="F1857" t="s">
        <v>36</v>
      </c>
      <c r="G1857" s="1">
        <v>45477</v>
      </c>
      <c r="H1857" s="1">
        <v>45480</v>
      </c>
      <c r="I1857" s="1">
        <v>45481</v>
      </c>
      <c r="J1857">
        <v>4</v>
      </c>
      <c r="K1857">
        <v>3</v>
      </c>
      <c r="L1857">
        <v>3</v>
      </c>
      <c r="M1857">
        <v>741.26</v>
      </c>
      <c r="N1857">
        <v>2223.7800000000002</v>
      </c>
      <c r="O1857">
        <v>0.08</v>
      </c>
      <c r="P1857">
        <v>177.9</v>
      </c>
      <c r="Q1857">
        <v>2045.88</v>
      </c>
      <c r="R1857">
        <v>1512.17</v>
      </c>
      <c r="S1857">
        <v>533.71</v>
      </c>
    </row>
    <row r="1858" spans="1:19" x14ac:dyDescent="0.35">
      <c r="A1858">
        <v>200596</v>
      </c>
      <c r="B1858">
        <v>3788</v>
      </c>
      <c r="C1858" t="s">
        <v>28</v>
      </c>
      <c r="D1858" t="s">
        <v>20</v>
      </c>
      <c r="E1858" t="s">
        <v>24</v>
      </c>
      <c r="F1858" t="s">
        <v>32</v>
      </c>
      <c r="G1858" s="1">
        <v>45408</v>
      </c>
      <c r="H1858" s="1">
        <v>45413</v>
      </c>
      <c r="I1858" s="1">
        <v>45431</v>
      </c>
      <c r="J1858">
        <v>23</v>
      </c>
      <c r="K1858">
        <v>5</v>
      </c>
      <c r="L1858">
        <v>13</v>
      </c>
      <c r="M1858">
        <v>611.02</v>
      </c>
      <c r="N1858">
        <v>7943.26</v>
      </c>
      <c r="O1858">
        <v>0.1</v>
      </c>
      <c r="P1858">
        <v>794.33</v>
      </c>
      <c r="Q1858">
        <v>7148.93</v>
      </c>
      <c r="R1858">
        <v>5401.42</v>
      </c>
      <c r="S1858">
        <v>1747.51</v>
      </c>
    </row>
    <row r="1859" spans="1:19" x14ac:dyDescent="0.35">
      <c r="A1859">
        <v>200597</v>
      </c>
      <c r="B1859">
        <v>1373</v>
      </c>
      <c r="C1859" t="s">
        <v>28</v>
      </c>
      <c r="D1859" t="s">
        <v>20</v>
      </c>
      <c r="E1859" t="s">
        <v>21</v>
      </c>
      <c r="F1859" t="s">
        <v>39</v>
      </c>
      <c r="G1859" s="1">
        <v>45336</v>
      </c>
      <c r="H1859" s="1">
        <v>45338</v>
      </c>
      <c r="I1859" s="1">
        <v>45354</v>
      </c>
      <c r="J1859">
        <v>18</v>
      </c>
      <c r="K1859">
        <v>2</v>
      </c>
      <c r="L1859">
        <v>5</v>
      </c>
      <c r="M1859">
        <v>89.56</v>
      </c>
      <c r="N1859">
        <v>447.8</v>
      </c>
      <c r="O1859">
        <v>0.1</v>
      </c>
      <c r="P1859">
        <v>44.78</v>
      </c>
      <c r="Q1859">
        <v>403.02</v>
      </c>
      <c r="R1859">
        <v>308.98</v>
      </c>
      <c r="S1859">
        <v>94.04</v>
      </c>
    </row>
    <row r="1860" spans="1:19" x14ac:dyDescent="0.35">
      <c r="A1860">
        <v>200598</v>
      </c>
      <c r="B1860">
        <v>1348</v>
      </c>
      <c r="C1860" t="s">
        <v>33</v>
      </c>
      <c r="D1860" t="s">
        <v>31</v>
      </c>
      <c r="E1860" t="s">
        <v>24</v>
      </c>
      <c r="F1860" t="s">
        <v>32</v>
      </c>
      <c r="G1860" s="1">
        <v>45512</v>
      </c>
      <c r="H1860" s="1">
        <v>45513</v>
      </c>
      <c r="I1860" s="1">
        <v>45539</v>
      </c>
      <c r="J1860">
        <v>27</v>
      </c>
      <c r="K1860">
        <v>1</v>
      </c>
      <c r="L1860">
        <v>7</v>
      </c>
      <c r="M1860">
        <v>196.48</v>
      </c>
      <c r="N1860">
        <v>1375.36</v>
      </c>
      <c r="O1860">
        <v>0.17</v>
      </c>
      <c r="P1860">
        <v>233.81</v>
      </c>
      <c r="Q1860">
        <v>1141.55</v>
      </c>
      <c r="R1860">
        <v>935.24</v>
      </c>
      <c r="S1860">
        <v>206.31</v>
      </c>
    </row>
    <row r="1861" spans="1:19" x14ac:dyDescent="0.35">
      <c r="A1861">
        <v>200599</v>
      </c>
      <c r="B1861">
        <v>3031</v>
      </c>
      <c r="C1861" t="s">
        <v>23</v>
      </c>
      <c r="D1861" t="s">
        <v>31</v>
      </c>
      <c r="E1861" t="s">
        <v>24</v>
      </c>
      <c r="F1861" t="s">
        <v>42</v>
      </c>
      <c r="G1861" s="1">
        <v>45421</v>
      </c>
      <c r="H1861" s="1">
        <v>45424</v>
      </c>
      <c r="I1861" s="1">
        <v>45435</v>
      </c>
      <c r="J1861">
        <v>14</v>
      </c>
      <c r="K1861">
        <v>3</v>
      </c>
      <c r="L1861">
        <v>7</v>
      </c>
      <c r="M1861">
        <v>80.33</v>
      </c>
      <c r="N1861">
        <v>562.30999999999995</v>
      </c>
      <c r="O1861">
        <v>7.0000000000000007E-2</v>
      </c>
      <c r="P1861">
        <v>39.36</v>
      </c>
      <c r="Q1861">
        <v>522.95000000000005</v>
      </c>
      <c r="R1861">
        <v>343.01</v>
      </c>
      <c r="S1861">
        <v>179.94</v>
      </c>
    </row>
    <row r="1862" spans="1:19" x14ac:dyDescent="0.35">
      <c r="A1862">
        <v>200600</v>
      </c>
      <c r="B1862">
        <v>4600</v>
      </c>
      <c r="C1862" t="s">
        <v>33</v>
      </c>
      <c r="D1862" t="s">
        <v>20</v>
      </c>
      <c r="E1862" t="s">
        <v>34</v>
      </c>
      <c r="F1862" t="s">
        <v>40</v>
      </c>
      <c r="G1862" s="1">
        <v>45413</v>
      </c>
      <c r="H1862" s="1">
        <v>45416</v>
      </c>
      <c r="I1862" s="1">
        <v>45439</v>
      </c>
      <c r="J1862">
        <v>26</v>
      </c>
      <c r="K1862">
        <v>3</v>
      </c>
      <c r="L1862">
        <v>12</v>
      </c>
      <c r="M1862">
        <v>786</v>
      </c>
      <c r="N1862">
        <v>9432</v>
      </c>
      <c r="O1862">
        <v>0.01</v>
      </c>
      <c r="P1862">
        <v>94.32</v>
      </c>
      <c r="Q1862">
        <v>9337.68</v>
      </c>
      <c r="R1862">
        <v>5847.84</v>
      </c>
      <c r="S1862">
        <v>3489.84</v>
      </c>
    </row>
    <row r="1863" spans="1:19" x14ac:dyDescent="0.35">
      <c r="A1863">
        <v>200601</v>
      </c>
      <c r="B1863">
        <v>3174</v>
      </c>
      <c r="C1863" t="s">
        <v>19</v>
      </c>
      <c r="D1863" t="s">
        <v>31</v>
      </c>
      <c r="E1863" t="s">
        <v>21</v>
      </c>
      <c r="F1863" t="s">
        <v>41</v>
      </c>
      <c r="G1863" s="1">
        <v>45651</v>
      </c>
      <c r="H1863" s="1">
        <v>45653</v>
      </c>
      <c r="I1863" s="1">
        <v>45657</v>
      </c>
      <c r="J1863">
        <v>6</v>
      </c>
      <c r="K1863">
        <v>2</v>
      </c>
      <c r="L1863">
        <v>13</v>
      </c>
      <c r="M1863">
        <v>516.17999999999995</v>
      </c>
      <c r="N1863">
        <v>6710.34</v>
      </c>
      <c r="O1863">
        <v>7.0000000000000007E-2</v>
      </c>
      <c r="P1863">
        <v>469.72</v>
      </c>
      <c r="Q1863">
        <v>6240.62</v>
      </c>
      <c r="R1863">
        <v>3690.69</v>
      </c>
      <c r="S1863">
        <v>2549.9299999999998</v>
      </c>
    </row>
    <row r="1864" spans="1:19" x14ac:dyDescent="0.35">
      <c r="A1864">
        <v>200602</v>
      </c>
      <c r="B1864">
        <v>4608</v>
      </c>
      <c r="C1864" t="s">
        <v>28</v>
      </c>
      <c r="D1864" t="s">
        <v>29</v>
      </c>
      <c r="E1864" t="s">
        <v>26</v>
      </c>
      <c r="F1864" t="s">
        <v>36</v>
      </c>
      <c r="G1864" s="1">
        <v>45366</v>
      </c>
      <c r="H1864" s="1">
        <v>45371</v>
      </c>
      <c r="I1864" s="1">
        <v>45372</v>
      </c>
      <c r="J1864">
        <v>6</v>
      </c>
      <c r="K1864">
        <v>5</v>
      </c>
      <c r="L1864">
        <v>14</v>
      </c>
      <c r="M1864">
        <v>318.42</v>
      </c>
      <c r="N1864">
        <v>4457.88</v>
      </c>
      <c r="O1864">
        <v>0.08</v>
      </c>
      <c r="P1864">
        <v>356.63</v>
      </c>
      <c r="Q1864">
        <v>4101.25</v>
      </c>
      <c r="R1864">
        <v>3031.36</v>
      </c>
      <c r="S1864">
        <v>1069.8900000000001</v>
      </c>
    </row>
    <row r="1865" spans="1:19" x14ac:dyDescent="0.35">
      <c r="A1865">
        <v>200603</v>
      </c>
      <c r="B1865">
        <v>3138</v>
      </c>
      <c r="C1865" t="s">
        <v>28</v>
      </c>
      <c r="D1865" t="s">
        <v>29</v>
      </c>
      <c r="E1865" t="s">
        <v>34</v>
      </c>
      <c r="F1865" t="s">
        <v>43</v>
      </c>
      <c r="G1865" s="1">
        <v>45402</v>
      </c>
      <c r="H1865" s="1">
        <v>45406</v>
      </c>
      <c r="I1865" s="1">
        <v>45426</v>
      </c>
      <c r="J1865">
        <v>24</v>
      </c>
      <c r="K1865">
        <v>4</v>
      </c>
      <c r="L1865">
        <v>11</v>
      </c>
      <c r="M1865">
        <v>486.62</v>
      </c>
      <c r="N1865">
        <v>5352.82</v>
      </c>
      <c r="O1865">
        <v>0.17</v>
      </c>
      <c r="P1865">
        <v>909.98</v>
      </c>
      <c r="Q1865">
        <v>4442.84</v>
      </c>
      <c r="R1865">
        <v>3800.5</v>
      </c>
      <c r="S1865">
        <v>642.34</v>
      </c>
    </row>
    <row r="1866" spans="1:19" x14ac:dyDescent="0.35">
      <c r="A1866">
        <v>200604</v>
      </c>
      <c r="B1866">
        <v>4354</v>
      </c>
      <c r="C1866" t="s">
        <v>33</v>
      </c>
      <c r="D1866" t="s">
        <v>20</v>
      </c>
      <c r="E1866" t="s">
        <v>21</v>
      </c>
      <c r="F1866" t="s">
        <v>41</v>
      </c>
      <c r="G1866" s="1">
        <v>45442</v>
      </c>
      <c r="H1866" s="1">
        <v>45446</v>
      </c>
      <c r="I1866" s="1">
        <v>45469</v>
      </c>
      <c r="J1866">
        <v>27</v>
      </c>
      <c r="K1866">
        <v>4</v>
      </c>
      <c r="L1866">
        <v>2</v>
      </c>
      <c r="M1866">
        <v>159.51</v>
      </c>
      <c r="N1866">
        <v>319.02</v>
      </c>
      <c r="O1866">
        <v>0.01</v>
      </c>
      <c r="P1866">
        <v>3.19</v>
      </c>
      <c r="Q1866">
        <v>315.83</v>
      </c>
      <c r="R1866">
        <v>200.98</v>
      </c>
      <c r="S1866">
        <v>114.85</v>
      </c>
    </row>
    <row r="1867" spans="1:19" x14ac:dyDescent="0.35">
      <c r="A1867">
        <v>200605</v>
      </c>
      <c r="B1867">
        <v>3607</v>
      </c>
      <c r="C1867" t="s">
        <v>23</v>
      </c>
      <c r="D1867" t="s">
        <v>20</v>
      </c>
      <c r="E1867" t="s">
        <v>24</v>
      </c>
      <c r="F1867" t="s">
        <v>30</v>
      </c>
      <c r="G1867" s="1">
        <v>45652</v>
      </c>
      <c r="H1867" s="1">
        <v>45657</v>
      </c>
      <c r="I1867" s="1">
        <v>45668</v>
      </c>
      <c r="J1867">
        <v>16</v>
      </c>
      <c r="K1867">
        <v>5</v>
      </c>
      <c r="L1867">
        <v>7</v>
      </c>
      <c r="M1867">
        <v>307.31</v>
      </c>
      <c r="N1867">
        <v>2151.17</v>
      </c>
      <c r="O1867">
        <v>0.08</v>
      </c>
      <c r="P1867">
        <v>172.09</v>
      </c>
      <c r="Q1867">
        <v>1979.08</v>
      </c>
      <c r="R1867">
        <v>1269.19</v>
      </c>
      <c r="S1867">
        <v>709.89</v>
      </c>
    </row>
    <row r="1868" spans="1:19" x14ac:dyDescent="0.35">
      <c r="A1868">
        <v>200606</v>
      </c>
      <c r="B1868">
        <v>2388</v>
      </c>
      <c r="C1868" t="s">
        <v>33</v>
      </c>
      <c r="D1868" t="s">
        <v>20</v>
      </c>
      <c r="E1868" t="s">
        <v>34</v>
      </c>
      <c r="F1868" t="s">
        <v>45</v>
      </c>
      <c r="G1868" s="1">
        <v>45643</v>
      </c>
      <c r="H1868" s="1">
        <v>45645</v>
      </c>
      <c r="I1868" s="1">
        <v>45672</v>
      </c>
      <c r="J1868">
        <v>29</v>
      </c>
      <c r="K1868">
        <v>2</v>
      </c>
      <c r="L1868">
        <v>11</v>
      </c>
      <c r="M1868">
        <v>80.48</v>
      </c>
      <c r="N1868">
        <v>885.28</v>
      </c>
      <c r="O1868">
        <v>0.08</v>
      </c>
      <c r="P1868">
        <v>70.819999999999993</v>
      </c>
      <c r="Q1868">
        <v>814.46</v>
      </c>
      <c r="R1868">
        <v>478.05</v>
      </c>
      <c r="S1868">
        <v>336.41</v>
      </c>
    </row>
    <row r="1869" spans="1:19" x14ac:dyDescent="0.35">
      <c r="A1869">
        <v>200607</v>
      </c>
      <c r="B1869">
        <v>4687</v>
      </c>
      <c r="C1869" t="s">
        <v>23</v>
      </c>
      <c r="D1869" t="s">
        <v>29</v>
      </c>
      <c r="E1869" t="s">
        <v>34</v>
      </c>
      <c r="F1869" t="s">
        <v>45</v>
      </c>
      <c r="G1869" s="1">
        <v>45429</v>
      </c>
      <c r="H1869" s="1">
        <v>45434</v>
      </c>
      <c r="I1869" s="1">
        <v>45446</v>
      </c>
      <c r="J1869">
        <v>17</v>
      </c>
      <c r="K1869">
        <v>5</v>
      </c>
      <c r="L1869">
        <v>14</v>
      </c>
      <c r="M1869">
        <v>147.06</v>
      </c>
      <c r="N1869">
        <v>2058.84</v>
      </c>
      <c r="O1869">
        <v>0.04</v>
      </c>
      <c r="P1869">
        <v>82.35</v>
      </c>
      <c r="Q1869">
        <v>1976.49</v>
      </c>
      <c r="R1869">
        <v>1235.3</v>
      </c>
      <c r="S1869">
        <v>741.19</v>
      </c>
    </row>
    <row r="1870" spans="1:19" x14ac:dyDescent="0.35">
      <c r="A1870">
        <v>200608</v>
      </c>
      <c r="B1870">
        <v>1983</v>
      </c>
      <c r="C1870" t="s">
        <v>33</v>
      </c>
      <c r="D1870" t="s">
        <v>31</v>
      </c>
      <c r="E1870" t="s">
        <v>34</v>
      </c>
      <c r="F1870" t="s">
        <v>40</v>
      </c>
      <c r="G1870" s="1">
        <v>45445</v>
      </c>
      <c r="H1870" s="1">
        <v>45446</v>
      </c>
      <c r="I1870" s="1">
        <v>45473</v>
      </c>
      <c r="J1870">
        <v>28</v>
      </c>
      <c r="K1870">
        <v>1</v>
      </c>
      <c r="L1870">
        <v>1</v>
      </c>
      <c r="M1870">
        <v>207.65</v>
      </c>
      <c r="N1870">
        <v>207.65</v>
      </c>
      <c r="O1870">
        <v>0.14000000000000001</v>
      </c>
      <c r="P1870">
        <v>29.07</v>
      </c>
      <c r="Q1870">
        <v>178.58</v>
      </c>
      <c r="R1870">
        <v>124.59</v>
      </c>
      <c r="S1870">
        <v>53.99</v>
      </c>
    </row>
    <row r="1871" spans="1:19" x14ac:dyDescent="0.35">
      <c r="A1871">
        <v>200609</v>
      </c>
      <c r="B1871">
        <v>2387</v>
      </c>
      <c r="C1871" t="s">
        <v>28</v>
      </c>
      <c r="D1871" t="s">
        <v>31</v>
      </c>
      <c r="E1871" t="s">
        <v>21</v>
      </c>
      <c r="F1871" t="s">
        <v>22</v>
      </c>
      <c r="G1871" s="1">
        <v>45596</v>
      </c>
      <c r="H1871" s="1">
        <v>45600</v>
      </c>
      <c r="I1871" s="1">
        <v>45614</v>
      </c>
      <c r="J1871">
        <v>18</v>
      </c>
      <c r="K1871">
        <v>4</v>
      </c>
      <c r="L1871">
        <v>9</v>
      </c>
      <c r="M1871">
        <v>308.20999999999998</v>
      </c>
      <c r="N1871">
        <v>2773.89</v>
      </c>
      <c r="O1871">
        <v>0.09</v>
      </c>
      <c r="P1871">
        <v>249.65</v>
      </c>
      <c r="Q1871">
        <v>2524.2399999999998</v>
      </c>
      <c r="R1871">
        <v>1858.51</v>
      </c>
      <c r="S1871">
        <v>665.73</v>
      </c>
    </row>
    <row r="1872" spans="1:19" x14ac:dyDescent="0.35">
      <c r="A1872">
        <v>200610</v>
      </c>
      <c r="B1872">
        <v>3371</v>
      </c>
      <c r="C1872" t="s">
        <v>19</v>
      </c>
      <c r="D1872" t="s">
        <v>31</v>
      </c>
      <c r="E1872" t="s">
        <v>34</v>
      </c>
      <c r="F1872" t="s">
        <v>45</v>
      </c>
      <c r="G1872" s="1">
        <v>45594</v>
      </c>
      <c r="H1872" s="1">
        <v>45599</v>
      </c>
      <c r="I1872" s="1">
        <v>45605</v>
      </c>
      <c r="J1872">
        <v>11</v>
      </c>
      <c r="K1872">
        <v>5</v>
      </c>
      <c r="L1872">
        <v>8</v>
      </c>
      <c r="M1872">
        <v>396.72</v>
      </c>
      <c r="N1872">
        <v>3173.76</v>
      </c>
      <c r="O1872">
        <v>0.06</v>
      </c>
      <c r="P1872">
        <v>190.43</v>
      </c>
      <c r="Q1872">
        <v>2983.33</v>
      </c>
      <c r="R1872">
        <v>1935.99</v>
      </c>
      <c r="S1872">
        <v>1047.3399999999999</v>
      </c>
    </row>
    <row r="1873" spans="1:19" x14ac:dyDescent="0.35">
      <c r="A1873">
        <v>200611</v>
      </c>
      <c r="B1873">
        <v>2498</v>
      </c>
      <c r="C1873" t="s">
        <v>23</v>
      </c>
      <c r="D1873" t="s">
        <v>29</v>
      </c>
      <c r="E1873" t="s">
        <v>21</v>
      </c>
      <c r="F1873" t="s">
        <v>38</v>
      </c>
      <c r="G1873" s="1">
        <v>45650</v>
      </c>
      <c r="H1873" s="1">
        <v>45652</v>
      </c>
      <c r="I1873" s="1">
        <v>45665</v>
      </c>
      <c r="J1873">
        <v>15</v>
      </c>
      <c r="K1873">
        <v>2</v>
      </c>
      <c r="L1873">
        <v>7</v>
      </c>
      <c r="M1873">
        <v>432.92</v>
      </c>
      <c r="N1873">
        <v>3030.44</v>
      </c>
      <c r="O1873">
        <v>0.14000000000000001</v>
      </c>
      <c r="P1873">
        <v>424.26</v>
      </c>
      <c r="Q1873">
        <v>2606.1799999999998</v>
      </c>
      <c r="R1873">
        <v>1878.87</v>
      </c>
      <c r="S1873">
        <v>727.31</v>
      </c>
    </row>
    <row r="1874" spans="1:19" x14ac:dyDescent="0.35">
      <c r="A1874">
        <v>200612</v>
      </c>
      <c r="B1874">
        <v>2299</v>
      </c>
      <c r="C1874" t="s">
        <v>28</v>
      </c>
      <c r="D1874" t="s">
        <v>29</v>
      </c>
      <c r="E1874" t="s">
        <v>34</v>
      </c>
      <c r="F1874" t="s">
        <v>45</v>
      </c>
      <c r="G1874" s="1">
        <v>45324</v>
      </c>
      <c r="H1874" s="1">
        <v>45329</v>
      </c>
      <c r="I1874" s="1">
        <v>45328</v>
      </c>
      <c r="J1874">
        <v>4</v>
      </c>
      <c r="K1874">
        <v>5</v>
      </c>
      <c r="L1874">
        <v>4</v>
      </c>
      <c r="M1874">
        <v>94.06</v>
      </c>
      <c r="N1874">
        <v>376.24</v>
      </c>
      <c r="O1874">
        <v>0.05</v>
      </c>
      <c r="P1874">
        <v>18.809999999999999</v>
      </c>
      <c r="Q1874">
        <v>357.43</v>
      </c>
      <c r="R1874">
        <v>214.46</v>
      </c>
      <c r="S1874">
        <v>142.97</v>
      </c>
    </row>
    <row r="1875" spans="1:19" x14ac:dyDescent="0.35">
      <c r="A1875">
        <v>200613</v>
      </c>
      <c r="B1875">
        <v>2698</v>
      </c>
      <c r="C1875" t="s">
        <v>19</v>
      </c>
      <c r="D1875" t="s">
        <v>29</v>
      </c>
      <c r="E1875" t="s">
        <v>34</v>
      </c>
      <c r="F1875" t="s">
        <v>40</v>
      </c>
      <c r="G1875" s="1">
        <v>45511</v>
      </c>
      <c r="H1875" s="1">
        <v>45515</v>
      </c>
      <c r="I1875" s="1">
        <v>45520</v>
      </c>
      <c r="J1875">
        <v>9</v>
      </c>
      <c r="K1875">
        <v>4</v>
      </c>
      <c r="L1875">
        <v>10</v>
      </c>
      <c r="M1875">
        <v>389.34</v>
      </c>
      <c r="N1875">
        <v>3893.4</v>
      </c>
      <c r="O1875">
        <v>0.08</v>
      </c>
      <c r="P1875">
        <v>311.47000000000003</v>
      </c>
      <c r="Q1875">
        <v>3581.93</v>
      </c>
      <c r="R1875">
        <v>2569.64</v>
      </c>
      <c r="S1875">
        <v>1012.29</v>
      </c>
    </row>
    <row r="1876" spans="1:19" x14ac:dyDescent="0.35">
      <c r="A1876">
        <v>200614</v>
      </c>
      <c r="B1876">
        <v>1469</v>
      </c>
      <c r="C1876" t="s">
        <v>33</v>
      </c>
      <c r="D1876" t="s">
        <v>20</v>
      </c>
      <c r="E1876" t="s">
        <v>21</v>
      </c>
      <c r="F1876" t="s">
        <v>39</v>
      </c>
      <c r="G1876" s="1">
        <v>45422</v>
      </c>
      <c r="H1876" s="1">
        <v>45423</v>
      </c>
      <c r="I1876" s="1">
        <v>45431</v>
      </c>
      <c r="J1876">
        <v>9</v>
      </c>
      <c r="K1876">
        <v>1</v>
      </c>
      <c r="L1876">
        <v>3</v>
      </c>
      <c r="M1876">
        <v>623.80999999999995</v>
      </c>
      <c r="N1876">
        <v>1871.43</v>
      </c>
      <c r="O1876">
        <v>0.14000000000000001</v>
      </c>
      <c r="P1876">
        <v>262</v>
      </c>
      <c r="Q1876">
        <v>1609.43</v>
      </c>
      <c r="R1876">
        <v>1066.72</v>
      </c>
      <c r="S1876">
        <v>542.71</v>
      </c>
    </row>
    <row r="1877" spans="1:19" x14ac:dyDescent="0.35">
      <c r="A1877">
        <v>200615</v>
      </c>
      <c r="B1877">
        <v>2947</v>
      </c>
      <c r="C1877" t="s">
        <v>19</v>
      </c>
      <c r="D1877" t="s">
        <v>31</v>
      </c>
      <c r="E1877" t="s">
        <v>26</v>
      </c>
      <c r="F1877" t="s">
        <v>27</v>
      </c>
      <c r="G1877" s="1">
        <v>45488</v>
      </c>
      <c r="H1877" s="1">
        <v>45490</v>
      </c>
      <c r="I1877" s="1">
        <v>45512</v>
      </c>
      <c r="J1877">
        <v>24</v>
      </c>
      <c r="K1877">
        <v>2</v>
      </c>
      <c r="L1877">
        <v>1</v>
      </c>
      <c r="M1877">
        <v>566.57000000000005</v>
      </c>
      <c r="N1877">
        <v>566.57000000000005</v>
      </c>
      <c r="O1877">
        <v>0.18</v>
      </c>
      <c r="P1877">
        <v>101.98</v>
      </c>
      <c r="Q1877">
        <v>464.59</v>
      </c>
      <c r="R1877">
        <v>317.27999999999997</v>
      </c>
      <c r="S1877">
        <v>147.31</v>
      </c>
    </row>
    <row r="1878" spans="1:19" x14ac:dyDescent="0.35">
      <c r="A1878">
        <v>200616</v>
      </c>
      <c r="B1878">
        <v>4466</v>
      </c>
      <c r="C1878" t="s">
        <v>23</v>
      </c>
      <c r="D1878" t="s">
        <v>29</v>
      </c>
      <c r="E1878" t="s">
        <v>24</v>
      </c>
      <c r="F1878" t="s">
        <v>25</v>
      </c>
      <c r="G1878" s="1">
        <v>45586</v>
      </c>
      <c r="H1878" s="1">
        <v>45588</v>
      </c>
      <c r="I1878" s="1">
        <v>45612</v>
      </c>
      <c r="J1878">
        <v>26</v>
      </c>
      <c r="K1878">
        <v>2</v>
      </c>
      <c r="L1878">
        <v>4</v>
      </c>
      <c r="M1878">
        <v>193.78</v>
      </c>
      <c r="N1878">
        <v>775.12</v>
      </c>
      <c r="O1878">
        <v>0.09</v>
      </c>
      <c r="P1878">
        <v>69.760000000000005</v>
      </c>
      <c r="Q1878">
        <v>705.36</v>
      </c>
      <c r="R1878">
        <v>573.59</v>
      </c>
      <c r="S1878">
        <v>131.77000000000001</v>
      </c>
    </row>
    <row r="1879" spans="1:19" x14ac:dyDescent="0.35">
      <c r="A1879">
        <v>200617</v>
      </c>
      <c r="B1879">
        <v>4201</v>
      </c>
      <c r="C1879" t="s">
        <v>19</v>
      </c>
      <c r="D1879" t="s">
        <v>31</v>
      </c>
      <c r="E1879" t="s">
        <v>26</v>
      </c>
      <c r="F1879" t="s">
        <v>36</v>
      </c>
      <c r="G1879" s="1">
        <v>45459</v>
      </c>
      <c r="H1879" s="1">
        <v>45463</v>
      </c>
      <c r="I1879" s="1">
        <v>45480</v>
      </c>
      <c r="J1879">
        <v>21</v>
      </c>
      <c r="K1879">
        <v>4</v>
      </c>
      <c r="L1879">
        <v>8</v>
      </c>
      <c r="M1879">
        <v>725.46</v>
      </c>
      <c r="N1879">
        <v>5803.68</v>
      </c>
      <c r="O1879">
        <v>0.1</v>
      </c>
      <c r="P1879">
        <v>580.37</v>
      </c>
      <c r="Q1879">
        <v>5223.3100000000004</v>
      </c>
      <c r="R1879">
        <v>4410.8</v>
      </c>
      <c r="S1879">
        <v>812.51</v>
      </c>
    </row>
    <row r="1880" spans="1:19" x14ac:dyDescent="0.35">
      <c r="A1880">
        <v>200618</v>
      </c>
      <c r="B1880">
        <v>4831</v>
      </c>
      <c r="C1880" t="s">
        <v>28</v>
      </c>
      <c r="D1880" t="s">
        <v>20</v>
      </c>
      <c r="E1880" t="s">
        <v>34</v>
      </c>
      <c r="F1880" t="s">
        <v>43</v>
      </c>
      <c r="G1880" s="1">
        <v>45648</v>
      </c>
      <c r="H1880" s="1">
        <v>45651</v>
      </c>
      <c r="I1880" s="1">
        <v>45657</v>
      </c>
      <c r="J1880">
        <v>9</v>
      </c>
      <c r="K1880">
        <v>3</v>
      </c>
      <c r="L1880">
        <v>11</v>
      </c>
      <c r="M1880">
        <v>741.22</v>
      </c>
      <c r="N1880">
        <v>8153.42</v>
      </c>
      <c r="O1880">
        <v>0.04</v>
      </c>
      <c r="P1880">
        <v>326.14</v>
      </c>
      <c r="Q1880">
        <v>7827.28</v>
      </c>
      <c r="R1880">
        <v>5299.72</v>
      </c>
      <c r="S1880">
        <v>2527.56</v>
      </c>
    </row>
    <row r="1881" spans="1:19" x14ac:dyDescent="0.35">
      <c r="A1881">
        <v>200619</v>
      </c>
      <c r="B1881">
        <v>4311</v>
      </c>
      <c r="C1881" t="s">
        <v>19</v>
      </c>
      <c r="D1881" t="s">
        <v>31</v>
      </c>
      <c r="E1881" t="s">
        <v>21</v>
      </c>
      <c r="F1881" t="s">
        <v>41</v>
      </c>
      <c r="G1881" s="1">
        <v>45331</v>
      </c>
      <c r="H1881" s="1">
        <v>45335</v>
      </c>
      <c r="I1881" s="1">
        <v>45343</v>
      </c>
      <c r="J1881">
        <v>12</v>
      </c>
      <c r="K1881">
        <v>4</v>
      </c>
      <c r="L1881">
        <v>1</v>
      </c>
      <c r="M1881">
        <v>149.07</v>
      </c>
      <c r="N1881">
        <v>149.07</v>
      </c>
      <c r="O1881">
        <v>0.14000000000000001</v>
      </c>
      <c r="P1881">
        <v>20.87</v>
      </c>
      <c r="Q1881">
        <v>128.19999999999999</v>
      </c>
      <c r="R1881">
        <v>101.37</v>
      </c>
      <c r="S1881">
        <v>26.83</v>
      </c>
    </row>
    <row r="1882" spans="1:19" x14ac:dyDescent="0.35">
      <c r="A1882">
        <v>200620</v>
      </c>
      <c r="B1882">
        <v>2941</v>
      </c>
      <c r="C1882" t="s">
        <v>33</v>
      </c>
      <c r="D1882" t="s">
        <v>20</v>
      </c>
      <c r="E1882" t="s">
        <v>34</v>
      </c>
      <c r="F1882" t="s">
        <v>40</v>
      </c>
      <c r="G1882" s="1">
        <v>45319</v>
      </c>
      <c r="H1882" s="1">
        <v>45323</v>
      </c>
      <c r="I1882" s="1">
        <v>45327</v>
      </c>
      <c r="J1882">
        <v>8</v>
      </c>
      <c r="K1882">
        <v>4</v>
      </c>
      <c r="L1882">
        <v>9</v>
      </c>
      <c r="M1882">
        <v>471.05</v>
      </c>
      <c r="N1882">
        <v>4239.45</v>
      </c>
      <c r="O1882">
        <v>0.09</v>
      </c>
      <c r="P1882">
        <v>381.55</v>
      </c>
      <c r="Q1882">
        <v>3857.9</v>
      </c>
      <c r="R1882">
        <v>2967.62</v>
      </c>
      <c r="S1882">
        <v>890.28</v>
      </c>
    </row>
    <row r="1883" spans="1:19" x14ac:dyDescent="0.35">
      <c r="A1883">
        <v>200621</v>
      </c>
      <c r="B1883">
        <v>2560</v>
      </c>
      <c r="C1883" t="s">
        <v>23</v>
      </c>
      <c r="D1883" t="s">
        <v>31</v>
      </c>
      <c r="E1883" t="s">
        <v>21</v>
      </c>
      <c r="F1883" t="s">
        <v>38</v>
      </c>
      <c r="G1883" s="1">
        <v>45575</v>
      </c>
      <c r="H1883" s="1">
        <v>45579</v>
      </c>
      <c r="I1883" s="1">
        <v>45584</v>
      </c>
      <c r="J1883">
        <v>9</v>
      </c>
      <c r="K1883">
        <v>4</v>
      </c>
      <c r="L1883">
        <v>10</v>
      </c>
      <c r="M1883">
        <v>222.2</v>
      </c>
      <c r="N1883">
        <v>2222</v>
      </c>
      <c r="O1883">
        <v>0.12</v>
      </c>
      <c r="P1883">
        <v>266.64</v>
      </c>
      <c r="Q1883">
        <v>1955.36</v>
      </c>
      <c r="R1883">
        <v>1666.5</v>
      </c>
      <c r="S1883">
        <v>288.86</v>
      </c>
    </row>
    <row r="1884" spans="1:19" x14ac:dyDescent="0.35">
      <c r="A1884">
        <v>200622</v>
      </c>
      <c r="B1884">
        <v>2387</v>
      </c>
      <c r="C1884" t="s">
        <v>23</v>
      </c>
      <c r="D1884" t="s">
        <v>29</v>
      </c>
      <c r="E1884" t="s">
        <v>34</v>
      </c>
      <c r="F1884" t="s">
        <v>40</v>
      </c>
      <c r="G1884" s="1">
        <v>45633</v>
      </c>
      <c r="H1884" s="1">
        <v>45634</v>
      </c>
      <c r="I1884" s="1">
        <v>45663</v>
      </c>
      <c r="J1884">
        <v>30</v>
      </c>
      <c r="K1884">
        <v>1</v>
      </c>
      <c r="L1884">
        <v>3</v>
      </c>
      <c r="M1884">
        <v>288.5</v>
      </c>
      <c r="N1884">
        <v>865.5</v>
      </c>
      <c r="O1884">
        <v>7.0000000000000007E-2</v>
      </c>
      <c r="P1884">
        <v>60.59</v>
      </c>
      <c r="Q1884">
        <v>804.92</v>
      </c>
      <c r="R1884">
        <v>553.91999999999996</v>
      </c>
      <c r="S1884">
        <v>251</v>
      </c>
    </row>
    <row r="1885" spans="1:19" x14ac:dyDescent="0.35">
      <c r="A1885">
        <v>200623</v>
      </c>
      <c r="B1885">
        <v>2438</v>
      </c>
      <c r="C1885" t="s">
        <v>28</v>
      </c>
      <c r="D1885" t="s">
        <v>31</v>
      </c>
      <c r="E1885" t="s">
        <v>21</v>
      </c>
      <c r="F1885" t="s">
        <v>38</v>
      </c>
      <c r="G1885" s="1">
        <v>45650</v>
      </c>
      <c r="H1885" s="1">
        <v>45652</v>
      </c>
      <c r="I1885" s="1">
        <v>45666</v>
      </c>
      <c r="J1885">
        <v>16</v>
      </c>
      <c r="K1885">
        <v>2</v>
      </c>
      <c r="L1885">
        <v>12</v>
      </c>
      <c r="M1885">
        <v>234.79</v>
      </c>
      <c r="N1885">
        <v>2817.48</v>
      </c>
      <c r="O1885">
        <v>0.11</v>
      </c>
      <c r="P1885">
        <v>309.92</v>
      </c>
      <c r="Q1885">
        <v>2507.56</v>
      </c>
      <c r="R1885">
        <v>1718.66</v>
      </c>
      <c r="S1885">
        <v>788.9</v>
      </c>
    </row>
    <row r="1886" spans="1:19" x14ac:dyDescent="0.35">
      <c r="A1886">
        <v>200624</v>
      </c>
      <c r="B1886">
        <v>2567</v>
      </c>
      <c r="C1886" t="s">
        <v>23</v>
      </c>
      <c r="D1886" t="s">
        <v>31</v>
      </c>
      <c r="E1886" t="s">
        <v>21</v>
      </c>
      <c r="F1886" t="s">
        <v>38</v>
      </c>
      <c r="G1886" s="1">
        <v>45612</v>
      </c>
      <c r="H1886" s="1">
        <v>45617</v>
      </c>
      <c r="I1886" s="1">
        <v>45636</v>
      </c>
      <c r="J1886">
        <v>24</v>
      </c>
      <c r="K1886">
        <v>5</v>
      </c>
      <c r="L1886">
        <v>14</v>
      </c>
      <c r="M1886">
        <v>532.85</v>
      </c>
      <c r="N1886">
        <v>7459.9</v>
      </c>
      <c r="O1886">
        <v>0.13</v>
      </c>
      <c r="P1886">
        <v>969.79</v>
      </c>
      <c r="Q1886">
        <v>6490.11</v>
      </c>
      <c r="R1886">
        <v>4699.74</v>
      </c>
      <c r="S1886">
        <v>1790.37</v>
      </c>
    </row>
    <row r="1887" spans="1:19" x14ac:dyDescent="0.35">
      <c r="A1887">
        <v>200625</v>
      </c>
      <c r="B1887">
        <v>2194</v>
      </c>
      <c r="C1887" t="s">
        <v>33</v>
      </c>
      <c r="D1887" t="s">
        <v>31</v>
      </c>
      <c r="E1887" t="s">
        <v>21</v>
      </c>
      <c r="F1887" t="s">
        <v>41</v>
      </c>
      <c r="G1887" s="1">
        <v>45584</v>
      </c>
      <c r="H1887" s="1">
        <v>45585</v>
      </c>
      <c r="I1887" s="1">
        <v>45613</v>
      </c>
      <c r="J1887">
        <v>29</v>
      </c>
      <c r="K1887">
        <v>1</v>
      </c>
      <c r="L1887">
        <v>14</v>
      </c>
      <c r="M1887">
        <v>407.54</v>
      </c>
      <c r="N1887">
        <v>5705.56</v>
      </c>
      <c r="O1887">
        <v>0.14000000000000001</v>
      </c>
      <c r="P1887">
        <v>798.78</v>
      </c>
      <c r="Q1887">
        <v>4906.78</v>
      </c>
      <c r="R1887">
        <v>3537.45</v>
      </c>
      <c r="S1887">
        <v>1369.33</v>
      </c>
    </row>
    <row r="1888" spans="1:19" x14ac:dyDescent="0.35">
      <c r="A1888">
        <v>200626</v>
      </c>
      <c r="B1888">
        <v>4888</v>
      </c>
      <c r="C1888" t="s">
        <v>19</v>
      </c>
      <c r="D1888" t="s">
        <v>29</v>
      </c>
      <c r="E1888" t="s">
        <v>21</v>
      </c>
      <c r="F1888" t="s">
        <v>41</v>
      </c>
      <c r="G1888" s="1">
        <v>45346</v>
      </c>
      <c r="H1888" s="1">
        <v>45350</v>
      </c>
      <c r="I1888" s="1">
        <v>45352</v>
      </c>
      <c r="J1888">
        <v>6</v>
      </c>
      <c r="K1888">
        <v>4</v>
      </c>
      <c r="L1888">
        <v>13</v>
      </c>
      <c r="M1888">
        <v>145.21</v>
      </c>
      <c r="N1888">
        <v>1887.73</v>
      </c>
      <c r="O1888">
        <v>0.04</v>
      </c>
      <c r="P1888">
        <v>75.510000000000005</v>
      </c>
      <c r="Q1888">
        <v>1812.22</v>
      </c>
      <c r="R1888">
        <v>1132.6400000000001</v>
      </c>
      <c r="S1888">
        <v>679.58</v>
      </c>
    </row>
    <row r="1889" spans="1:19" x14ac:dyDescent="0.35">
      <c r="A1889">
        <v>200627</v>
      </c>
      <c r="B1889">
        <v>4770</v>
      </c>
      <c r="C1889" t="s">
        <v>28</v>
      </c>
      <c r="D1889" t="s">
        <v>20</v>
      </c>
      <c r="E1889" t="s">
        <v>24</v>
      </c>
      <c r="F1889" t="s">
        <v>42</v>
      </c>
      <c r="G1889" s="1">
        <v>45551</v>
      </c>
      <c r="H1889" s="1">
        <v>45556</v>
      </c>
      <c r="I1889" s="1">
        <v>45553</v>
      </c>
      <c r="J1889">
        <v>2</v>
      </c>
      <c r="K1889">
        <v>5</v>
      </c>
      <c r="L1889">
        <v>7</v>
      </c>
      <c r="M1889">
        <v>203.23</v>
      </c>
      <c r="N1889">
        <v>1422.61</v>
      </c>
      <c r="O1889">
        <v>0.2</v>
      </c>
      <c r="P1889">
        <v>284.52</v>
      </c>
      <c r="Q1889">
        <v>1138.0899999999999</v>
      </c>
      <c r="R1889">
        <v>896.24</v>
      </c>
      <c r="S1889">
        <v>241.85</v>
      </c>
    </row>
    <row r="1890" spans="1:19" x14ac:dyDescent="0.35">
      <c r="A1890">
        <v>200628</v>
      </c>
      <c r="B1890">
        <v>3242</v>
      </c>
      <c r="C1890" t="s">
        <v>23</v>
      </c>
      <c r="D1890" t="s">
        <v>20</v>
      </c>
      <c r="E1890" t="s">
        <v>21</v>
      </c>
      <c r="F1890" t="s">
        <v>22</v>
      </c>
      <c r="G1890" s="1">
        <v>45462</v>
      </c>
      <c r="H1890" s="1">
        <v>45467</v>
      </c>
      <c r="I1890" s="1">
        <v>45492</v>
      </c>
      <c r="J1890">
        <v>30</v>
      </c>
      <c r="K1890">
        <v>5</v>
      </c>
      <c r="L1890">
        <v>4</v>
      </c>
      <c r="M1890">
        <v>616.84</v>
      </c>
      <c r="N1890">
        <v>2467.36</v>
      </c>
      <c r="O1890">
        <v>0.1</v>
      </c>
      <c r="P1890">
        <v>246.74</v>
      </c>
      <c r="Q1890">
        <v>2220.62</v>
      </c>
      <c r="R1890">
        <v>1579.11</v>
      </c>
      <c r="S1890">
        <v>641.51</v>
      </c>
    </row>
    <row r="1891" spans="1:19" x14ac:dyDescent="0.35">
      <c r="A1891">
        <v>200629</v>
      </c>
      <c r="B1891">
        <v>2089</v>
      </c>
      <c r="C1891" t="s">
        <v>33</v>
      </c>
      <c r="D1891" t="s">
        <v>29</v>
      </c>
      <c r="E1891" t="s">
        <v>34</v>
      </c>
      <c r="F1891" t="s">
        <v>35</v>
      </c>
      <c r="G1891" s="1">
        <v>45305</v>
      </c>
      <c r="H1891" s="1">
        <v>45306</v>
      </c>
      <c r="I1891" s="1">
        <v>45324</v>
      </c>
      <c r="J1891">
        <v>19</v>
      </c>
      <c r="K1891">
        <v>1</v>
      </c>
      <c r="L1891">
        <v>6</v>
      </c>
      <c r="M1891">
        <v>206.09</v>
      </c>
      <c r="N1891">
        <v>1236.54</v>
      </c>
      <c r="O1891">
        <v>0.02</v>
      </c>
      <c r="P1891">
        <v>24.73</v>
      </c>
      <c r="Q1891">
        <v>1211.81</v>
      </c>
      <c r="R1891">
        <v>853.21</v>
      </c>
      <c r="S1891">
        <v>358.6</v>
      </c>
    </row>
    <row r="1892" spans="1:19" x14ac:dyDescent="0.35">
      <c r="A1892">
        <v>200630</v>
      </c>
      <c r="B1892">
        <v>4796</v>
      </c>
      <c r="C1892" t="s">
        <v>33</v>
      </c>
      <c r="D1892" t="s">
        <v>31</v>
      </c>
      <c r="E1892" t="s">
        <v>26</v>
      </c>
      <c r="F1892" t="s">
        <v>37</v>
      </c>
      <c r="G1892" s="1">
        <v>45446</v>
      </c>
      <c r="H1892" s="1">
        <v>45450</v>
      </c>
      <c r="I1892" s="1">
        <v>45461</v>
      </c>
      <c r="J1892">
        <v>15</v>
      </c>
      <c r="K1892">
        <v>4</v>
      </c>
      <c r="L1892">
        <v>12</v>
      </c>
      <c r="M1892">
        <v>478.71</v>
      </c>
      <c r="N1892">
        <v>5744.52</v>
      </c>
      <c r="O1892">
        <v>0.15</v>
      </c>
      <c r="P1892">
        <v>861.68</v>
      </c>
      <c r="Q1892">
        <v>4882.84</v>
      </c>
      <c r="R1892">
        <v>3446.71</v>
      </c>
      <c r="S1892">
        <v>1436.13</v>
      </c>
    </row>
    <row r="1893" spans="1:19" x14ac:dyDescent="0.35">
      <c r="A1893">
        <v>200631</v>
      </c>
      <c r="B1893">
        <v>4701</v>
      </c>
      <c r="C1893" t="s">
        <v>33</v>
      </c>
      <c r="D1893" t="s">
        <v>20</v>
      </c>
      <c r="E1893" t="s">
        <v>34</v>
      </c>
      <c r="F1893" t="s">
        <v>35</v>
      </c>
      <c r="G1893" s="1">
        <v>45394</v>
      </c>
      <c r="H1893" s="1">
        <v>45397</v>
      </c>
      <c r="I1893" s="1">
        <v>45416</v>
      </c>
      <c r="J1893">
        <v>22</v>
      </c>
      <c r="K1893">
        <v>3</v>
      </c>
      <c r="L1893">
        <v>3</v>
      </c>
      <c r="M1893">
        <v>664.62</v>
      </c>
      <c r="N1893">
        <v>1993.86</v>
      </c>
      <c r="O1893">
        <v>0.09</v>
      </c>
      <c r="P1893">
        <v>179.45</v>
      </c>
      <c r="Q1893">
        <v>1814.41</v>
      </c>
      <c r="R1893">
        <v>1196.32</v>
      </c>
      <c r="S1893">
        <v>618.09</v>
      </c>
    </row>
    <row r="1894" spans="1:19" x14ac:dyDescent="0.35">
      <c r="A1894">
        <v>200632</v>
      </c>
      <c r="B1894">
        <v>3693</v>
      </c>
      <c r="C1894" t="s">
        <v>23</v>
      </c>
      <c r="D1894" t="s">
        <v>29</v>
      </c>
      <c r="E1894" t="s">
        <v>26</v>
      </c>
      <c r="F1894" t="s">
        <v>44</v>
      </c>
      <c r="G1894" s="1">
        <v>45522</v>
      </c>
      <c r="H1894" s="1">
        <v>45524</v>
      </c>
      <c r="I1894" s="1">
        <v>45543</v>
      </c>
      <c r="J1894">
        <v>21</v>
      </c>
      <c r="K1894">
        <v>2</v>
      </c>
      <c r="L1894">
        <v>8</v>
      </c>
      <c r="M1894">
        <v>90.37</v>
      </c>
      <c r="N1894">
        <v>722.96</v>
      </c>
      <c r="O1894">
        <v>0.16</v>
      </c>
      <c r="P1894">
        <v>115.67</v>
      </c>
      <c r="Q1894">
        <v>607.29</v>
      </c>
      <c r="R1894">
        <v>484.38</v>
      </c>
      <c r="S1894">
        <v>122.91</v>
      </c>
    </row>
    <row r="1895" spans="1:19" x14ac:dyDescent="0.35">
      <c r="A1895">
        <v>200633</v>
      </c>
      <c r="B1895">
        <v>2292</v>
      </c>
      <c r="C1895" t="s">
        <v>33</v>
      </c>
      <c r="D1895" t="s">
        <v>31</v>
      </c>
      <c r="E1895" t="s">
        <v>24</v>
      </c>
      <c r="F1895" t="s">
        <v>32</v>
      </c>
      <c r="G1895" s="1">
        <v>45603</v>
      </c>
      <c r="H1895" s="1">
        <v>45608</v>
      </c>
      <c r="I1895" s="1">
        <v>45625</v>
      </c>
      <c r="J1895">
        <v>22</v>
      </c>
      <c r="K1895">
        <v>5</v>
      </c>
      <c r="L1895">
        <v>9</v>
      </c>
      <c r="M1895">
        <v>126.66</v>
      </c>
      <c r="N1895">
        <v>1139.94</v>
      </c>
      <c r="O1895">
        <v>0.2</v>
      </c>
      <c r="P1895">
        <v>227.99</v>
      </c>
      <c r="Q1895">
        <v>911.95</v>
      </c>
      <c r="R1895">
        <v>683.96</v>
      </c>
      <c r="S1895">
        <v>227.99</v>
      </c>
    </row>
    <row r="1896" spans="1:19" x14ac:dyDescent="0.35">
      <c r="A1896">
        <v>200634</v>
      </c>
      <c r="B1896">
        <v>1869</v>
      </c>
      <c r="C1896" t="s">
        <v>33</v>
      </c>
      <c r="D1896" t="s">
        <v>20</v>
      </c>
      <c r="E1896" t="s">
        <v>24</v>
      </c>
      <c r="F1896" t="s">
        <v>25</v>
      </c>
      <c r="G1896" s="1">
        <v>45357</v>
      </c>
      <c r="H1896" s="1">
        <v>45359</v>
      </c>
      <c r="I1896" s="1">
        <v>45385</v>
      </c>
      <c r="J1896">
        <v>28</v>
      </c>
      <c r="K1896">
        <v>2</v>
      </c>
      <c r="L1896">
        <v>13</v>
      </c>
      <c r="M1896">
        <v>756.2</v>
      </c>
      <c r="N1896">
        <v>9830.6</v>
      </c>
      <c r="O1896">
        <v>0.1</v>
      </c>
      <c r="P1896">
        <v>983.06</v>
      </c>
      <c r="Q1896">
        <v>8847.5400000000009</v>
      </c>
      <c r="R1896">
        <v>6389.89</v>
      </c>
      <c r="S1896">
        <v>2457.65</v>
      </c>
    </row>
    <row r="1897" spans="1:19" x14ac:dyDescent="0.35">
      <c r="A1897">
        <v>200635</v>
      </c>
      <c r="B1897">
        <v>3740</v>
      </c>
      <c r="C1897" t="s">
        <v>33</v>
      </c>
      <c r="D1897" t="s">
        <v>29</v>
      </c>
      <c r="E1897" t="s">
        <v>34</v>
      </c>
      <c r="F1897" t="s">
        <v>43</v>
      </c>
      <c r="G1897" s="1">
        <v>45363</v>
      </c>
      <c r="H1897" s="1">
        <v>45367</v>
      </c>
      <c r="I1897" s="1">
        <v>45383</v>
      </c>
      <c r="J1897">
        <v>20</v>
      </c>
      <c r="K1897">
        <v>4</v>
      </c>
      <c r="L1897">
        <v>3</v>
      </c>
      <c r="M1897">
        <v>213.83</v>
      </c>
      <c r="N1897">
        <v>641.49</v>
      </c>
      <c r="O1897">
        <v>0.09</v>
      </c>
      <c r="P1897">
        <v>57.73</v>
      </c>
      <c r="Q1897">
        <v>583.76</v>
      </c>
      <c r="R1897">
        <v>391.31</v>
      </c>
      <c r="S1897">
        <v>192.45</v>
      </c>
    </row>
    <row r="1898" spans="1:19" x14ac:dyDescent="0.35">
      <c r="A1898">
        <v>200636</v>
      </c>
      <c r="B1898">
        <v>4897</v>
      </c>
      <c r="C1898" t="s">
        <v>23</v>
      </c>
      <c r="D1898" t="s">
        <v>29</v>
      </c>
      <c r="E1898" t="s">
        <v>34</v>
      </c>
      <c r="F1898" t="s">
        <v>45</v>
      </c>
      <c r="G1898" s="1">
        <v>45316</v>
      </c>
      <c r="H1898" s="1">
        <v>45317</v>
      </c>
      <c r="I1898" s="1">
        <v>45330</v>
      </c>
      <c r="J1898">
        <v>14</v>
      </c>
      <c r="K1898">
        <v>1</v>
      </c>
      <c r="L1898">
        <v>2</v>
      </c>
      <c r="M1898">
        <v>797.37</v>
      </c>
      <c r="N1898">
        <v>1594.74</v>
      </c>
      <c r="O1898">
        <v>0.18</v>
      </c>
      <c r="P1898">
        <v>287.05</v>
      </c>
      <c r="Q1898">
        <v>1307.69</v>
      </c>
      <c r="R1898">
        <v>956.84</v>
      </c>
      <c r="S1898">
        <v>350.85</v>
      </c>
    </row>
    <row r="1899" spans="1:19" x14ac:dyDescent="0.35">
      <c r="A1899">
        <v>200637</v>
      </c>
      <c r="B1899">
        <v>3307</v>
      </c>
      <c r="C1899" t="s">
        <v>33</v>
      </c>
      <c r="D1899" t="s">
        <v>29</v>
      </c>
      <c r="E1899" t="s">
        <v>34</v>
      </c>
      <c r="F1899" t="s">
        <v>40</v>
      </c>
      <c r="G1899" s="1">
        <v>45347</v>
      </c>
      <c r="H1899" s="1">
        <v>45351</v>
      </c>
      <c r="I1899" s="1">
        <v>45357</v>
      </c>
      <c r="J1899">
        <v>10</v>
      </c>
      <c r="K1899">
        <v>4</v>
      </c>
      <c r="L1899">
        <v>6</v>
      </c>
      <c r="M1899">
        <v>410.93</v>
      </c>
      <c r="N1899">
        <v>2465.58</v>
      </c>
      <c r="O1899">
        <v>0.04</v>
      </c>
      <c r="P1899">
        <v>98.62</v>
      </c>
      <c r="Q1899">
        <v>2366.96</v>
      </c>
      <c r="R1899">
        <v>1504</v>
      </c>
      <c r="S1899">
        <v>862.96</v>
      </c>
    </row>
    <row r="1900" spans="1:19" x14ac:dyDescent="0.35">
      <c r="A1900">
        <v>200638</v>
      </c>
      <c r="B1900">
        <v>4266</v>
      </c>
      <c r="C1900" t="s">
        <v>19</v>
      </c>
      <c r="D1900" t="s">
        <v>31</v>
      </c>
      <c r="E1900" t="s">
        <v>26</v>
      </c>
      <c r="F1900" t="s">
        <v>44</v>
      </c>
      <c r="G1900" s="1">
        <v>45569</v>
      </c>
      <c r="H1900" s="1">
        <v>45572</v>
      </c>
      <c r="I1900" s="1">
        <v>45594</v>
      </c>
      <c r="J1900">
        <v>25</v>
      </c>
      <c r="K1900">
        <v>3</v>
      </c>
      <c r="L1900">
        <v>11</v>
      </c>
      <c r="M1900">
        <v>766.7</v>
      </c>
      <c r="N1900">
        <v>8433.7000000000007</v>
      </c>
      <c r="O1900">
        <v>7.0000000000000007E-2</v>
      </c>
      <c r="P1900">
        <v>590.36</v>
      </c>
      <c r="Q1900">
        <v>7843.34</v>
      </c>
      <c r="R1900">
        <v>5481.91</v>
      </c>
      <c r="S1900">
        <v>2361.4299999999998</v>
      </c>
    </row>
    <row r="1901" spans="1:19" x14ac:dyDescent="0.35">
      <c r="A1901">
        <v>200639</v>
      </c>
      <c r="B1901">
        <v>3500</v>
      </c>
      <c r="C1901" t="s">
        <v>28</v>
      </c>
      <c r="D1901" t="s">
        <v>31</v>
      </c>
      <c r="E1901" t="s">
        <v>24</v>
      </c>
      <c r="F1901" t="s">
        <v>25</v>
      </c>
      <c r="G1901" s="1">
        <v>45432</v>
      </c>
      <c r="H1901" s="1">
        <v>45437</v>
      </c>
      <c r="I1901" s="1">
        <v>45455</v>
      </c>
      <c r="J1901">
        <v>23</v>
      </c>
      <c r="K1901">
        <v>5</v>
      </c>
      <c r="L1901">
        <v>8</v>
      </c>
      <c r="M1901">
        <v>298.8</v>
      </c>
      <c r="N1901">
        <v>2390.4</v>
      </c>
      <c r="O1901">
        <v>0.14000000000000001</v>
      </c>
      <c r="P1901">
        <v>334.66</v>
      </c>
      <c r="Q1901">
        <v>2055.7399999999998</v>
      </c>
      <c r="R1901">
        <v>1434.24</v>
      </c>
      <c r="S1901">
        <v>621.5</v>
      </c>
    </row>
    <row r="1902" spans="1:19" x14ac:dyDescent="0.35">
      <c r="A1902">
        <v>200640</v>
      </c>
      <c r="B1902">
        <v>3916</v>
      </c>
      <c r="C1902" t="s">
        <v>28</v>
      </c>
      <c r="D1902" t="s">
        <v>20</v>
      </c>
      <c r="E1902" t="s">
        <v>26</v>
      </c>
      <c r="F1902" t="s">
        <v>27</v>
      </c>
      <c r="G1902" s="1">
        <v>45428</v>
      </c>
      <c r="H1902" s="1">
        <v>45431</v>
      </c>
      <c r="I1902" s="1">
        <v>45438</v>
      </c>
      <c r="J1902">
        <v>10</v>
      </c>
      <c r="K1902">
        <v>3</v>
      </c>
      <c r="L1902">
        <v>8</v>
      </c>
      <c r="M1902">
        <v>397.16</v>
      </c>
      <c r="N1902">
        <v>3177.28</v>
      </c>
      <c r="O1902">
        <v>0.04</v>
      </c>
      <c r="P1902">
        <v>127.09</v>
      </c>
      <c r="Q1902">
        <v>3050.19</v>
      </c>
      <c r="R1902">
        <v>1969.91</v>
      </c>
      <c r="S1902">
        <v>1080.28</v>
      </c>
    </row>
    <row r="1903" spans="1:19" x14ac:dyDescent="0.35">
      <c r="A1903">
        <v>200641</v>
      </c>
      <c r="B1903">
        <v>2038</v>
      </c>
      <c r="C1903" t="s">
        <v>28</v>
      </c>
      <c r="D1903" t="s">
        <v>20</v>
      </c>
      <c r="E1903" t="s">
        <v>24</v>
      </c>
      <c r="F1903" t="s">
        <v>32</v>
      </c>
      <c r="G1903" s="1">
        <v>45402</v>
      </c>
      <c r="H1903" s="1">
        <v>45405</v>
      </c>
      <c r="I1903" s="1">
        <v>45409</v>
      </c>
      <c r="J1903">
        <v>7</v>
      </c>
      <c r="K1903">
        <v>3</v>
      </c>
      <c r="L1903">
        <v>7</v>
      </c>
      <c r="M1903">
        <v>347.07</v>
      </c>
      <c r="N1903">
        <v>2429.4899999999998</v>
      </c>
      <c r="O1903">
        <v>0.14000000000000001</v>
      </c>
      <c r="P1903">
        <v>340.13</v>
      </c>
      <c r="Q1903">
        <v>2089.36</v>
      </c>
      <c r="R1903">
        <v>1433.4</v>
      </c>
      <c r="S1903">
        <v>655.96</v>
      </c>
    </row>
    <row r="1904" spans="1:19" x14ac:dyDescent="0.35">
      <c r="A1904">
        <v>200642</v>
      </c>
      <c r="B1904">
        <v>4147</v>
      </c>
      <c r="C1904" t="s">
        <v>23</v>
      </c>
      <c r="D1904" t="s">
        <v>31</v>
      </c>
      <c r="E1904" t="s">
        <v>26</v>
      </c>
      <c r="F1904" t="s">
        <v>36</v>
      </c>
      <c r="G1904" s="1">
        <v>45318</v>
      </c>
      <c r="H1904" s="1">
        <v>45321</v>
      </c>
      <c r="I1904" s="1">
        <v>45329</v>
      </c>
      <c r="J1904">
        <v>11</v>
      </c>
      <c r="K1904">
        <v>3</v>
      </c>
      <c r="L1904">
        <v>3</v>
      </c>
      <c r="M1904">
        <v>734.36</v>
      </c>
      <c r="N1904">
        <v>2203.08</v>
      </c>
      <c r="O1904">
        <v>0.11</v>
      </c>
      <c r="P1904">
        <v>242.34</v>
      </c>
      <c r="Q1904">
        <v>1960.74</v>
      </c>
      <c r="R1904">
        <v>1498.09</v>
      </c>
      <c r="S1904">
        <v>462.65</v>
      </c>
    </row>
    <row r="1905" spans="1:19" x14ac:dyDescent="0.35">
      <c r="A1905">
        <v>200643</v>
      </c>
      <c r="B1905">
        <v>4825</v>
      </c>
      <c r="C1905" t="s">
        <v>28</v>
      </c>
      <c r="D1905" t="s">
        <v>20</v>
      </c>
      <c r="E1905" t="s">
        <v>24</v>
      </c>
      <c r="F1905" t="s">
        <v>42</v>
      </c>
      <c r="G1905" s="1">
        <v>45487</v>
      </c>
      <c r="H1905" s="1">
        <v>45488</v>
      </c>
      <c r="I1905" s="1">
        <v>45496</v>
      </c>
      <c r="J1905">
        <v>9</v>
      </c>
      <c r="K1905">
        <v>1</v>
      </c>
      <c r="L1905">
        <v>6</v>
      </c>
      <c r="M1905">
        <v>131.46</v>
      </c>
      <c r="N1905">
        <v>788.76</v>
      </c>
      <c r="O1905">
        <v>0.17</v>
      </c>
      <c r="P1905">
        <v>134.09</v>
      </c>
      <c r="Q1905">
        <v>654.66999999999996</v>
      </c>
      <c r="R1905">
        <v>473.26</v>
      </c>
      <c r="S1905">
        <v>181.41</v>
      </c>
    </row>
    <row r="1906" spans="1:19" x14ac:dyDescent="0.35">
      <c r="A1906">
        <v>200644</v>
      </c>
      <c r="B1906">
        <v>1947</v>
      </c>
      <c r="C1906" t="s">
        <v>23</v>
      </c>
      <c r="D1906" t="s">
        <v>20</v>
      </c>
      <c r="E1906" t="s">
        <v>34</v>
      </c>
      <c r="F1906" t="s">
        <v>43</v>
      </c>
      <c r="G1906" s="1">
        <v>45655</v>
      </c>
      <c r="H1906" s="1">
        <v>45660</v>
      </c>
      <c r="I1906" s="1">
        <v>45664</v>
      </c>
      <c r="J1906">
        <v>9</v>
      </c>
      <c r="K1906">
        <v>5</v>
      </c>
      <c r="L1906">
        <v>13</v>
      </c>
      <c r="M1906">
        <v>407.68</v>
      </c>
      <c r="N1906">
        <v>5299.84</v>
      </c>
      <c r="O1906">
        <v>0.09</v>
      </c>
      <c r="P1906">
        <v>476.99</v>
      </c>
      <c r="Q1906">
        <v>4822.8500000000004</v>
      </c>
      <c r="R1906">
        <v>3179.9</v>
      </c>
      <c r="S1906">
        <v>1642.95</v>
      </c>
    </row>
    <row r="1907" spans="1:19" x14ac:dyDescent="0.35">
      <c r="A1907">
        <v>200645</v>
      </c>
      <c r="B1907">
        <v>2196</v>
      </c>
      <c r="C1907" t="s">
        <v>23</v>
      </c>
      <c r="D1907" t="s">
        <v>31</v>
      </c>
      <c r="E1907" t="s">
        <v>26</v>
      </c>
      <c r="F1907" t="s">
        <v>37</v>
      </c>
      <c r="G1907" s="1">
        <v>45489</v>
      </c>
      <c r="H1907" s="1">
        <v>45493</v>
      </c>
      <c r="I1907" s="1">
        <v>45518</v>
      </c>
      <c r="J1907">
        <v>29</v>
      </c>
      <c r="K1907">
        <v>4</v>
      </c>
      <c r="L1907">
        <v>8</v>
      </c>
      <c r="M1907">
        <v>776.12</v>
      </c>
      <c r="N1907">
        <v>6208.96</v>
      </c>
      <c r="O1907">
        <v>0.1</v>
      </c>
      <c r="P1907">
        <v>620.9</v>
      </c>
      <c r="Q1907">
        <v>5588.06</v>
      </c>
      <c r="R1907">
        <v>4097.91</v>
      </c>
      <c r="S1907">
        <v>1490.15</v>
      </c>
    </row>
    <row r="1908" spans="1:19" x14ac:dyDescent="0.35">
      <c r="A1908">
        <v>200646</v>
      </c>
      <c r="B1908">
        <v>1183</v>
      </c>
      <c r="C1908" t="s">
        <v>19</v>
      </c>
      <c r="D1908" t="s">
        <v>20</v>
      </c>
      <c r="E1908" t="s">
        <v>26</v>
      </c>
      <c r="F1908" t="s">
        <v>37</v>
      </c>
      <c r="G1908" s="1">
        <v>45510</v>
      </c>
      <c r="H1908" s="1">
        <v>45512</v>
      </c>
      <c r="I1908" s="1">
        <v>45536</v>
      </c>
      <c r="J1908">
        <v>26</v>
      </c>
      <c r="K1908">
        <v>2</v>
      </c>
      <c r="L1908">
        <v>13</v>
      </c>
      <c r="M1908">
        <v>716.35</v>
      </c>
      <c r="N1908">
        <v>9312.5499999999993</v>
      </c>
      <c r="O1908">
        <v>0.04</v>
      </c>
      <c r="P1908">
        <v>372.5</v>
      </c>
      <c r="Q1908">
        <v>8940.0499999999993</v>
      </c>
      <c r="R1908">
        <v>5866.91</v>
      </c>
      <c r="S1908">
        <v>3073.14</v>
      </c>
    </row>
    <row r="1909" spans="1:19" x14ac:dyDescent="0.35">
      <c r="A1909">
        <v>200647</v>
      </c>
      <c r="B1909">
        <v>2855</v>
      </c>
      <c r="C1909" t="s">
        <v>33</v>
      </c>
      <c r="D1909" t="s">
        <v>29</v>
      </c>
      <c r="E1909" t="s">
        <v>21</v>
      </c>
      <c r="F1909" t="s">
        <v>39</v>
      </c>
      <c r="G1909" s="1">
        <v>45361</v>
      </c>
      <c r="H1909" s="1">
        <v>45362</v>
      </c>
      <c r="I1909" s="1">
        <v>45375</v>
      </c>
      <c r="J1909">
        <v>14</v>
      </c>
      <c r="K1909">
        <v>1</v>
      </c>
      <c r="L1909">
        <v>10</v>
      </c>
      <c r="M1909">
        <v>295.86</v>
      </c>
      <c r="N1909">
        <v>2958.6</v>
      </c>
      <c r="O1909">
        <v>0.12</v>
      </c>
      <c r="P1909">
        <v>355.03</v>
      </c>
      <c r="Q1909">
        <v>2603.5700000000002</v>
      </c>
      <c r="R1909">
        <v>1804.75</v>
      </c>
      <c r="S1909">
        <v>798.82</v>
      </c>
    </row>
    <row r="1910" spans="1:19" x14ac:dyDescent="0.35">
      <c r="A1910">
        <v>200648</v>
      </c>
      <c r="B1910">
        <v>4684</v>
      </c>
      <c r="C1910" t="s">
        <v>28</v>
      </c>
      <c r="D1910" t="s">
        <v>29</v>
      </c>
      <c r="E1910" t="s">
        <v>26</v>
      </c>
      <c r="F1910" t="s">
        <v>44</v>
      </c>
      <c r="G1910" s="1">
        <v>45449</v>
      </c>
      <c r="H1910" s="1">
        <v>45451</v>
      </c>
      <c r="I1910" s="1">
        <v>45454</v>
      </c>
      <c r="J1910">
        <v>5</v>
      </c>
      <c r="K1910">
        <v>2</v>
      </c>
      <c r="L1910">
        <v>8</v>
      </c>
      <c r="M1910">
        <v>626.82000000000005</v>
      </c>
      <c r="N1910">
        <v>5014.5600000000004</v>
      </c>
      <c r="O1910">
        <v>0.11</v>
      </c>
      <c r="P1910">
        <v>551.6</v>
      </c>
      <c r="Q1910">
        <v>4462.96</v>
      </c>
      <c r="R1910">
        <v>3309.61</v>
      </c>
      <c r="S1910">
        <v>1153.3499999999999</v>
      </c>
    </row>
    <row r="1911" spans="1:19" x14ac:dyDescent="0.35">
      <c r="A1911">
        <v>200649</v>
      </c>
      <c r="B1911">
        <v>4348</v>
      </c>
      <c r="C1911" t="s">
        <v>19</v>
      </c>
      <c r="D1911" t="s">
        <v>31</v>
      </c>
      <c r="E1911" t="s">
        <v>24</v>
      </c>
      <c r="F1911" t="s">
        <v>30</v>
      </c>
      <c r="G1911" s="1">
        <v>45495</v>
      </c>
      <c r="H1911" s="1">
        <v>45500</v>
      </c>
      <c r="I1911" s="1">
        <v>45506</v>
      </c>
      <c r="J1911">
        <v>11</v>
      </c>
      <c r="K1911">
        <v>5</v>
      </c>
      <c r="L1911">
        <v>11</v>
      </c>
      <c r="M1911">
        <v>100.18</v>
      </c>
      <c r="N1911">
        <v>1101.98</v>
      </c>
      <c r="O1911">
        <v>0.16</v>
      </c>
      <c r="P1911">
        <v>176.32</v>
      </c>
      <c r="Q1911">
        <v>925.66</v>
      </c>
      <c r="R1911">
        <v>562.01</v>
      </c>
      <c r="S1911">
        <v>363.65</v>
      </c>
    </row>
    <row r="1912" spans="1:19" x14ac:dyDescent="0.35">
      <c r="A1912">
        <v>200650</v>
      </c>
      <c r="B1912">
        <v>2146</v>
      </c>
      <c r="C1912" t="s">
        <v>28</v>
      </c>
      <c r="D1912" t="s">
        <v>29</v>
      </c>
      <c r="E1912" t="s">
        <v>24</v>
      </c>
      <c r="F1912" t="s">
        <v>25</v>
      </c>
      <c r="G1912" s="1">
        <v>45425</v>
      </c>
      <c r="H1912" s="1">
        <v>45426</v>
      </c>
      <c r="I1912" s="1">
        <v>45427</v>
      </c>
      <c r="J1912">
        <v>2</v>
      </c>
      <c r="K1912">
        <v>1</v>
      </c>
      <c r="L1912">
        <v>6</v>
      </c>
      <c r="M1912">
        <v>637.04999999999995</v>
      </c>
      <c r="N1912">
        <v>3822.3</v>
      </c>
      <c r="O1912">
        <v>0.03</v>
      </c>
      <c r="P1912">
        <v>114.67</v>
      </c>
      <c r="Q1912">
        <v>3707.63</v>
      </c>
      <c r="R1912">
        <v>2331.6</v>
      </c>
      <c r="S1912">
        <v>1376.03</v>
      </c>
    </row>
    <row r="1913" spans="1:19" x14ac:dyDescent="0.35">
      <c r="A1913">
        <v>200651</v>
      </c>
      <c r="B1913">
        <v>1902</v>
      </c>
      <c r="C1913" t="s">
        <v>23</v>
      </c>
      <c r="D1913" t="s">
        <v>20</v>
      </c>
      <c r="E1913" t="s">
        <v>26</v>
      </c>
      <c r="F1913" t="s">
        <v>27</v>
      </c>
      <c r="G1913" s="1">
        <v>45643</v>
      </c>
      <c r="H1913" s="1">
        <v>45644</v>
      </c>
      <c r="I1913" s="1">
        <v>45658</v>
      </c>
      <c r="J1913">
        <v>15</v>
      </c>
      <c r="K1913">
        <v>1</v>
      </c>
      <c r="L1913">
        <v>9</v>
      </c>
      <c r="M1913">
        <v>669.46</v>
      </c>
      <c r="N1913">
        <v>6025.14</v>
      </c>
      <c r="O1913">
        <v>0.1</v>
      </c>
      <c r="P1913">
        <v>602.51</v>
      </c>
      <c r="Q1913">
        <v>5422.63</v>
      </c>
      <c r="R1913">
        <v>3916.34</v>
      </c>
      <c r="S1913">
        <v>1506.29</v>
      </c>
    </row>
    <row r="1914" spans="1:19" x14ac:dyDescent="0.35">
      <c r="A1914">
        <v>200652</v>
      </c>
      <c r="B1914">
        <v>3686</v>
      </c>
      <c r="C1914" t="s">
        <v>28</v>
      </c>
      <c r="D1914" t="s">
        <v>20</v>
      </c>
      <c r="E1914" t="s">
        <v>21</v>
      </c>
      <c r="F1914" t="s">
        <v>22</v>
      </c>
      <c r="G1914" s="1">
        <v>45540</v>
      </c>
      <c r="H1914" s="1">
        <v>45543</v>
      </c>
      <c r="I1914" s="1">
        <v>45544</v>
      </c>
      <c r="J1914">
        <v>4</v>
      </c>
      <c r="K1914">
        <v>3</v>
      </c>
      <c r="L1914">
        <v>11</v>
      </c>
      <c r="M1914">
        <v>168.33</v>
      </c>
      <c r="N1914">
        <v>1851.63</v>
      </c>
      <c r="O1914">
        <v>0.14000000000000001</v>
      </c>
      <c r="P1914">
        <v>259.23</v>
      </c>
      <c r="Q1914">
        <v>1592.4</v>
      </c>
      <c r="R1914">
        <v>1110.98</v>
      </c>
      <c r="S1914">
        <v>481.42</v>
      </c>
    </row>
    <row r="1915" spans="1:19" x14ac:dyDescent="0.35">
      <c r="A1915">
        <v>200653</v>
      </c>
      <c r="B1915">
        <v>2795</v>
      </c>
      <c r="C1915" t="s">
        <v>19</v>
      </c>
      <c r="D1915" t="s">
        <v>31</v>
      </c>
      <c r="E1915" t="s">
        <v>21</v>
      </c>
      <c r="F1915" t="s">
        <v>38</v>
      </c>
      <c r="G1915" s="1">
        <v>45628</v>
      </c>
      <c r="H1915" s="1">
        <v>45633</v>
      </c>
      <c r="I1915" s="1">
        <v>45658</v>
      </c>
      <c r="J1915">
        <v>30</v>
      </c>
      <c r="K1915">
        <v>5</v>
      </c>
      <c r="L1915">
        <v>2</v>
      </c>
      <c r="M1915">
        <v>669.68</v>
      </c>
      <c r="N1915">
        <v>1339.36</v>
      </c>
      <c r="O1915">
        <v>0.12</v>
      </c>
      <c r="P1915">
        <v>160.72</v>
      </c>
      <c r="Q1915">
        <v>1178.6400000000001</v>
      </c>
      <c r="R1915">
        <v>843.8</v>
      </c>
      <c r="S1915">
        <v>334.84</v>
      </c>
    </row>
    <row r="1916" spans="1:19" x14ac:dyDescent="0.35">
      <c r="A1916">
        <v>200654</v>
      </c>
      <c r="B1916">
        <v>4772</v>
      </c>
      <c r="C1916" t="s">
        <v>19</v>
      </c>
      <c r="D1916" t="s">
        <v>31</v>
      </c>
      <c r="E1916" t="s">
        <v>34</v>
      </c>
      <c r="F1916" t="s">
        <v>35</v>
      </c>
      <c r="G1916" s="1">
        <v>45599</v>
      </c>
      <c r="H1916" s="1">
        <v>45604</v>
      </c>
      <c r="I1916" s="1">
        <v>45628</v>
      </c>
      <c r="J1916">
        <v>29</v>
      </c>
      <c r="K1916">
        <v>5</v>
      </c>
      <c r="L1916">
        <v>14</v>
      </c>
      <c r="M1916">
        <v>484.11</v>
      </c>
      <c r="N1916">
        <v>6777.54</v>
      </c>
      <c r="O1916">
        <v>0.05</v>
      </c>
      <c r="P1916">
        <v>338.88</v>
      </c>
      <c r="Q1916">
        <v>6438.66</v>
      </c>
      <c r="R1916">
        <v>4676.5</v>
      </c>
      <c r="S1916">
        <v>1762.16</v>
      </c>
    </row>
    <row r="1917" spans="1:19" x14ac:dyDescent="0.35">
      <c r="A1917">
        <v>200655</v>
      </c>
      <c r="B1917">
        <v>3410</v>
      </c>
      <c r="C1917" t="s">
        <v>28</v>
      </c>
      <c r="D1917" t="s">
        <v>20</v>
      </c>
      <c r="E1917" t="s">
        <v>26</v>
      </c>
      <c r="F1917" t="s">
        <v>36</v>
      </c>
      <c r="G1917" s="1">
        <v>45548</v>
      </c>
      <c r="H1917" s="1">
        <v>45552</v>
      </c>
      <c r="I1917" s="1">
        <v>45558</v>
      </c>
      <c r="J1917">
        <v>10</v>
      </c>
      <c r="K1917">
        <v>4</v>
      </c>
      <c r="L1917">
        <v>8</v>
      </c>
      <c r="M1917">
        <v>682.57</v>
      </c>
      <c r="N1917">
        <v>5460.56</v>
      </c>
      <c r="O1917">
        <v>0.15</v>
      </c>
      <c r="P1917">
        <v>819.08</v>
      </c>
      <c r="Q1917">
        <v>4641.4799999999996</v>
      </c>
      <c r="R1917">
        <v>3057.91</v>
      </c>
      <c r="S1917">
        <v>1583.57</v>
      </c>
    </row>
    <row r="1918" spans="1:19" x14ac:dyDescent="0.35">
      <c r="A1918">
        <v>200656</v>
      </c>
      <c r="B1918">
        <v>4066</v>
      </c>
      <c r="C1918" t="s">
        <v>33</v>
      </c>
      <c r="D1918" t="s">
        <v>20</v>
      </c>
      <c r="E1918" t="s">
        <v>24</v>
      </c>
      <c r="F1918" t="s">
        <v>42</v>
      </c>
      <c r="G1918" s="1">
        <v>45314</v>
      </c>
      <c r="H1918" s="1">
        <v>45319</v>
      </c>
      <c r="I1918" s="1">
        <v>45339</v>
      </c>
      <c r="J1918">
        <v>25</v>
      </c>
      <c r="K1918">
        <v>5</v>
      </c>
      <c r="L1918">
        <v>14</v>
      </c>
      <c r="M1918">
        <v>778.52</v>
      </c>
      <c r="N1918">
        <v>10899.28</v>
      </c>
      <c r="O1918">
        <v>0.15</v>
      </c>
      <c r="P1918">
        <v>1634.89</v>
      </c>
      <c r="Q1918">
        <v>9264.39</v>
      </c>
      <c r="R1918">
        <v>6866.55</v>
      </c>
      <c r="S1918">
        <v>2397.84</v>
      </c>
    </row>
    <row r="1919" spans="1:19" x14ac:dyDescent="0.35">
      <c r="A1919">
        <v>200657</v>
      </c>
      <c r="B1919">
        <v>3981</v>
      </c>
      <c r="C1919" t="s">
        <v>33</v>
      </c>
      <c r="D1919" t="s">
        <v>29</v>
      </c>
      <c r="E1919" t="s">
        <v>24</v>
      </c>
      <c r="F1919" t="s">
        <v>32</v>
      </c>
      <c r="G1919" s="1">
        <v>45655</v>
      </c>
      <c r="H1919" s="1">
        <v>45658</v>
      </c>
      <c r="I1919" s="1">
        <v>45664</v>
      </c>
      <c r="J1919">
        <v>9</v>
      </c>
      <c r="K1919">
        <v>3</v>
      </c>
      <c r="L1919">
        <v>4</v>
      </c>
      <c r="M1919">
        <v>105.88</v>
      </c>
      <c r="N1919">
        <v>423.52</v>
      </c>
      <c r="O1919">
        <v>0.11</v>
      </c>
      <c r="P1919">
        <v>46.59</v>
      </c>
      <c r="Q1919">
        <v>376.93</v>
      </c>
      <c r="R1919">
        <v>271.05</v>
      </c>
      <c r="S1919">
        <v>105.88</v>
      </c>
    </row>
    <row r="1920" spans="1:19" x14ac:dyDescent="0.35">
      <c r="A1920">
        <v>200658</v>
      </c>
      <c r="B1920">
        <v>3407</v>
      </c>
      <c r="C1920" t="s">
        <v>23</v>
      </c>
      <c r="D1920" t="s">
        <v>29</v>
      </c>
      <c r="E1920" t="s">
        <v>34</v>
      </c>
      <c r="F1920" t="s">
        <v>40</v>
      </c>
      <c r="G1920" s="1">
        <v>45582</v>
      </c>
      <c r="H1920" s="1">
        <v>45586</v>
      </c>
      <c r="I1920" s="1">
        <v>45587</v>
      </c>
      <c r="J1920">
        <v>5</v>
      </c>
      <c r="K1920">
        <v>4</v>
      </c>
      <c r="L1920">
        <v>13</v>
      </c>
      <c r="M1920">
        <v>61.06</v>
      </c>
      <c r="N1920">
        <v>793.78</v>
      </c>
      <c r="O1920">
        <v>0.14000000000000001</v>
      </c>
      <c r="P1920">
        <v>111.13</v>
      </c>
      <c r="Q1920">
        <v>682.65</v>
      </c>
      <c r="R1920">
        <v>452.45</v>
      </c>
      <c r="S1920">
        <v>230.2</v>
      </c>
    </row>
    <row r="1921" spans="1:19" x14ac:dyDescent="0.35">
      <c r="A1921">
        <v>200659</v>
      </c>
      <c r="B1921">
        <v>3162</v>
      </c>
      <c r="C1921" t="s">
        <v>33</v>
      </c>
      <c r="D1921" t="s">
        <v>31</v>
      </c>
      <c r="E1921" t="s">
        <v>21</v>
      </c>
      <c r="F1921" t="s">
        <v>38</v>
      </c>
      <c r="G1921" s="1">
        <v>45348</v>
      </c>
      <c r="H1921" s="1">
        <v>45349</v>
      </c>
      <c r="I1921" s="1">
        <v>45361</v>
      </c>
      <c r="J1921">
        <v>13</v>
      </c>
      <c r="K1921">
        <v>1</v>
      </c>
      <c r="L1921">
        <v>5</v>
      </c>
      <c r="M1921">
        <v>789.23</v>
      </c>
      <c r="N1921">
        <v>3946.15</v>
      </c>
      <c r="O1921">
        <v>0.06</v>
      </c>
      <c r="P1921">
        <v>236.77</v>
      </c>
      <c r="Q1921">
        <v>3709.38</v>
      </c>
      <c r="R1921">
        <v>2486.0700000000002</v>
      </c>
      <c r="S1921">
        <v>1223.31</v>
      </c>
    </row>
    <row r="1922" spans="1:19" x14ac:dyDescent="0.35">
      <c r="A1922">
        <v>200660</v>
      </c>
      <c r="B1922">
        <v>1315</v>
      </c>
      <c r="C1922" t="s">
        <v>23</v>
      </c>
      <c r="D1922" t="s">
        <v>20</v>
      </c>
      <c r="E1922" t="s">
        <v>34</v>
      </c>
      <c r="F1922" t="s">
        <v>43</v>
      </c>
      <c r="G1922" s="1">
        <v>45389</v>
      </c>
      <c r="H1922" s="1">
        <v>45393</v>
      </c>
      <c r="I1922" s="1">
        <v>45418</v>
      </c>
      <c r="J1922">
        <v>29</v>
      </c>
      <c r="K1922">
        <v>4</v>
      </c>
      <c r="L1922">
        <v>9</v>
      </c>
      <c r="M1922">
        <v>13.19</v>
      </c>
      <c r="N1922">
        <v>118.71</v>
      </c>
      <c r="O1922">
        <v>7.0000000000000007E-2</v>
      </c>
      <c r="P1922">
        <v>8.31</v>
      </c>
      <c r="Q1922">
        <v>110.4</v>
      </c>
      <c r="R1922">
        <v>80.72</v>
      </c>
      <c r="S1922">
        <v>29.68</v>
      </c>
    </row>
    <row r="1923" spans="1:19" x14ac:dyDescent="0.35">
      <c r="A1923">
        <v>200661</v>
      </c>
      <c r="B1923">
        <v>4649</v>
      </c>
      <c r="C1923" t="s">
        <v>23</v>
      </c>
      <c r="D1923" t="s">
        <v>29</v>
      </c>
      <c r="E1923" t="s">
        <v>24</v>
      </c>
      <c r="F1923" t="s">
        <v>30</v>
      </c>
      <c r="G1923" s="1">
        <v>45329</v>
      </c>
      <c r="H1923" s="1">
        <v>45332</v>
      </c>
      <c r="I1923" s="1">
        <v>45331</v>
      </c>
      <c r="J1923">
        <v>2</v>
      </c>
      <c r="K1923">
        <v>3</v>
      </c>
      <c r="L1923">
        <v>7</v>
      </c>
      <c r="M1923">
        <v>629.37</v>
      </c>
      <c r="N1923">
        <v>4405.59</v>
      </c>
      <c r="O1923">
        <v>0.11</v>
      </c>
      <c r="P1923">
        <v>484.61</v>
      </c>
      <c r="Q1923">
        <v>3920.98</v>
      </c>
      <c r="R1923">
        <v>2599.3000000000002</v>
      </c>
      <c r="S1923">
        <v>1321.68</v>
      </c>
    </row>
    <row r="1924" spans="1:19" x14ac:dyDescent="0.35">
      <c r="A1924">
        <v>200662</v>
      </c>
      <c r="B1924">
        <v>1951</v>
      </c>
      <c r="C1924" t="s">
        <v>23</v>
      </c>
      <c r="D1924" t="s">
        <v>29</v>
      </c>
      <c r="E1924" t="s">
        <v>26</v>
      </c>
      <c r="F1924" t="s">
        <v>37</v>
      </c>
      <c r="G1924" s="1">
        <v>45311</v>
      </c>
      <c r="H1924" s="1">
        <v>45314</v>
      </c>
      <c r="I1924" s="1">
        <v>45325</v>
      </c>
      <c r="J1924">
        <v>14</v>
      </c>
      <c r="K1924">
        <v>3</v>
      </c>
      <c r="L1924">
        <v>14</v>
      </c>
      <c r="M1924">
        <v>176.68</v>
      </c>
      <c r="N1924">
        <v>2473.52</v>
      </c>
      <c r="O1924">
        <v>0.02</v>
      </c>
      <c r="P1924">
        <v>49.47</v>
      </c>
      <c r="Q1924">
        <v>2424.0500000000002</v>
      </c>
      <c r="R1924">
        <v>1533.58</v>
      </c>
      <c r="S1924">
        <v>890.47</v>
      </c>
    </row>
    <row r="1925" spans="1:19" x14ac:dyDescent="0.35">
      <c r="A1925">
        <v>200663</v>
      </c>
      <c r="B1925">
        <v>1037</v>
      </c>
      <c r="C1925" t="s">
        <v>23</v>
      </c>
      <c r="D1925" t="s">
        <v>20</v>
      </c>
      <c r="E1925" t="s">
        <v>21</v>
      </c>
      <c r="F1925" t="s">
        <v>38</v>
      </c>
      <c r="G1925" s="1">
        <v>45537</v>
      </c>
      <c r="H1925" s="1">
        <v>45539</v>
      </c>
      <c r="I1925" s="1">
        <v>45552</v>
      </c>
      <c r="J1925">
        <v>15</v>
      </c>
      <c r="K1925">
        <v>2</v>
      </c>
      <c r="L1925">
        <v>2</v>
      </c>
      <c r="M1925">
        <v>662.19</v>
      </c>
      <c r="N1925">
        <v>1324.38</v>
      </c>
      <c r="O1925">
        <v>0.2</v>
      </c>
      <c r="P1925">
        <v>264.88</v>
      </c>
      <c r="Q1925">
        <v>1059.5</v>
      </c>
      <c r="R1925">
        <v>821.12</v>
      </c>
      <c r="S1925">
        <v>238.38</v>
      </c>
    </row>
    <row r="1926" spans="1:19" x14ac:dyDescent="0.35">
      <c r="A1926">
        <v>200664</v>
      </c>
      <c r="B1926">
        <v>3033</v>
      </c>
      <c r="C1926" t="s">
        <v>23</v>
      </c>
      <c r="D1926" t="s">
        <v>20</v>
      </c>
      <c r="E1926" t="s">
        <v>24</v>
      </c>
      <c r="F1926" t="s">
        <v>32</v>
      </c>
      <c r="G1926" s="1">
        <v>45581</v>
      </c>
      <c r="H1926" s="1">
        <v>45586</v>
      </c>
      <c r="I1926" s="1">
        <v>45585</v>
      </c>
      <c r="J1926">
        <v>4</v>
      </c>
      <c r="K1926">
        <v>5</v>
      </c>
      <c r="L1926">
        <v>5</v>
      </c>
      <c r="M1926">
        <v>64.180000000000007</v>
      </c>
      <c r="N1926">
        <v>320.89999999999998</v>
      </c>
      <c r="O1926">
        <v>0.15</v>
      </c>
      <c r="P1926">
        <v>48.14</v>
      </c>
      <c r="Q1926">
        <v>272.77</v>
      </c>
      <c r="R1926">
        <v>198.96</v>
      </c>
      <c r="S1926">
        <v>73.81</v>
      </c>
    </row>
    <row r="1927" spans="1:19" x14ac:dyDescent="0.35">
      <c r="A1927">
        <v>200665</v>
      </c>
      <c r="B1927">
        <v>4869</v>
      </c>
      <c r="C1927" t="s">
        <v>23</v>
      </c>
      <c r="D1927" t="s">
        <v>20</v>
      </c>
      <c r="E1927" t="s">
        <v>26</v>
      </c>
      <c r="F1927" t="s">
        <v>27</v>
      </c>
      <c r="G1927" s="1">
        <v>45364</v>
      </c>
      <c r="H1927" s="1">
        <v>45366</v>
      </c>
      <c r="I1927" s="1">
        <v>45386</v>
      </c>
      <c r="J1927">
        <v>22</v>
      </c>
      <c r="K1927">
        <v>2</v>
      </c>
      <c r="L1927">
        <v>2</v>
      </c>
      <c r="M1927">
        <v>467.79</v>
      </c>
      <c r="N1927">
        <v>935.58</v>
      </c>
      <c r="O1927">
        <v>0.12</v>
      </c>
      <c r="P1927">
        <v>112.27</v>
      </c>
      <c r="Q1927">
        <v>823.31</v>
      </c>
      <c r="R1927">
        <v>598.77</v>
      </c>
      <c r="S1927">
        <v>224.54</v>
      </c>
    </row>
    <row r="1928" spans="1:19" x14ac:dyDescent="0.35">
      <c r="A1928">
        <v>200666</v>
      </c>
      <c r="B1928">
        <v>3186</v>
      </c>
      <c r="C1928" t="s">
        <v>33</v>
      </c>
      <c r="D1928" t="s">
        <v>31</v>
      </c>
      <c r="E1928" t="s">
        <v>34</v>
      </c>
      <c r="F1928" t="s">
        <v>43</v>
      </c>
      <c r="G1928" s="1">
        <v>45642</v>
      </c>
      <c r="H1928" s="1">
        <v>45646</v>
      </c>
      <c r="I1928" s="1">
        <v>45652</v>
      </c>
      <c r="J1928">
        <v>10</v>
      </c>
      <c r="K1928">
        <v>4</v>
      </c>
      <c r="L1928">
        <v>10</v>
      </c>
      <c r="M1928">
        <v>5.61</v>
      </c>
      <c r="N1928">
        <v>56.1</v>
      </c>
      <c r="O1928">
        <v>0.03</v>
      </c>
      <c r="P1928">
        <v>1.68</v>
      </c>
      <c r="Q1928">
        <v>54.42</v>
      </c>
      <c r="R1928">
        <v>33.659999999999997</v>
      </c>
      <c r="S1928">
        <v>20.76</v>
      </c>
    </row>
    <row r="1929" spans="1:19" x14ac:dyDescent="0.35">
      <c r="A1929">
        <v>200667</v>
      </c>
      <c r="B1929">
        <v>3817</v>
      </c>
      <c r="C1929" t="s">
        <v>19</v>
      </c>
      <c r="D1929" t="s">
        <v>31</v>
      </c>
      <c r="E1929" t="s">
        <v>26</v>
      </c>
      <c r="F1929" t="s">
        <v>37</v>
      </c>
      <c r="G1929" s="1">
        <v>45591</v>
      </c>
      <c r="H1929" s="1">
        <v>45595</v>
      </c>
      <c r="I1929" s="1">
        <v>45598</v>
      </c>
      <c r="J1929">
        <v>7</v>
      </c>
      <c r="K1929">
        <v>4</v>
      </c>
      <c r="L1929">
        <v>3</v>
      </c>
      <c r="M1929">
        <v>47.06</v>
      </c>
      <c r="N1929">
        <v>141.18</v>
      </c>
      <c r="O1929">
        <v>0.1</v>
      </c>
      <c r="P1929">
        <v>14.12</v>
      </c>
      <c r="Q1929">
        <v>127.06</v>
      </c>
      <c r="R1929">
        <v>98.83</v>
      </c>
      <c r="S1929">
        <v>28.23</v>
      </c>
    </row>
    <row r="1930" spans="1:19" x14ac:dyDescent="0.35">
      <c r="A1930">
        <v>200668</v>
      </c>
      <c r="B1930">
        <v>4344</v>
      </c>
      <c r="C1930" t="s">
        <v>33</v>
      </c>
      <c r="D1930" t="s">
        <v>31</v>
      </c>
      <c r="E1930" t="s">
        <v>26</v>
      </c>
      <c r="F1930" t="s">
        <v>27</v>
      </c>
      <c r="G1930" s="1">
        <v>45338</v>
      </c>
      <c r="H1930" s="1">
        <v>45342</v>
      </c>
      <c r="I1930" s="1">
        <v>45359</v>
      </c>
      <c r="J1930">
        <v>21</v>
      </c>
      <c r="K1930">
        <v>4</v>
      </c>
      <c r="L1930">
        <v>4</v>
      </c>
      <c r="M1930">
        <v>56.18</v>
      </c>
      <c r="N1930">
        <v>224.72</v>
      </c>
      <c r="O1930">
        <v>0.17</v>
      </c>
      <c r="P1930">
        <v>38.200000000000003</v>
      </c>
      <c r="Q1930">
        <v>186.52</v>
      </c>
      <c r="R1930">
        <v>161.80000000000001</v>
      </c>
      <c r="S1930">
        <v>24.72</v>
      </c>
    </row>
    <row r="1931" spans="1:19" x14ac:dyDescent="0.35">
      <c r="A1931">
        <v>200669</v>
      </c>
      <c r="B1931">
        <v>3999</v>
      </c>
      <c r="C1931" t="s">
        <v>28</v>
      </c>
      <c r="D1931" t="s">
        <v>31</v>
      </c>
      <c r="E1931" t="s">
        <v>26</v>
      </c>
      <c r="F1931" t="s">
        <v>27</v>
      </c>
      <c r="G1931" s="1">
        <v>45512</v>
      </c>
      <c r="H1931" s="1">
        <v>45513</v>
      </c>
      <c r="I1931" s="1">
        <v>45526</v>
      </c>
      <c r="J1931">
        <v>14</v>
      </c>
      <c r="K1931">
        <v>1</v>
      </c>
      <c r="L1931">
        <v>9</v>
      </c>
      <c r="M1931">
        <v>392.42</v>
      </c>
      <c r="N1931">
        <v>3531.78</v>
      </c>
      <c r="O1931">
        <v>0.1</v>
      </c>
      <c r="P1931">
        <v>353.18</v>
      </c>
      <c r="Q1931">
        <v>3178.6</v>
      </c>
      <c r="R1931">
        <v>2048.4299999999998</v>
      </c>
      <c r="S1931">
        <v>1130.17</v>
      </c>
    </row>
    <row r="1932" spans="1:19" x14ac:dyDescent="0.35">
      <c r="A1932">
        <v>200670</v>
      </c>
      <c r="B1932">
        <v>2739</v>
      </c>
      <c r="C1932" t="s">
        <v>33</v>
      </c>
      <c r="D1932" t="s">
        <v>29</v>
      </c>
      <c r="E1932" t="s">
        <v>21</v>
      </c>
      <c r="F1932" t="s">
        <v>41</v>
      </c>
      <c r="G1932" s="1">
        <v>45588</v>
      </c>
      <c r="H1932" s="1">
        <v>45589</v>
      </c>
      <c r="I1932" s="1">
        <v>45591</v>
      </c>
      <c r="J1932">
        <v>3</v>
      </c>
      <c r="K1932">
        <v>1</v>
      </c>
      <c r="L1932">
        <v>10</v>
      </c>
      <c r="M1932">
        <v>107.33</v>
      </c>
      <c r="N1932">
        <v>1073.3</v>
      </c>
      <c r="O1932">
        <v>0.12</v>
      </c>
      <c r="P1932">
        <v>128.80000000000001</v>
      </c>
      <c r="Q1932">
        <v>944.5</v>
      </c>
      <c r="R1932">
        <v>708.38</v>
      </c>
      <c r="S1932">
        <v>236.12</v>
      </c>
    </row>
    <row r="1933" spans="1:19" x14ac:dyDescent="0.35">
      <c r="A1933">
        <v>200671</v>
      </c>
      <c r="B1933">
        <v>4253</v>
      </c>
      <c r="C1933" t="s">
        <v>19</v>
      </c>
      <c r="D1933" t="s">
        <v>20</v>
      </c>
      <c r="E1933" t="s">
        <v>34</v>
      </c>
      <c r="F1933" t="s">
        <v>35</v>
      </c>
      <c r="G1933" s="1">
        <v>45463</v>
      </c>
      <c r="H1933" s="1">
        <v>45465</v>
      </c>
      <c r="I1933" s="1">
        <v>45484</v>
      </c>
      <c r="J1933">
        <v>21</v>
      </c>
      <c r="K1933">
        <v>2</v>
      </c>
      <c r="L1933">
        <v>4</v>
      </c>
      <c r="M1933">
        <v>390.78</v>
      </c>
      <c r="N1933">
        <v>1563.12</v>
      </c>
      <c r="O1933">
        <v>0.18</v>
      </c>
      <c r="P1933">
        <v>281.36</v>
      </c>
      <c r="Q1933">
        <v>1281.76</v>
      </c>
      <c r="R1933">
        <v>1078.55</v>
      </c>
      <c r="S1933">
        <v>203.21</v>
      </c>
    </row>
    <row r="1934" spans="1:19" x14ac:dyDescent="0.35">
      <c r="A1934">
        <v>200672</v>
      </c>
      <c r="B1934">
        <v>1188</v>
      </c>
      <c r="C1934" t="s">
        <v>33</v>
      </c>
      <c r="D1934" t="s">
        <v>20</v>
      </c>
      <c r="E1934" t="s">
        <v>26</v>
      </c>
      <c r="F1934" t="s">
        <v>44</v>
      </c>
      <c r="G1934" s="1">
        <v>45400</v>
      </c>
      <c r="H1934" s="1">
        <v>45401</v>
      </c>
      <c r="I1934" s="1">
        <v>45428</v>
      </c>
      <c r="J1934">
        <v>28</v>
      </c>
      <c r="K1934">
        <v>1</v>
      </c>
      <c r="L1934">
        <v>5</v>
      </c>
      <c r="M1934">
        <v>225.46</v>
      </c>
      <c r="N1934">
        <v>1127.3</v>
      </c>
      <c r="O1934">
        <v>0.13</v>
      </c>
      <c r="P1934">
        <v>146.55000000000001</v>
      </c>
      <c r="Q1934">
        <v>980.75</v>
      </c>
      <c r="R1934">
        <v>789.11</v>
      </c>
      <c r="S1934">
        <v>191.64</v>
      </c>
    </row>
    <row r="1935" spans="1:19" x14ac:dyDescent="0.35">
      <c r="A1935">
        <v>200673</v>
      </c>
      <c r="B1935">
        <v>3145</v>
      </c>
      <c r="C1935" t="s">
        <v>23</v>
      </c>
      <c r="D1935" t="s">
        <v>20</v>
      </c>
      <c r="E1935" t="s">
        <v>34</v>
      </c>
      <c r="F1935" t="s">
        <v>40</v>
      </c>
      <c r="G1935" s="1">
        <v>45630</v>
      </c>
      <c r="H1935" s="1">
        <v>45634</v>
      </c>
      <c r="I1935" s="1">
        <v>45659</v>
      </c>
      <c r="J1935">
        <v>29</v>
      </c>
      <c r="K1935">
        <v>4</v>
      </c>
      <c r="L1935">
        <v>6</v>
      </c>
      <c r="M1935">
        <v>93.37</v>
      </c>
      <c r="N1935">
        <v>560.22</v>
      </c>
      <c r="O1935">
        <v>0.15</v>
      </c>
      <c r="P1935">
        <v>84.03</v>
      </c>
      <c r="Q1935">
        <v>476.19</v>
      </c>
      <c r="R1935">
        <v>369.75</v>
      </c>
      <c r="S1935">
        <v>106.44</v>
      </c>
    </row>
    <row r="1936" spans="1:19" x14ac:dyDescent="0.35">
      <c r="A1936">
        <v>200674</v>
      </c>
      <c r="B1936">
        <v>2384</v>
      </c>
      <c r="C1936" t="s">
        <v>28</v>
      </c>
      <c r="D1936" t="s">
        <v>29</v>
      </c>
      <c r="E1936" t="s">
        <v>24</v>
      </c>
      <c r="F1936" t="s">
        <v>32</v>
      </c>
      <c r="G1936" s="1">
        <v>45341</v>
      </c>
      <c r="H1936" s="1">
        <v>45345</v>
      </c>
      <c r="I1936" s="1">
        <v>45346</v>
      </c>
      <c r="J1936">
        <v>5</v>
      </c>
      <c r="K1936">
        <v>4</v>
      </c>
      <c r="L1936">
        <v>3</v>
      </c>
      <c r="M1936">
        <v>288.33</v>
      </c>
      <c r="N1936">
        <v>864.99</v>
      </c>
      <c r="O1936">
        <v>0.15</v>
      </c>
      <c r="P1936">
        <v>129.75</v>
      </c>
      <c r="Q1936">
        <v>735.24</v>
      </c>
      <c r="R1936">
        <v>544.94000000000005</v>
      </c>
      <c r="S1936">
        <v>190.3</v>
      </c>
    </row>
    <row r="1937" spans="1:19" x14ac:dyDescent="0.35">
      <c r="A1937">
        <v>200675</v>
      </c>
      <c r="B1937">
        <v>3752</v>
      </c>
      <c r="C1937" t="s">
        <v>19</v>
      </c>
      <c r="D1937" t="s">
        <v>20</v>
      </c>
      <c r="E1937" t="s">
        <v>26</v>
      </c>
      <c r="F1937" t="s">
        <v>36</v>
      </c>
      <c r="G1937" s="1">
        <v>45550</v>
      </c>
      <c r="H1937" s="1">
        <v>45552</v>
      </c>
      <c r="I1937" s="1">
        <v>45571</v>
      </c>
      <c r="J1937">
        <v>21</v>
      </c>
      <c r="K1937">
        <v>2</v>
      </c>
      <c r="L1937">
        <v>12</v>
      </c>
      <c r="M1937">
        <v>284.45</v>
      </c>
      <c r="N1937">
        <v>3413.4</v>
      </c>
      <c r="O1937">
        <v>0.04</v>
      </c>
      <c r="P1937">
        <v>136.54</v>
      </c>
      <c r="Q1937">
        <v>3276.86</v>
      </c>
      <c r="R1937">
        <v>2048.04</v>
      </c>
      <c r="S1937">
        <v>1228.82</v>
      </c>
    </row>
    <row r="1938" spans="1:19" x14ac:dyDescent="0.35">
      <c r="A1938">
        <v>200676</v>
      </c>
      <c r="B1938">
        <v>1825</v>
      </c>
      <c r="C1938" t="s">
        <v>33</v>
      </c>
      <c r="D1938" t="s">
        <v>31</v>
      </c>
      <c r="E1938" t="s">
        <v>21</v>
      </c>
      <c r="F1938" t="s">
        <v>22</v>
      </c>
      <c r="G1938" s="1">
        <v>45525</v>
      </c>
      <c r="H1938" s="1">
        <v>45527</v>
      </c>
      <c r="I1938" s="1">
        <v>45540</v>
      </c>
      <c r="J1938">
        <v>15</v>
      </c>
      <c r="K1938">
        <v>2</v>
      </c>
      <c r="L1938">
        <v>5</v>
      </c>
      <c r="M1938">
        <v>94.43</v>
      </c>
      <c r="N1938">
        <v>472.15</v>
      </c>
      <c r="O1938">
        <v>0.14000000000000001</v>
      </c>
      <c r="P1938">
        <v>66.099999999999994</v>
      </c>
      <c r="Q1938">
        <v>406.05</v>
      </c>
      <c r="R1938">
        <v>306.89999999999998</v>
      </c>
      <c r="S1938">
        <v>99.15</v>
      </c>
    </row>
    <row r="1939" spans="1:19" x14ac:dyDescent="0.35">
      <c r="A1939">
        <v>200677</v>
      </c>
      <c r="B1939">
        <v>2227</v>
      </c>
      <c r="C1939" t="s">
        <v>19</v>
      </c>
      <c r="D1939" t="s">
        <v>20</v>
      </c>
      <c r="E1939" t="s">
        <v>24</v>
      </c>
      <c r="F1939" t="s">
        <v>32</v>
      </c>
      <c r="G1939" s="1">
        <v>45634</v>
      </c>
      <c r="H1939" s="1">
        <v>45638</v>
      </c>
      <c r="I1939" s="1">
        <v>45659</v>
      </c>
      <c r="J1939">
        <v>25</v>
      </c>
      <c r="K1939">
        <v>4</v>
      </c>
      <c r="L1939">
        <v>14</v>
      </c>
      <c r="M1939">
        <v>338.5</v>
      </c>
      <c r="N1939">
        <v>4739</v>
      </c>
      <c r="O1939">
        <v>0.14000000000000001</v>
      </c>
      <c r="P1939">
        <v>663.46</v>
      </c>
      <c r="Q1939">
        <v>4075.54</v>
      </c>
      <c r="R1939">
        <v>2796.01</v>
      </c>
      <c r="S1939">
        <v>1279.53</v>
      </c>
    </row>
    <row r="1940" spans="1:19" x14ac:dyDescent="0.35">
      <c r="A1940">
        <v>200678</v>
      </c>
      <c r="B1940">
        <v>3493</v>
      </c>
      <c r="C1940" t="s">
        <v>33</v>
      </c>
      <c r="D1940" t="s">
        <v>29</v>
      </c>
      <c r="E1940" t="s">
        <v>26</v>
      </c>
      <c r="F1940" t="s">
        <v>27</v>
      </c>
      <c r="G1940" s="1">
        <v>45553</v>
      </c>
      <c r="H1940" s="1">
        <v>45555</v>
      </c>
      <c r="I1940" s="1">
        <v>45583</v>
      </c>
      <c r="J1940">
        <v>30</v>
      </c>
      <c r="K1940">
        <v>2</v>
      </c>
      <c r="L1940">
        <v>8</v>
      </c>
      <c r="M1940">
        <v>699.68</v>
      </c>
      <c r="N1940">
        <v>5597.44</v>
      </c>
      <c r="O1940">
        <v>0.14000000000000001</v>
      </c>
      <c r="P1940">
        <v>783.64</v>
      </c>
      <c r="Q1940">
        <v>4813.8</v>
      </c>
      <c r="R1940">
        <v>3582.36</v>
      </c>
      <c r="S1940">
        <v>1231.44</v>
      </c>
    </row>
    <row r="1941" spans="1:19" x14ac:dyDescent="0.35">
      <c r="A1941">
        <v>200679</v>
      </c>
      <c r="B1941">
        <v>4831</v>
      </c>
      <c r="C1941" t="s">
        <v>23</v>
      </c>
      <c r="D1941" t="s">
        <v>20</v>
      </c>
      <c r="E1941" t="s">
        <v>21</v>
      </c>
      <c r="F1941" t="s">
        <v>38</v>
      </c>
      <c r="G1941" s="1">
        <v>45360</v>
      </c>
      <c r="H1941" s="1">
        <v>45361</v>
      </c>
      <c r="I1941" s="1">
        <v>45379</v>
      </c>
      <c r="J1941">
        <v>19</v>
      </c>
      <c r="K1941">
        <v>1</v>
      </c>
      <c r="L1941">
        <v>2</v>
      </c>
      <c r="M1941">
        <v>778.09</v>
      </c>
      <c r="N1941">
        <v>1556.18</v>
      </c>
      <c r="O1941">
        <v>0.11</v>
      </c>
      <c r="P1941">
        <v>171.18</v>
      </c>
      <c r="Q1941">
        <v>1385</v>
      </c>
      <c r="R1941">
        <v>902.58</v>
      </c>
      <c r="S1941">
        <v>482.42</v>
      </c>
    </row>
    <row r="1942" spans="1:19" x14ac:dyDescent="0.35">
      <c r="A1942">
        <v>200680</v>
      </c>
      <c r="B1942">
        <v>1654</v>
      </c>
      <c r="C1942" t="s">
        <v>23</v>
      </c>
      <c r="D1942" t="s">
        <v>31</v>
      </c>
      <c r="E1942" t="s">
        <v>34</v>
      </c>
      <c r="F1942" t="s">
        <v>45</v>
      </c>
      <c r="G1942" s="1">
        <v>45614</v>
      </c>
      <c r="H1942" s="1">
        <v>45619</v>
      </c>
      <c r="I1942" s="1">
        <v>45639</v>
      </c>
      <c r="J1942">
        <v>25</v>
      </c>
      <c r="K1942">
        <v>5</v>
      </c>
      <c r="L1942">
        <v>8</v>
      </c>
      <c r="M1942">
        <v>769.17</v>
      </c>
      <c r="N1942">
        <v>6153.36</v>
      </c>
      <c r="O1942">
        <v>0.13</v>
      </c>
      <c r="P1942">
        <v>799.94</v>
      </c>
      <c r="Q1942">
        <v>5353.42</v>
      </c>
      <c r="R1942">
        <v>3938.15</v>
      </c>
      <c r="S1942">
        <v>1415.27</v>
      </c>
    </row>
    <row r="1943" spans="1:19" x14ac:dyDescent="0.35">
      <c r="A1943">
        <v>200681</v>
      </c>
      <c r="B1943">
        <v>4842</v>
      </c>
      <c r="C1943" t="s">
        <v>33</v>
      </c>
      <c r="D1943" t="s">
        <v>20</v>
      </c>
      <c r="E1943" t="s">
        <v>26</v>
      </c>
      <c r="F1943" t="s">
        <v>37</v>
      </c>
      <c r="G1943" s="1">
        <v>45485</v>
      </c>
      <c r="H1943" s="1">
        <v>45487</v>
      </c>
      <c r="I1943" s="1">
        <v>45507</v>
      </c>
      <c r="J1943">
        <v>22</v>
      </c>
      <c r="K1943">
        <v>2</v>
      </c>
      <c r="L1943">
        <v>4</v>
      </c>
      <c r="M1943">
        <v>784.7</v>
      </c>
      <c r="N1943">
        <v>3138.8</v>
      </c>
      <c r="O1943">
        <v>7.0000000000000007E-2</v>
      </c>
      <c r="P1943">
        <v>219.72</v>
      </c>
      <c r="Q1943">
        <v>2919.08</v>
      </c>
      <c r="R1943">
        <v>2008.83</v>
      </c>
      <c r="S1943">
        <v>910.25</v>
      </c>
    </row>
    <row r="1944" spans="1:19" x14ac:dyDescent="0.35">
      <c r="A1944">
        <v>200682</v>
      </c>
      <c r="B1944">
        <v>2702</v>
      </c>
      <c r="C1944" t="s">
        <v>33</v>
      </c>
      <c r="D1944" t="s">
        <v>20</v>
      </c>
      <c r="E1944" t="s">
        <v>24</v>
      </c>
      <c r="F1944" t="s">
        <v>30</v>
      </c>
      <c r="G1944" s="1">
        <v>45305</v>
      </c>
      <c r="H1944" s="1">
        <v>45306</v>
      </c>
      <c r="I1944" s="1">
        <v>45325</v>
      </c>
      <c r="J1944">
        <v>20</v>
      </c>
      <c r="K1944">
        <v>1</v>
      </c>
      <c r="L1944">
        <v>7</v>
      </c>
      <c r="M1944">
        <v>334.96</v>
      </c>
      <c r="N1944">
        <v>2344.7199999999998</v>
      </c>
      <c r="O1944">
        <v>7.0000000000000007E-2</v>
      </c>
      <c r="P1944">
        <v>164.13</v>
      </c>
      <c r="Q1944">
        <v>2180.59</v>
      </c>
      <c r="R1944">
        <v>1359.94</v>
      </c>
      <c r="S1944">
        <v>820.65</v>
      </c>
    </row>
    <row r="1945" spans="1:19" x14ac:dyDescent="0.35">
      <c r="A1945">
        <v>200683</v>
      </c>
      <c r="B1945">
        <v>2183</v>
      </c>
      <c r="C1945" t="s">
        <v>23</v>
      </c>
      <c r="D1945" t="s">
        <v>31</v>
      </c>
      <c r="E1945" t="s">
        <v>34</v>
      </c>
      <c r="F1945" t="s">
        <v>43</v>
      </c>
      <c r="G1945" s="1">
        <v>45335</v>
      </c>
      <c r="H1945" s="1">
        <v>45340</v>
      </c>
      <c r="I1945" s="1">
        <v>45356</v>
      </c>
      <c r="J1945">
        <v>21</v>
      </c>
      <c r="K1945">
        <v>5</v>
      </c>
      <c r="L1945">
        <v>6</v>
      </c>
      <c r="M1945">
        <v>532.1</v>
      </c>
      <c r="N1945">
        <v>3192.6</v>
      </c>
      <c r="O1945">
        <v>0.08</v>
      </c>
      <c r="P1945">
        <v>255.41</v>
      </c>
      <c r="Q1945">
        <v>2937.19</v>
      </c>
      <c r="R1945">
        <v>1883.63</v>
      </c>
      <c r="S1945">
        <v>1053.56</v>
      </c>
    </row>
    <row r="1946" spans="1:19" x14ac:dyDescent="0.35">
      <c r="A1946">
        <v>200684</v>
      </c>
      <c r="B1946">
        <v>1719</v>
      </c>
      <c r="C1946" t="s">
        <v>19</v>
      </c>
      <c r="D1946" t="s">
        <v>31</v>
      </c>
      <c r="E1946" t="s">
        <v>26</v>
      </c>
      <c r="F1946" t="s">
        <v>37</v>
      </c>
      <c r="G1946" s="1">
        <v>45408</v>
      </c>
      <c r="H1946" s="1">
        <v>45411</v>
      </c>
      <c r="I1946" s="1">
        <v>45433</v>
      </c>
      <c r="J1946">
        <v>25</v>
      </c>
      <c r="K1946">
        <v>3</v>
      </c>
      <c r="L1946">
        <v>12</v>
      </c>
      <c r="M1946">
        <v>565.83000000000004</v>
      </c>
      <c r="N1946">
        <v>6789.96</v>
      </c>
      <c r="O1946">
        <v>7.0000000000000007E-2</v>
      </c>
      <c r="P1946">
        <v>475.3</v>
      </c>
      <c r="Q1946">
        <v>6314.66</v>
      </c>
      <c r="R1946">
        <v>4956.67</v>
      </c>
      <c r="S1946">
        <v>1357.99</v>
      </c>
    </row>
    <row r="1947" spans="1:19" x14ac:dyDescent="0.35">
      <c r="A1947">
        <v>200685</v>
      </c>
      <c r="B1947">
        <v>4491</v>
      </c>
      <c r="C1947" t="s">
        <v>33</v>
      </c>
      <c r="D1947" t="s">
        <v>31</v>
      </c>
      <c r="E1947" t="s">
        <v>26</v>
      </c>
      <c r="F1947" t="s">
        <v>27</v>
      </c>
      <c r="G1947" s="1">
        <v>45498</v>
      </c>
      <c r="H1947" s="1">
        <v>45500</v>
      </c>
      <c r="I1947" s="1">
        <v>45501</v>
      </c>
      <c r="J1947">
        <v>3</v>
      </c>
      <c r="K1947">
        <v>2</v>
      </c>
      <c r="L1947">
        <v>8</v>
      </c>
      <c r="M1947">
        <v>234.53</v>
      </c>
      <c r="N1947">
        <v>1876.24</v>
      </c>
      <c r="O1947">
        <v>0.04</v>
      </c>
      <c r="P1947">
        <v>75.05</v>
      </c>
      <c r="Q1947">
        <v>1801.19</v>
      </c>
      <c r="R1947">
        <v>1444.7</v>
      </c>
      <c r="S1947">
        <v>356.49</v>
      </c>
    </row>
    <row r="1948" spans="1:19" x14ac:dyDescent="0.35">
      <c r="A1948">
        <v>200686</v>
      </c>
      <c r="B1948">
        <v>1580</v>
      </c>
      <c r="C1948" t="s">
        <v>23</v>
      </c>
      <c r="D1948" t="s">
        <v>31</v>
      </c>
      <c r="E1948" t="s">
        <v>21</v>
      </c>
      <c r="F1948" t="s">
        <v>41</v>
      </c>
      <c r="G1948" s="1">
        <v>45418</v>
      </c>
      <c r="H1948" s="1">
        <v>45419</v>
      </c>
      <c r="I1948" s="1">
        <v>45432</v>
      </c>
      <c r="J1948">
        <v>14</v>
      </c>
      <c r="K1948">
        <v>1</v>
      </c>
      <c r="L1948">
        <v>11</v>
      </c>
      <c r="M1948">
        <v>443.66</v>
      </c>
      <c r="N1948">
        <v>4880.26</v>
      </c>
      <c r="O1948">
        <v>0.12</v>
      </c>
      <c r="P1948">
        <v>585.63</v>
      </c>
      <c r="Q1948">
        <v>4294.63</v>
      </c>
      <c r="R1948">
        <v>2976.96</v>
      </c>
      <c r="S1948">
        <v>1317.67</v>
      </c>
    </row>
    <row r="1949" spans="1:19" x14ac:dyDescent="0.35">
      <c r="A1949">
        <v>200687</v>
      </c>
      <c r="B1949">
        <v>1306</v>
      </c>
      <c r="C1949" t="s">
        <v>33</v>
      </c>
      <c r="D1949" t="s">
        <v>29</v>
      </c>
      <c r="E1949" t="s">
        <v>21</v>
      </c>
      <c r="F1949" t="s">
        <v>41</v>
      </c>
      <c r="G1949" s="1">
        <v>45546</v>
      </c>
      <c r="H1949" s="1">
        <v>45551</v>
      </c>
      <c r="I1949" s="1">
        <v>45561</v>
      </c>
      <c r="J1949">
        <v>15</v>
      </c>
      <c r="K1949">
        <v>5</v>
      </c>
      <c r="L1949">
        <v>5</v>
      </c>
      <c r="M1949">
        <v>144.43</v>
      </c>
      <c r="N1949">
        <v>722.15</v>
      </c>
      <c r="O1949">
        <v>0.08</v>
      </c>
      <c r="P1949">
        <v>57.77</v>
      </c>
      <c r="Q1949">
        <v>664.38</v>
      </c>
      <c r="R1949">
        <v>505.51</v>
      </c>
      <c r="S1949">
        <v>158.87</v>
      </c>
    </row>
    <row r="1950" spans="1:19" x14ac:dyDescent="0.35">
      <c r="A1950">
        <v>200688</v>
      </c>
      <c r="B1950">
        <v>4738</v>
      </c>
      <c r="C1950" t="s">
        <v>28</v>
      </c>
      <c r="D1950" t="s">
        <v>29</v>
      </c>
      <c r="E1950" t="s">
        <v>26</v>
      </c>
      <c r="F1950" t="s">
        <v>44</v>
      </c>
      <c r="G1950" s="1">
        <v>45420</v>
      </c>
      <c r="H1950" s="1">
        <v>45424</v>
      </c>
      <c r="I1950" s="1">
        <v>45442</v>
      </c>
      <c r="J1950">
        <v>22</v>
      </c>
      <c r="K1950">
        <v>4</v>
      </c>
      <c r="L1950">
        <v>4</v>
      </c>
      <c r="M1950">
        <v>603.39</v>
      </c>
      <c r="N1950">
        <v>2413.56</v>
      </c>
      <c r="O1950">
        <v>0.16</v>
      </c>
      <c r="P1950">
        <v>386.17</v>
      </c>
      <c r="Q1950">
        <v>2027.39</v>
      </c>
      <c r="R1950">
        <v>1448.14</v>
      </c>
      <c r="S1950">
        <v>579.25</v>
      </c>
    </row>
    <row r="1951" spans="1:19" x14ac:dyDescent="0.35">
      <c r="A1951">
        <v>200689</v>
      </c>
      <c r="B1951">
        <v>2800</v>
      </c>
      <c r="C1951" t="s">
        <v>23</v>
      </c>
      <c r="D1951" t="s">
        <v>29</v>
      </c>
      <c r="E1951" t="s">
        <v>21</v>
      </c>
      <c r="F1951" t="s">
        <v>38</v>
      </c>
      <c r="G1951" s="1">
        <v>45573</v>
      </c>
      <c r="H1951" s="1">
        <v>45578</v>
      </c>
      <c r="I1951" s="1">
        <v>45576</v>
      </c>
      <c r="J1951">
        <v>3</v>
      </c>
      <c r="K1951">
        <v>5</v>
      </c>
      <c r="L1951">
        <v>10</v>
      </c>
      <c r="M1951">
        <v>109.03</v>
      </c>
      <c r="N1951">
        <v>1090.3</v>
      </c>
      <c r="O1951">
        <v>0.18</v>
      </c>
      <c r="P1951">
        <v>196.25</v>
      </c>
      <c r="Q1951">
        <v>894.05</v>
      </c>
      <c r="R1951">
        <v>643.28</v>
      </c>
      <c r="S1951">
        <v>250.77</v>
      </c>
    </row>
    <row r="1952" spans="1:19" x14ac:dyDescent="0.35">
      <c r="A1952">
        <v>200690</v>
      </c>
      <c r="B1952">
        <v>4888</v>
      </c>
      <c r="C1952" t="s">
        <v>19</v>
      </c>
      <c r="D1952" t="s">
        <v>29</v>
      </c>
      <c r="E1952" t="s">
        <v>34</v>
      </c>
      <c r="F1952" t="s">
        <v>35</v>
      </c>
      <c r="G1952" s="1">
        <v>45657</v>
      </c>
      <c r="H1952" s="1">
        <v>45659</v>
      </c>
      <c r="I1952" s="1">
        <v>45684</v>
      </c>
      <c r="J1952">
        <v>27</v>
      </c>
      <c r="K1952">
        <v>2</v>
      </c>
      <c r="L1952">
        <v>4</v>
      </c>
      <c r="M1952">
        <v>535.99</v>
      </c>
      <c r="N1952">
        <v>2143.96</v>
      </c>
      <c r="O1952">
        <v>0.15</v>
      </c>
      <c r="P1952">
        <v>321.58999999999997</v>
      </c>
      <c r="Q1952">
        <v>1822.37</v>
      </c>
      <c r="R1952">
        <v>1393.57</v>
      </c>
      <c r="S1952">
        <v>428.8</v>
      </c>
    </row>
    <row r="1953" spans="1:19" x14ac:dyDescent="0.35">
      <c r="A1953">
        <v>200691</v>
      </c>
      <c r="B1953">
        <v>3580</v>
      </c>
      <c r="C1953" t="s">
        <v>33</v>
      </c>
      <c r="D1953" t="s">
        <v>29</v>
      </c>
      <c r="E1953" t="s">
        <v>24</v>
      </c>
      <c r="F1953" t="s">
        <v>25</v>
      </c>
      <c r="G1953" s="1">
        <v>45602</v>
      </c>
      <c r="H1953" s="1">
        <v>45604</v>
      </c>
      <c r="I1953" s="1">
        <v>45606</v>
      </c>
      <c r="J1953">
        <v>4</v>
      </c>
      <c r="K1953">
        <v>2</v>
      </c>
      <c r="L1953">
        <v>11</v>
      </c>
      <c r="M1953">
        <v>156.81</v>
      </c>
      <c r="N1953">
        <v>1724.91</v>
      </c>
      <c r="O1953">
        <v>0.04</v>
      </c>
      <c r="P1953">
        <v>69</v>
      </c>
      <c r="Q1953">
        <v>1655.91</v>
      </c>
      <c r="R1953">
        <v>1034.95</v>
      </c>
      <c r="S1953">
        <v>620.96</v>
      </c>
    </row>
    <row r="1954" spans="1:19" x14ac:dyDescent="0.35">
      <c r="A1954">
        <v>200692</v>
      </c>
      <c r="B1954">
        <v>2480</v>
      </c>
      <c r="C1954" t="s">
        <v>33</v>
      </c>
      <c r="D1954" t="s">
        <v>31</v>
      </c>
      <c r="E1954" t="s">
        <v>34</v>
      </c>
      <c r="F1954" t="s">
        <v>43</v>
      </c>
      <c r="G1954" s="1">
        <v>45615</v>
      </c>
      <c r="H1954" s="1">
        <v>45619</v>
      </c>
      <c r="I1954" s="1">
        <v>45622</v>
      </c>
      <c r="J1954">
        <v>7</v>
      </c>
      <c r="K1954">
        <v>4</v>
      </c>
      <c r="L1954">
        <v>9</v>
      </c>
      <c r="M1954">
        <v>657.8</v>
      </c>
      <c r="N1954">
        <v>5920.2</v>
      </c>
      <c r="O1954">
        <v>7.0000000000000007E-2</v>
      </c>
      <c r="P1954">
        <v>414.41</v>
      </c>
      <c r="Q1954">
        <v>5505.79</v>
      </c>
      <c r="R1954">
        <v>3670.52</v>
      </c>
      <c r="S1954">
        <v>1835.27</v>
      </c>
    </row>
    <row r="1955" spans="1:19" x14ac:dyDescent="0.35">
      <c r="A1955">
        <v>200693</v>
      </c>
      <c r="B1955">
        <v>4042</v>
      </c>
      <c r="C1955" t="s">
        <v>33</v>
      </c>
      <c r="D1955" t="s">
        <v>31</v>
      </c>
      <c r="E1955" t="s">
        <v>34</v>
      </c>
      <c r="F1955" t="s">
        <v>40</v>
      </c>
      <c r="G1955" s="1">
        <v>45578</v>
      </c>
      <c r="H1955" s="1">
        <v>45580</v>
      </c>
      <c r="I1955" s="1">
        <v>45600</v>
      </c>
      <c r="J1955">
        <v>22</v>
      </c>
      <c r="K1955">
        <v>2</v>
      </c>
      <c r="L1955">
        <v>6</v>
      </c>
      <c r="M1955">
        <v>505.36</v>
      </c>
      <c r="N1955">
        <v>3032.16</v>
      </c>
      <c r="O1955">
        <v>0.15</v>
      </c>
      <c r="P1955">
        <v>454.82</v>
      </c>
      <c r="Q1955">
        <v>2577.34</v>
      </c>
      <c r="R1955">
        <v>2061.87</v>
      </c>
      <c r="S1955">
        <v>515.47</v>
      </c>
    </row>
    <row r="1956" spans="1:19" x14ac:dyDescent="0.35">
      <c r="A1956">
        <v>200694</v>
      </c>
      <c r="B1956">
        <v>2266</v>
      </c>
      <c r="C1956" t="s">
        <v>28</v>
      </c>
      <c r="D1956" t="s">
        <v>29</v>
      </c>
      <c r="E1956" t="s">
        <v>26</v>
      </c>
      <c r="F1956" t="s">
        <v>44</v>
      </c>
      <c r="G1956" s="1">
        <v>45497</v>
      </c>
      <c r="H1956" s="1">
        <v>45500</v>
      </c>
      <c r="I1956" s="1">
        <v>45511</v>
      </c>
      <c r="J1956">
        <v>14</v>
      </c>
      <c r="K1956">
        <v>3</v>
      </c>
      <c r="L1956">
        <v>14</v>
      </c>
      <c r="M1956">
        <v>46.8</v>
      </c>
      <c r="N1956">
        <v>655.20000000000005</v>
      </c>
      <c r="O1956">
        <v>0.1</v>
      </c>
      <c r="P1956">
        <v>65.52</v>
      </c>
      <c r="Q1956">
        <v>589.67999999999995</v>
      </c>
      <c r="R1956">
        <v>432.43</v>
      </c>
      <c r="S1956">
        <v>157.25</v>
      </c>
    </row>
    <row r="1957" spans="1:19" x14ac:dyDescent="0.35">
      <c r="A1957">
        <v>200695</v>
      </c>
      <c r="B1957">
        <v>3603</v>
      </c>
      <c r="C1957" t="s">
        <v>19</v>
      </c>
      <c r="D1957" t="s">
        <v>20</v>
      </c>
      <c r="E1957" t="s">
        <v>24</v>
      </c>
      <c r="F1957" t="s">
        <v>42</v>
      </c>
      <c r="G1957" s="1">
        <v>45596</v>
      </c>
      <c r="H1957" s="1">
        <v>45600</v>
      </c>
      <c r="I1957" s="1">
        <v>45621</v>
      </c>
      <c r="J1957">
        <v>25</v>
      </c>
      <c r="K1957">
        <v>4</v>
      </c>
      <c r="L1957">
        <v>8</v>
      </c>
      <c r="M1957">
        <v>140.15</v>
      </c>
      <c r="N1957">
        <v>1121.2</v>
      </c>
      <c r="O1957">
        <v>0.12</v>
      </c>
      <c r="P1957">
        <v>134.54</v>
      </c>
      <c r="Q1957">
        <v>986.66</v>
      </c>
      <c r="R1957">
        <v>706.36</v>
      </c>
      <c r="S1957">
        <v>280.3</v>
      </c>
    </row>
    <row r="1958" spans="1:19" x14ac:dyDescent="0.35">
      <c r="A1958">
        <v>200696</v>
      </c>
      <c r="B1958">
        <v>1807</v>
      </c>
      <c r="C1958" t="s">
        <v>33</v>
      </c>
      <c r="D1958" t="s">
        <v>20</v>
      </c>
      <c r="E1958" t="s">
        <v>21</v>
      </c>
      <c r="F1958" t="s">
        <v>41</v>
      </c>
      <c r="G1958" s="1">
        <v>45314</v>
      </c>
      <c r="H1958" s="1">
        <v>45319</v>
      </c>
      <c r="I1958" s="1">
        <v>45330</v>
      </c>
      <c r="J1958">
        <v>16</v>
      </c>
      <c r="K1958">
        <v>5</v>
      </c>
      <c r="L1958">
        <v>7</v>
      </c>
      <c r="M1958">
        <v>766.45</v>
      </c>
      <c r="N1958">
        <v>5365.15</v>
      </c>
      <c r="O1958">
        <v>0.1</v>
      </c>
      <c r="P1958">
        <v>536.52</v>
      </c>
      <c r="Q1958">
        <v>4828.6400000000003</v>
      </c>
      <c r="R1958">
        <v>4184.82</v>
      </c>
      <c r="S1958">
        <v>643.82000000000096</v>
      </c>
    </row>
    <row r="1959" spans="1:19" x14ac:dyDescent="0.35">
      <c r="A1959">
        <v>200697</v>
      </c>
      <c r="B1959">
        <v>1885</v>
      </c>
      <c r="C1959" t="s">
        <v>19</v>
      </c>
      <c r="D1959" t="s">
        <v>20</v>
      </c>
      <c r="E1959" t="s">
        <v>21</v>
      </c>
      <c r="F1959" t="s">
        <v>41</v>
      </c>
      <c r="G1959" s="1">
        <v>45555</v>
      </c>
      <c r="H1959" s="1">
        <v>45559</v>
      </c>
      <c r="I1959" s="1">
        <v>45575</v>
      </c>
      <c r="J1959">
        <v>20</v>
      </c>
      <c r="K1959">
        <v>4</v>
      </c>
      <c r="L1959">
        <v>12</v>
      </c>
      <c r="M1959">
        <v>626.09</v>
      </c>
      <c r="N1959">
        <v>7513.08</v>
      </c>
      <c r="O1959">
        <v>0.19</v>
      </c>
      <c r="P1959">
        <v>1427.49</v>
      </c>
      <c r="Q1959">
        <v>6085.59</v>
      </c>
      <c r="R1959">
        <v>4958.63</v>
      </c>
      <c r="S1959">
        <v>1126.96</v>
      </c>
    </row>
    <row r="1960" spans="1:19" x14ac:dyDescent="0.35">
      <c r="A1960">
        <v>200698</v>
      </c>
      <c r="B1960">
        <v>4370</v>
      </c>
      <c r="C1960" t="s">
        <v>23</v>
      </c>
      <c r="D1960" t="s">
        <v>29</v>
      </c>
      <c r="E1960" t="s">
        <v>26</v>
      </c>
      <c r="F1960" t="s">
        <v>37</v>
      </c>
      <c r="G1960" s="1">
        <v>45509</v>
      </c>
      <c r="H1960" s="1">
        <v>45510</v>
      </c>
      <c r="I1960" s="1">
        <v>45524</v>
      </c>
      <c r="J1960">
        <v>15</v>
      </c>
      <c r="K1960">
        <v>1</v>
      </c>
      <c r="L1960">
        <v>7</v>
      </c>
      <c r="M1960">
        <v>746.35</v>
      </c>
      <c r="N1960">
        <v>5224.45</v>
      </c>
      <c r="O1960">
        <v>0.1</v>
      </c>
      <c r="P1960">
        <v>522.45000000000005</v>
      </c>
      <c r="Q1960">
        <v>4702</v>
      </c>
      <c r="R1960">
        <v>3448.14</v>
      </c>
      <c r="S1960">
        <v>1253.8599999999999</v>
      </c>
    </row>
    <row r="1961" spans="1:19" x14ac:dyDescent="0.35">
      <c r="A1961">
        <v>200699</v>
      </c>
      <c r="B1961">
        <v>1842</v>
      </c>
      <c r="C1961" t="s">
        <v>28</v>
      </c>
      <c r="D1961" t="s">
        <v>20</v>
      </c>
      <c r="E1961" t="s">
        <v>26</v>
      </c>
      <c r="F1961" t="s">
        <v>27</v>
      </c>
      <c r="G1961" s="1">
        <v>45359</v>
      </c>
      <c r="H1961" s="1">
        <v>45360</v>
      </c>
      <c r="I1961" s="1">
        <v>45371</v>
      </c>
      <c r="J1961">
        <v>12</v>
      </c>
      <c r="K1961">
        <v>1</v>
      </c>
      <c r="L1961">
        <v>5</v>
      </c>
      <c r="M1961">
        <v>503.22</v>
      </c>
      <c r="N1961">
        <v>2516.1</v>
      </c>
      <c r="O1961">
        <v>7.0000000000000007E-2</v>
      </c>
      <c r="P1961">
        <v>176.13</v>
      </c>
      <c r="Q1961">
        <v>2339.9699999999998</v>
      </c>
      <c r="R1961">
        <v>1585.14</v>
      </c>
      <c r="S1961">
        <v>754.83</v>
      </c>
    </row>
    <row r="1962" spans="1:19" x14ac:dyDescent="0.35">
      <c r="A1962">
        <v>200700</v>
      </c>
      <c r="B1962">
        <v>1001</v>
      </c>
      <c r="C1962" t="s">
        <v>23</v>
      </c>
      <c r="D1962" t="s">
        <v>31</v>
      </c>
      <c r="E1962" t="s">
        <v>34</v>
      </c>
      <c r="F1962" t="s">
        <v>40</v>
      </c>
      <c r="G1962" s="1">
        <v>45380</v>
      </c>
      <c r="H1962" s="1">
        <v>45384</v>
      </c>
      <c r="I1962" s="1">
        <v>45397</v>
      </c>
      <c r="J1962">
        <v>17</v>
      </c>
      <c r="K1962">
        <v>4</v>
      </c>
      <c r="L1962">
        <v>6</v>
      </c>
      <c r="M1962">
        <v>263.49</v>
      </c>
      <c r="N1962">
        <v>1580.94</v>
      </c>
      <c r="O1962">
        <v>0.18</v>
      </c>
      <c r="P1962">
        <v>284.57</v>
      </c>
      <c r="Q1962">
        <v>1296.3699999999999</v>
      </c>
      <c r="R1962">
        <v>1027.6099999999999</v>
      </c>
      <c r="S1962">
        <v>268.76</v>
      </c>
    </row>
    <row r="1963" spans="1:19" x14ac:dyDescent="0.35">
      <c r="A1963">
        <v>200701</v>
      </c>
      <c r="B1963">
        <v>2157</v>
      </c>
      <c r="C1963" t="s">
        <v>23</v>
      </c>
      <c r="D1963" t="s">
        <v>20</v>
      </c>
      <c r="E1963" t="s">
        <v>24</v>
      </c>
      <c r="F1963" t="s">
        <v>42</v>
      </c>
      <c r="G1963" s="1">
        <v>45380</v>
      </c>
      <c r="H1963" s="1">
        <v>45384</v>
      </c>
      <c r="I1963" s="1">
        <v>45391</v>
      </c>
      <c r="J1963">
        <v>11</v>
      </c>
      <c r="K1963">
        <v>4</v>
      </c>
      <c r="L1963">
        <v>3</v>
      </c>
      <c r="M1963">
        <v>46.72</v>
      </c>
      <c r="N1963">
        <v>140.16</v>
      </c>
      <c r="O1963">
        <v>0.18</v>
      </c>
      <c r="P1963">
        <v>25.23</v>
      </c>
      <c r="Q1963">
        <v>114.93</v>
      </c>
      <c r="R1963">
        <v>100.92</v>
      </c>
      <c r="S1963">
        <v>14.01</v>
      </c>
    </row>
    <row r="1964" spans="1:19" x14ac:dyDescent="0.35">
      <c r="A1964">
        <v>200702</v>
      </c>
      <c r="B1964">
        <v>4376</v>
      </c>
      <c r="C1964" t="s">
        <v>28</v>
      </c>
      <c r="D1964" t="s">
        <v>29</v>
      </c>
      <c r="E1964" t="s">
        <v>34</v>
      </c>
      <c r="F1964" t="s">
        <v>40</v>
      </c>
      <c r="G1964" s="1">
        <v>45579</v>
      </c>
      <c r="H1964" s="1">
        <v>45581</v>
      </c>
      <c r="I1964" s="1">
        <v>45597</v>
      </c>
      <c r="J1964">
        <v>18</v>
      </c>
      <c r="K1964">
        <v>2</v>
      </c>
      <c r="L1964">
        <v>7</v>
      </c>
      <c r="M1964">
        <v>236.74</v>
      </c>
      <c r="N1964">
        <v>1657.18</v>
      </c>
      <c r="O1964">
        <v>0.11</v>
      </c>
      <c r="P1964">
        <v>182.29</v>
      </c>
      <c r="Q1964">
        <v>1474.89</v>
      </c>
      <c r="R1964">
        <v>1010.88</v>
      </c>
      <c r="S1964">
        <v>464.01</v>
      </c>
    </row>
    <row r="1965" spans="1:19" x14ac:dyDescent="0.35">
      <c r="A1965">
        <v>200703</v>
      </c>
      <c r="B1965">
        <v>4943</v>
      </c>
      <c r="C1965" t="s">
        <v>19</v>
      </c>
      <c r="D1965" t="s">
        <v>20</v>
      </c>
      <c r="E1965" t="s">
        <v>26</v>
      </c>
      <c r="F1965" t="s">
        <v>27</v>
      </c>
      <c r="G1965" s="1">
        <v>45629</v>
      </c>
      <c r="H1965" s="1">
        <v>45634</v>
      </c>
      <c r="I1965" s="1">
        <v>45633</v>
      </c>
      <c r="J1965">
        <v>4</v>
      </c>
      <c r="K1965">
        <v>5</v>
      </c>
      <c r="L1965">
        <v>13</v>
      </c>
      <c r="M1965">
        <v>550.83000000000004</v>
      </c>
      <c r="N1965">
        <v>7160.79</v>
      </c>
      <c r="O1965">
        <v>0.12</v>
      </c>
      <c r="P1965">
        <v>859.29</v>
      </c>
      <c r="Q1965">
        <v>6301.5</v>
      </c>
      <c r="R1965">
        <v>4726.12</v>
      </c>
      <c r="S1965">
        <v>1575.38</v>
      </c>
    </row>
    <row r="1966" spans="1:19" x14ac:dyDescent="0.35">
      <c r="A1966">
        <v>200704</v>
      </c>
      <c r="B1966">
        <v>1625</v>
      </c>
      <c r="C1966" t="s">
        <v>28</v>
      </c>
      <c r="D1966" t="s">
        <v>29</v>
      </c>
      <c r="E1966" t="s">
        <v>34</v>
      </c>
      <c r="F1966" t="s">
        <v>45</v>
      </c>
      <c r="G1966" s="1">
        <v>45330</v>
      </c>
      <c r="H1966" s="1">
        <v>45335</v>
      </c>
      <c r="I1966" s="1">
        <v>45348</v>
      </c>
      <c r="J1966">
        <v>18</v>
      </c>
      <c r="K1966">
        <v>5</v>
      </c>
      <c r="L1966">
        <v>14</v>
      </c>
      <c r="M1966">
        <v>159.07</v>
      </c>
      <c r="N1966">
        <v>2226.98</v>
      </c>
      <c r="O1966">
        <v>0.13</v>
      </c>
      <c r="P1966">
        <v>289.51</v>
      </c>
      <c r="Q1966">
        <v>1937.47</v>
      </c>
      <c r="R1966">
        <v>1425.27</v>
      </c>
      <c r="S1966">
        <v>512.20000000000005</v>
      </c>
    </row>
    <row r="1967" spans="1:19" x14ac:dyDescent="0.35">
      <c r="A1967">
        <v>200705</v>
      </c>
      <c r="B1967">
        <v>2032</v>
      </c>
      <c r="C1967" t="s">
        <v>23</v>
      </c>
      <c r="D1967" t="s">
        <v>29</v>
      </c>
      <c r="E1967" t="s">
        <v>34</v>
      </c>
      <c r="F1967" t="s">
        <v>43</v>
      </c>
      <c r="G1967" s="1">
        <v>45397</v>
      </c>
      <c r="H1967" s="1">
        <v>45402</v>
      </c>
      <c r="I1967" s="1">
        <v>45416</v>
      </c>
      <c r="J1967">
        <v>19</v>
      </c>
      <c r="K1967">
        <v>5</v>
      </c>
      <c r="L1967">
        <v>3</v>
      </c>
      <c r="M1967">
        <v>551.13</v>
      </c>
      <c r="N1967">
        <v>1653.39</v>
      </c>
      <c r="O1967">
        <v>0.16</v>
      </c>
      <c r="P1967">
        <v>264.54000000000002</v>
      </c>
      <c r="Q1967">
        <v>1388.85</v>
      </c>
      <c r="R1967">
        <v>975.5</v>
      </c>
      <c r="S1967">
        <v>413.35</v>
      </c>
    </row>
    <row r="1968" spans="1:19" x14ac:dyDescent="0.35">
      <c r="A1968">
        <v>200706</v>
      </c>
      <c r="B1968">
        <v>1025</v>
      </c>
      <c r="C1968" t="s">
        <v>19</v>
      </c>
      <c r="D1968" t="s">
        <v>20</v>
      </c>
      <c r="E1968" t="s">
        <v>24</v>
      </c>
      <c r="F1968" t="s">
        <v>42</v>
      </c>
      <c r="G1968" s="1">
        <v>45356</v>
      </c>
      <c r="H1968" s="1">
        <v>45361</v>
      </c>
      <c r="I1968" s="1">
        <v>45359</v>
      </c>
      <c r="J1968">
        <v>3</v>
      </c>
      <c r="K1968">
        <v>5</v>
      </c>
      <c r="L1968">
        <v>11</v>
      </c>
      <c r="M1968">
        <v>235.28</v>
      </c>
      <c r="N1968">
        <v>2588.08</v>
      </c>
      <c r="O1968">
        <v>7.0000000000000007E-2</v>
      </c>
      <c r="P1968">
        <v>181.17</v>
      </c>
      <c r="Q1968">
        <v>2406.91</v>
      </c>
      <c r="R1968">
        <v>1630.49</v>
      </c>
      <c r="S1968">
        <v>776.42</v>
      </c>
    </row>
    <row r="1969" spans="1:19" x14ac:dyDescent="0.35">
      <c r="A1969">
        <v>200707</v>
      </c>
      <c r="B1969">
        <v>4475</v>
      </c>
      <c r="C1969" t="s">
        <v>19</v>
      </c>
      <c r="D1969" t="s">
        <v>29</v>
      </c>
      <c r="E1969" t="s">
        <v>26</v>
      </c>
      <c r="F1969" t="s">
        <v>27</v>
      </c>
      <c r="G1969" s="1">
        <v>45557</v>
      </c>
      <c r="H1969" s="1">
        <v>45559</v>
      </c>
      <c r="I1969" s="1">
        <v>45564</v>
      </c>
      <c r="J1969">
        <v>7</v>
      </c>
      <c r="K1969">
        <v>2</v>
      </c>
      <c r="L1969">
        <v>12</v>
      </c>
      <c r="M1969">
        <v>399.6</v>
      </c>
      <c r="N1969">
        <v>4795.2</v>
      </c>
      <c r="O1969">
        <v>0.12</v>
      </c>
      <c r="P1969">
        <v>575.41999999999996</v>
      </c>
      <c r="Q1969">
        <v>4219.78</v>
      </c>
      <c r="R1969">
        <v>3356.64</v>
      </c>
      <c r="S1969">
        <v>863.14</v>
      </c>
    </row>
    <row r="1970" spans="1:19" x14ac:dyDescent="0.35">
      <c r="A1970">
        <v>200708</v>
      </c>
      <c r="B1970">
        <v>2392</v>
      </c>
      <c r="C1970" t="s">
        <v>23</v>
      </c>
      <c r="D1970" t="s">
        <v>20</v>
      </c>
      <c r="E1970" t="s">
        <v>26</v>
      </c>
      <c r="F1970" t="s">
        <v>37</v>
      </c>
      <c r="G1970" s="1">
        <v>45593</v>
      </c>
      <c r="H1970" s="1">
        <v>45594</v>
      </c>
      <c r="I1970" s="1">
        <v>45601</v>
      </c>
      <c r="J1970">
        <v>8</v>
      </c>
      <c r="K1970">
        <v>1</v>
      </c>
      <c r="L1970">
        <v>9</v>
      </c>
      <c r="M1970">
        <v>79.790000000000006</v>
      </c>
      <c r="N1970">
        <v>718.11</v>
      </c>
      <c r="O1970">
        <v>0.09</v>
      </c>
      <c r="P1970">
        <v>64.63</v>
      </c>
      <c r="Q1970">
        <v>653.48</v>
      </c>
      <c r="R1970">
        <v>481.13</v>
      </c>
      <c r="S1970">
        <v>172.35</v>
      </c>
    </row>
    <row r="1971" spans="1:19" x14ac:dyDescent="0.35">
      <c r="A1971">
        <v>200709</v>
      </c>
      <c r="B1971">
        <v>3720</v>
      </c>
      <c r="C1971" t="s">
        <v>23</v>
      </c>
      <c r="D1971" t="s">
        <v>29</v>
      </c>
      <c r="E1971" t="s">
        <v>21</v>
      </c>
      <c r="F1971" t="s">
        <v>41</v>
      </c>
      <c r="G1971" s="1">
        <v>45532</v>
      </c>
      <c r="H1971" s="1">
        <v>45534</v>
      </c>
      <c r="I1971" s="1">
        <v>45539</v>
      </c>
      <c r="J1971">
        <v>7</v>
      </c>
      <c r="K1971">
        <v>2</v>
      </c>
      <c r="L1971">
        <v>3</v>
      </c>
      <c r="M1971">
        <v>389.85</v>
      </c>
      <c r="N1971">
        <v>1169.55</v>
      </c>
      <c r="O1971">
        <v>0.05</v>
      </c>
      <c r="P1971">
        <v>58.48</v>
      </c>
      <c r="Q1971">
        <v>1111.07</v>
      </c>
      <c r="R1971">
        <v>923.94</v>
      </c>
      <c r="S1971">
        <v>187.13</v>
      </c>
    </row>
    <row r="1972" spans="1:19" x14ac:dyDescent="0.35">
      <c r="A1972">
        <v>200710</v>
      </c>
      <c r="B1972">
        <v>2560</v>
      </c>
      <c r="C1972" t="s">
        <v>23</v>
      </c>
      <c r="D1972" t="s">
        <v>20</v>
      </c>
      <c r="E1972" t="s">
        <v>24</v>
      </c>
      <c r="F1972" t="s">
        <v>25</v>
      </c>
      <c r="G1972" s="1">
        <v>45372</v>
      </c>
      <c r="H1972" s="1">
        <v>45376</v>
      </c>
      <c r="I1972" s="1">
        <v>45402</v>
      </c>
      <c r="J1972">
        <v>30</v>
      </c>
      <c r="K1972">
        <v>4</v>
      </c>
      <c r="L1972">
        <v>2</v>
      </c>
      <c r="M1972">
        <v>65.56</v>
      </c>
      <c r="N1972">
        <v>131.12</v>
      </c>
      <c r="O1972">
        <v>0.16</v>
      </c>
      <c r="P1972">
        <v>20.98</v>
      </c>
      <c r="Q1972">
        <v>110.14</v>
      </c>
      <c r="R1972">
        <v>85.23</v>
      </c>
      <c r="S1972">
        <v>24.91</v>
      </c>
    </row>
    <row r="1973" spans="1:19" x14ac:dyDescent="0.35">
      <c r="A1973">
        <v>200711</v>
      </c>
      <c r="B1973">
        <v>1709</v>
      </c>
      <c r="C1973" t="s">
        <v>23</v>
      </c>
      <c r="D1973" t="s">
        <v>31</v>
      </c>
      <c r="E1973" t="s">
        <v>26</v>
      </c>
      <c r="F1973" t="s">
        <v>36</v>
      </c>
      <c r="G1973" s="1">
        <v>45548</v>
      </c>
      <c r="H1973" s="1">
        <v>45551</v>
      </c>
      <c r="I1973" s="1">
        <v>45550</v>
      </c>
      <c r="J1973">
        <v>2</v>
      </c>
      <c r="K1973">
        <v>3</v>
      </c>
      <c r="L1973">
        <v>1</v>
      </c>
      <c r="M1973">
        <v>708.01</v>
      </c>
      <c r="N1973">
        <v>708.01</v>
      </c>
      <c r="O1973">
        <v>0.12</v>
      </c>
      <c r="P1973">
        <v>84.96</v>
      </c>
      <c r="Q1973">
        <v>623.04999999999995</v>
      </c>
      <c r="R1973">
        <v>481.45</v>
      </c>
      <c r="S1973">
        <v>141.6</v>
      </c>
    </row>
    <row r="1974" spans="1:19" x14ac:dyDescent="0.35">
      <c r="A1974">
        <v>200712</v>
      </c>
      <c r="B1974">
        <v>1996</v>
      </c>
      <c r="C1974" t="s">
        <v>33</v>
      </c>
      <c r="D1974" t="s">
        <v>31</v>
      </c>
      <c r="E1974" t="s">
        <v>26</v>
      </c>
      <c r="F1974" t="s">
        <v>37</v>
      </c>
      <c r="G1974" s="1">
        <v>45571</v>
      </c>
      <c r="H1974" s="1">
        <v>45575</v>
      </c>
      <c r="I1974" s="1">
        <v>45600</v>
      </c>
      <c r="J1974">
        <v>29</v>
      </c>
      <c r="K1974">
        <v>4</v>
      </c>
      <c r="L1974">
        <v>5</v>
      </c>
      <c r="M1974">
        <v>749.96</v>
      </c>
      <c r="N1974">
        <v>3749.8</v>
      </c>
      <c r="O1974">
        <v>0.09</v>
      </c>
      <c r="P1974">
        <v>337.48</v>
      </c>
      <c r="Q1974">
        <v>3412.32</v>
      </c>
      <c r="R1974">
        <v>2587.36</v>
      </c>
      <c r="S1974">
        <v>824.96</v>
      </c>
    </row>
    <row r="1975" spans="1:19" x14ac:dyDescent="0.35">
      <c r="A1975">
        <v>200713</v>
      </c>
      <c r="B1975">
        <v>2099</v>
      </c>
      <c r="C1975" t="s">
        <v>28</v>
      </c>
      <c r="D1975" t="s">
        <v>29</v>
      </c>
      <c r="E1975" t="s">
        <v>34</v>
      </c>
      <c r="F1975" t="s">
        <v>40</v>
      </c>
      <c r="G1975" s="1">
        <v>45421</v>
      </c>
      <c r="H1975" s="1">
        <v>45423</v>
      </c>
      <c r="I1975" s="1">
        <v>45446</v>
      </c>
      <c r="J1975">
        <v>25</v>
      </c>
      <c r="K1975">
        <v>2</v>
      </c>
      <c r="L1975">
        <v>5</v>
      </c>
      <c r="M1975">
        <v>739.58</v>
      </c>
      <c r="N1975">
        <v>3697.9</v>
      </c>
      <c r="O1975">
        <v>0.05</v>
      </c>
      <c r="P1975">
        <v>184.9</v>
      </c>
      <c r="Q1975">
        <v>3513</v>
      </c>
      <c r="R1975">
        <v>2218.7399999999998</v>
      </c>
      <c r="S1975">
        <v>1294.26</v>
      </c>
    </row>
    <row r="1976" spans="1:19" x14ac:dyDescent="0.35">
      <c r="A1976">
        <v>200714</v>
      </c>
      <c r="B1976">
        <v>4340</v>
      </c>
      <c r="C1976" t="s">
        <v>33</v>
      </c>
      <c r="D1976" t="s">
        <v>29</v>
      </c>
      <c r="E1976" t="s">
        <v>26</v>
      </c>
      <c r="F1976" t="s">
        <v>44</v>
      </c>
      <c r="G1976" s="1">
        <v>45496</v>
      </c>
      <c r="H1976" s="1">
        <v>45498</v>
      </c>
      <c r="I1976" s="1">
        <v>45504</v>
      </c>
      <c r="J1976">
        <v>8</v>
      </c>
      <c r="K1976">
        <v>2</v>
      </c>
      <c r="L1976">
        <v>3</v>
      </c>
      <c r="M1976">
        <v>59.25</v>
      </c>
      <c r="N1976">
        <v>177.75</v>
      </c>
      <c r="O1976">
        <v>0.13</v>
      </c>
      <c r="P1976">
        <v>23.11</v>
      </c>
      <c r="Q1976">
        <v>154.63999999999999</v>
      </c>
      <c r="R1976">
        <v>124.42</v>
      </c>
      <c r="S1976">
        <v>30.22</v>
      </c>
    </row>
    <row r="1977" spans="1:19" x14ac:dyDescent="0.35">
      <c r="A1977">
        <v>200715</v>
      </c>
      <c r="B1977">
        <v>1573</v>
      </c>
      <c r="C1977" t="s">
        <v>33</v>
      </c>
      <c r="D1977" t="s">
        <v>31</v>
      </c>
      <c r="E1977" t="s">
        <v>24</v>
      </c>
      <c r="F1977" t="s">
        <v>32</v>
      </c>
      <c r="G1977" s="1">
        <v>45395</v>
      </c>
      <c r="H1977" s="1">
        <v>45399</v>
      </c>
      <c r="I1977" s="1">
        <v>45401</v>
      </c>
      <c r="J1977">
        <v>6</v>
      </c>
      <c r="K1977">
        <v>4</v>
      </c>
      <c r="L1977">
        <v>13</v>
      </c>
      <c r="M1977">
        <v>187.1</v>
      </c>
      <c r="N1977">
        <v>2432.3000000000002</v>
      </c>
      <c r="O1977">
        <v>0.05</v>
      </c>
      <c r="P1977">
        <v>121.62</v>
      </c>
      <c r="Q1977">
        <v>2310.6799999999998</v>
      </c>
      <c r="R1977">
        <v>1605.32</v>
      </c>
      <c r="S1977">
        <v>705.36</v>
      </c>
    </row>
    <row r="1978" spans="1:19" x14ac:dyDescent="0.35">
      <c r="A1978">
        <v>200716</v>
      </c>
      <c r="B1978">
        <v>2591</v>
      </c>
      <c r="C1978" t="s">
        <v>33</v>
      </c>
      <c r="D1978" t="s">
        <v>29</v>
      </c>
      <c r="E1978" t="s">
        <v>34</v>
      </c>
      <c r="F1978" t="s">
        <v>43</v>
      </c>
      <c r="G1978" s="1">
        <v>45626</v>
      </c>
      <c r="H1978" s="1">
        <v>45631</v>
      </c>
      <c r="I1978" s="1">
        <v>45638</v>
      </c>
      <c r="J1978">
        <v>12</v>
      </c>
      <c r="K1978">
        <v>5</v>
      </c>
      <c r="L1978">
        <v>1</v>
      </c>
      <c r="M1978">
        <v>626.65</v>
      </c>
      <c r="N1978">
        <v>626.65</v>
      </c>
      <c r="O1978">
        <v>0.12</v>
      </c>
      <c r="P1978">
        <v>75.2</v>
      </c>
      <c r="Q1978">
        <v>551.45000000000005</v>
      </c>
      <c r="R1978">
        <v>407.32</v>
      </c>
      <c r="S1978">
        <v>144.13</v>
      </c>
    </row>
    <row r="1979" spans="1:19" x14ac:dyDescent="0.35">
      <c r="A1979">
        <v>200717</v>
      </c>
      <c r="B1979">
        <v>3154</v>
      </c>
      <c r="C1979" t="s">
        <v>19</v>
      </c>
      <c r="D1979" t="s">
        <v>29</v>
      </c>
      <c r="E1979" t="s">
        <v>21</v>
      </c>
      <c r="F1979" t="s">
        <v>41</v>
      </c>
      <c r="G1979" s="1">
        <v>45643</v>
      </c>
      <c r="H1979" s="1">
        <v>45647</v>
      </c>
      <c r="I1979" s="1">
        <v>45671</v>
      </c>
      <c r="J1979">
        <v>28</v>
      </c>
      <c r="K1979">
        <v>4</v>
      </c>
      <c r="L1979">
        <v>10</v>
      </c>
      <c r="M1979">
        <v>338.52</v>
      </c>
      <c r="N1979">
        <v>3385.2</v>
      </c>
      <c r="O1979">
        <v>0.12</v>
      </c>
      <c r="P1979">
        <v>406.22</v>
      </c>
      <c r="Q1979">
        <v>2978.98</v>
      </c>
      <c r="R1979">
        <v>1929.56</v>
      </c>
      <c r="S1979">
        <v>1049.42</v>
      </c>
    </row>
    <row r="1980" spans="1:19" x14ac:dyDescent="0.35">
      <c r="A1980">
        <v>200718</v>
      </c>
      <c r="B1980">
        <v>3870</v>
      </c>
      <c r="C1980" t="s">
        <v>23</v>
      </c>
      <c r="D1980" t="s">
        <v>31</v>
      </c>
      <c r="E1980" t="s">
        <v>26</v>
      </c>
      <c r="F1980" t="s">
        <v>44</v>
      </c>
      <c r="G1980" s="1">
        <v>45536</v>
      </c>
      <c r="H1980" s="1">
        <v>45540</v>
      </c>
      <c r="I1980" s="1">
        <v>45559</v>
      </c>
      <c r="J1980">
        <v>23</v>
      </c>
      <c r="K1980">
        <v>4</v>
      </c>
      <c r="L1980">
        <v>13</v>
      </c>
      <c r="M1980">
        <v>145.97</v>
      </c>
      <c r="N1980">
        <v>1897.61</v>
      </c>
      <c r="O1980">
        <v>0.09</v>
      </c>
      <c r="P1980">
        <v>170.78</v>
      </c>
      <c r="Q1980">
        <v>1726.83</v>
      </c>
      <c r="R1980">
        <v>1138.57</v>
      </c>
      <c r="S1980">
        <v>588.26</v>
      </c>
    </row>
    <row r="1981" spans="1:19" x14ac:dyDescent="0.35">
      <c r="A1981">
        <v>200719</v>
      </c>
      <c r="B1981">
        <v>1347</v>
      </c>
      <c r="C1981" t="s">
        <v>28</v>
      </c>
      <c r="D1981" t="s">
        <v>29</v>
      </c>
      <c r="E1981" t="s">
        <v>21</v>
      </c>
      <c r="F1981" t="s">
        <v>22</v>
      </c>
      <c r="G1981" s="1">
        <v>45638</v>
      </c>
      <c r="H1981" s="1">
        <v>45640</v>
      </c>
      <c r="I1981" s="1">
        <v>45642</v>
      </c>
      <c r="J1981">
        <v>4</v>
      </c>
      <c r="K1981">
        <v>2</v>
      </c>
      <c r="L1981">
        <v>10</v>
      </c>
      <c r="M1981">
        <v>48.12</v>
      </c>
      <c r="N1981">
        <v>481.2</v>
      </c>
      <c r="O1981">
        <v>0.14000000000000001</v>
      </c>
      <c r="P1981">
        <v>67.37</v>
      </c>
      <c r="Q1981">
        <v>413.83</v>
      </c>
      <c r="R1981">
        <v>332.03</v>
      </c>
      <c r="S1981">
        <v>81.8</v>
      </c>
    </row>
    <row r="1982" spans="1:19" x14ac:dyDescent="0.35">
      <c r="A1982">
        <v>200720</v>
      </c>
      <c r="B1982">
        <v>3559</v>
      </c>
      <c r="C1982" t="s">
        <v>19</v>
      </c>
      <c r="D1982" t="s">
        <v>29</v>
      </c>
      <c r="E1982" t="s">
        <v>24</v>
      </c>
      <c r="F1982" t="s">
        <v>32</v>
      </c>
      <c r="G1982" s="1">
        <v>45322</v>
      </c>
      <c r="H1982" s="1">
        <v>45325</v>
      </c>
      <c r="I1982" s="1">
        <v>45343</v>
      </c>
      <c r="J1982">
        <v>21</v>
      </c>
      <c r="K1982">
        <v>3</v>
      </c>
      <c r="L1982">
        <v>2</v>
      </c>
      <c r="M1982">
        <v>655.04</v>
      </c>
      <c r="N1982">
        <v>1310.08</v>
      </c>
      <c r="O1982">
        <v>0.13</v>
      </c>
      <c r="P1982">
        <v>170.31</v>
      </c>
      <c r="Q1982">
        <v>1139.77</v>
      </c>
      <c r="R1982">
        <v>917.06</v>
      </c>
      <c r="S1982">
        <v>222.71</v>
      </c>
    </row>
    <row r="1983" spans="1:19" x14ac:dyDescent="0.35">
      <c r="A1983">
        <v>200721</v>
      </c>
      <c r="B1983">
        <v>2509</v>
      </c>
      <c r="C1983" t="s">
        <v>33</v>
      </c>
      <c r="D1983" t="s">
        <v>29</v>
      </c>
      <c r="E1983" t="s">
        <v>26</v>
      </c>
      <c r="F1983" t="s">
        <v>27</v>
      </c>
      <c r="G1983" s="1">
        <v>45640</v>
      </c>
      <c r="H1983" s="1">
        <v>45641</v>
      </c>
      <c r="I1983" s="1">
        <v>45649</v>
      </c>
      <c r="J1983">
        <v>9</v>
      </c>
      <c r="K1983">
        <v>1</v>
      </c>
      <c r="L1983">
        <v>7</v>
      </c>
      <c r="M1983">
        <v>450.5</v>
      </c>
      <c r="N1983">
        <v>3153.5</v>
      </c>
      <c r="O1983">
        <v>0.12</v>
      </c>
      <c r="P1983">
        <v>378.42</v>
      </c>
      <c r="Q1983">
        <v>2775.08</v>
      </c>
      <c r="R1983">
        <v>1860.56</v>
      </c>
      <c r="S1983">
        <v>914.52</v>
      </c>
    </row>
    <row r="1984" spans="1:19" x14ac:dyDescent="0.35">
      <c r="A1984">
        <v>200722</v>
      </c>
      <c r="B1984">
        <v>2385</v>
      </c>
      <c r="C1984" t="s">
        <v>23</v>
      </c>
      <c r="D1984" t="s">
        <v>20</v>
      </c>
      <c r="E1984" t="s">
        <v>21</v>
      </c>
      <c r="F1984" t="s">
        <v>41</v>
      </c>
      <c r="G1984" s="1">
        <v>45506</v>
      </c>
      <c r="H1984" s="1">
        <v>45508</v>
      </c>
      <c r="I1984" s="1">
        <v>45532</v>
      </c>
      <c r="J1984">
        <v>26</v>
      </c>
      <c r="K1984">
        <v>2</v>
      </c>
      <c r="L1984">
        <v>14</v>
      </c>
      <c r="M1984">
        <v>79.680000000000007</v>
      </c>
      <c r="N1984">
        <v>1115.52</v>
      </c>
      <c r="O1984">
        <v>0.1</v>
      </c>
      <c r="P1984">
        <v>111.55</v>
      </c>
      <c r="Q1984">
        <v>1003.97</v>
      </c>
      <c r="R1984">
        <v>725.09</v>
      </c>
      <c r="S1984">
        <v>278.88</v>
      </c>
    </row>
    <row r="1985" spans="1:19" x14ac:dyDescent="0.35">
      <c r="A1985">
        <v>200723</v>
      </c>
      <c r="B1985">
        <v>3550</v>
      </c>
      <c r="C1985" t="s">
        <v>23</v>
      </c>
      <c r="D1985" t="s">
        <v>29</v>
      </c>
      <c r="E1985" t="s">
        <v>21</v>
      </c>
      <c r="F1985" t="s">
        <v>38</v>
      </c>
      <c r="G1985" s="1">
        <v>45449</v>
      </c>
      <c r="H1985" s="1">
        <v>45451</v>
      </c>
      <c r="I1985" s="1">
        <v>45469</v>
      </c>
      <c r="J1985">
        <v>20</v>
      </c>
      <c r="K1985">
        <v>2</v>
      </c>
      <c r="L1985">
        <v>11</v>
      </c>
      <c r="M1985">
        <v>299.91000000000003</v>
      </c>
      <c r="N1985">
        <v>3299.01</v>
      </c>
      <c r="O1985">
        <v>0.08</v>
      </c>
      <c r="P1985">
        <v>263.92</v>
      </c>
      <c r="Q1985">
        <v>3035.09</v>
      </c>
      <c r="R1985">
        <v>1979.41</v>
      </c>
      <c r="S1985">
        <v>1055.68</v>
      </c>
    </row>
    <row r="1986" spans="1:19" x14ac:dyDescent="0.35">
      <c r="A1986">
        <v>200724</v>
      </c>
      <c r="B1986">
        <v>1143</v>
      </c>
      <c r="C1986" t="s">
        <v>28</v>
      </c>
      <c r="D1986" t="s">
        <v>29</v>
      </c>
      <c r="E1986" t="s">
        <v>21</v>
      </c>
      <c r="F1986" t="s">
        <v>39</v>
      </c>
      <c r="G1986" s="1">
        <v>45483</v>
      </c>
      <c r="H1986" s="1">
        <v>45488</v>
      </c>
      <c r="I1986" s="1">
        <v>45490</v>
      </c>
      <c r="J1986">
        <v>7</v>
      </c>
      <c r="K1986">
        <v>5</v>
      </c>
      <c r="L1986">
        <v>12</v>
      </c>
      <c r="M1986">
        <v>189.01</v>
      </c>
      <c r="N1986">
        <v>2268.12</v>
      </c>
      <c r="O1986">
        <v>7.0000000000000007E-2</v>
      </c>
      <c r="P1986">
        <v>158.77000000000001</v>
      </c>
      <c r="Q1986">
        <v>2109.35</v>
      </c>
      <c r="R1986">
        <v>1519.64</v>
      </c>
      <c r="S1986">
        <v>589.71</v>
      </c>
    </row>
    <row r="1987" spans="1:19" x14ac:dyDescent="0.35">
      <c r="A1987">
        <v>200725</v>
      </c>
      <c r="B1987">
        <v>2801</v>
      </c>
      <c r="C1987" t="s">
        <v>28</v>
      </c>
      <c r="D1987" t="s">
        <v>31</v>
      </c>
      <c r="E1987" t="s">
        <v>24</v>
      </c>
      <c r="F1987" t="s">
        <v>42</v>
      </c>
      <c r="G1987" s="1">
        <v>45582</v>
      </c>
      <c r="H1987" s="1">
        <v>45583</v>
      </c>
      <c r="I1987" s="1">
        <v>45584</v>
      </c>
      <c r="J1987">
        <v>2</v>
      </c>
      <c r="K1987">
        <v>1</v>
      </c>
      <c r="L1987">
        <v>4</v>
      </c>
      <c r="M1987">
        <v>438.24</v>
      </c>
      <c r="N1987">
        <v>1752.96</v>
      </c>
      <c r="O1987">
        <v>0.16</v>
      </c>
      <c r="P1987">
        <v>280.47000000000003</v>
      </c>
      <c r="Q1987">
        <v>1472.49</v>
      </c>
      <c r="R1987">
        <v>1016.72</v>
      </c>
      <c r="S1987">
        <v>455.77</v>
      </c>
    </row>
    <row r="1988" spans="1:19" x14ac:dyDescent="0.35">
      <c r="A1988">
        <v>200726</v>
      </c>
      <c r="B1988">
        <v>1851</v>
      </c>
      <c r="C1988" t="s">
        <v>19</v>
      </c>
      <c r="D1988" t="s">
        <v>20</v>
      </c>
      <c r="E1988" t="s">
        <v>24</v>
      </c>
      <c r="F1988" t="s">
        <v>42</v>
      </c>
      <c r="G1988" s="1">
        <v>45624</v>
      </c>
      <c r="H1988" s="1">
        <v>45629</v>
      </c>
      <c r="I1988" s="1">
        <v>45646</v>
      </c>
      <c r="J1988">
        <v>22</v>
      </c>
      <c r="K1988">
        <v>5</v>
      </c>
      <c r="L1988">
        <v>4</v>
      </c>
      <c r="M1988">
        <v>757.66</v>
      </c>
      <c r="N1988">
        <v>3030.64</v>
      </c>
      <c r="O1988">
        <v>0.11</v>
      </c>
      <c r="P1988">
        <v>333.37</v>
      </c>
      <c r="Q1988">
        <v>2697.27</v>
      </c>
      <c r="R1988">
        <v>1848.69</v>
      </c>
      <c r="S1988">
        <v>848.58</v>
      </c>
    </row>
    <row r="1989" spans="1:19" x14ac:dyDescent="0.35">
      <c r="A1989">
        <v>200727</v>
      </c>
      <c r="B1989">
        <v>4340</v>
      </c>
      <c r="C1989" t="s">
        <v>33</v>
      </c>
      <c r="D1989" t="s">
        <v>20</v>
      </c>
      <c r="E1989" t="s">
        <v>34</v>
      </c>
      <c r="F1989" t="s">
        <v>35</v>
      </c>
      <c r="G1989" s="1">
        <v>45336</v>
      </c>
      <c r="H1989" s="1">
        <v>45338</v>
      </c>
      <c r="I1989" s="1">
        <v>45357</v>
      </c>
      <c r="J1989">
        <v>21</v>
      </c>
      <c r="K1989">
        <v>2</v>
      </c>
      <c r="L1989">
        <v>6</v>
      </c>
      <c r="M1989">
        <v>306.64999999999998</v>
      </c>
      <c r="N1989">
        <v>1839.9</v>
      </c>
      <c r="O1989">
        <v>0.15</v>
      </c>
      <c r="P1989">
        <v>275.98</v>
      </c>
      <c r="Q1989">
        <v>1563.92</v>
      </c>
      <c r="R1989">
        <v>1122.3399999999999</v>
      </c>
      <c r="S1989">
        <v>441.58</v>
      </c>
    </row>
    <row r="1990" spans="1:19" x14ac:dyDescent="0.35">
      <c r="A1990">
        <v>200728</v>
      </c>
      <c r="B1990">
        <v>2901</v>
      </c>
      <c r="C1990" t="s">
        <v>19</v>
      </c>
      <c r="D1990" t="s">
        <v>20</v>
      </c>
      <c r="E1990" t="s">
        <v>24</v>
      </c>
      <c r="F1990" t="s">
        <v>42</v>
      </c>
      <c r="G1990" s="1">
        <v>45575</v>
      </c>
      <c r="H1990" s="1">
        <v>45579</v>
      </c>
      <c r="I1990" s="1">
        <v>45600</v>
      </c>
      <c r="J1990">
        <v>25</v>
      </c>
      <c r="K1990">
        <v>4</v>
      </c>
      <c r="L1990">
        <v>4</v>
      </c>
      <c r="M1990">
        <v>138.80000000000001</v>
      </c>
      <c r="N1990">
        <v>555.20000000000005</v>
      </c>
      <c r="O1990">
        <v>7.0000000000000007E-2</v>
      </c>
      <c r="P1990">
        <v>38.86</v>
      </c>
      <c r="Q1990">
        <v>516.34</v>
      </c>
      <c r="R1990">
        <v>344.22</v>
      </c>
      <c r="S1990">
        <v>172.12</v>
      </c>
    </row>
    <row r="1991" spans="1:19" x14ac:dyDescent="0.35">
      <c r="A1991">
        <v>200729</v>
      </c>
      <c r="B1991">
        <v>4806</v>
      </c>
      <c r="C1991" t="s">
        <v>19</v>
      </c>
      <c r="D1991" t="s">
        <v>31</v>
      </c>
      <c r="E1991" t="s">
        <v>26</v>
      </c>
      <c r="F1991" t="s">
        <v>37</v>
      </c>
      <c r="G1991" s="1">
        <v>45625</v>
      </c>
      <c r="H1991" s="1">
        <v>45628</v>
      </c>
      <c r="I1991" s="1">
        <v>45628</v>
      </c>
      <c r="J1991">
        <v>3</v>
      </c>
      <c r="K1991">
        <v>3</v>
      </c>
      <c r="L1991">
        <v>9</v>
      </c>
      <c r="M1991">
        <v>113.51</v>
      </c>
      <c r="N1991">
        <v>1021.59</v>
      </c>
      <c r="O1991">
        <v>0.13</v>
      </c>
      <c r="P1991">
        <v>132.81</v>
      </c>
      <c r="Q1991">
        <v>888.78</v>
      </c>
      <c r="R1991">
        <v>735.54</v>
      </c>
      <c r="S1991">
        <v>153.24</v>
      </c>
    </row>
    <row r="1992" spans="1:19" x14ac:dyDescent="0.35">
      <c r="A1992">
        <v>200730</v>
      </c>
      <c r="B1992">
        <v>3334</v>
      </c>
      <c r="C1992" t="s">
        <v>28</v>
      </c>
      <c r="D1992" t="s">
        <v>20</v>
      </c>
      <c r="E1992" t="s">
        <v>34</v>
      </c>
      <c r="F1992" t="s">
        <v>40</v>
      </c>
      <c r="G1992" s="1">
        <v>45427</v>
      </c>
      <c r="H1992" s="1">
        <v>45429</v>
      </c>
      <c r="I1992" s="1">
        <v>45447</v>
      </c>
      <c r="J1992">
        <v>20</v>
      </c>
      <c r="K1992">
        <v>2</v>
      </c>
      <c r="L1992">
        <v>11</v>
      </c>
      <c r="M1992">
        <v>766.58</v>
      </c>
      <c r="N1992">
        <v>8432.3799999999992</v>
      </c>
      <c r="O1992">
        <v>0.1</v>
      </c>
      <c r="P1992">
        <v>843.24</v>
      </c>
      <c r="Q1992">
        <v>7589.14</v>
      </c>
      <c r="R1992">
        <v>5396.72</v>
      </c>
      <c r="S1992">
        <v>2192.42</v>
      </c>
    </row>
    <row r="1993" spans="1:19" x14ac:dyDescent="0.35">
      <c r="A1993">
        <v>200731</v>
      </c>
      <c r="B1993">
        <v>2973</v>
      </c>
      <c r="C1993" t="s">
        <v>28</v>
      </c>
      <c r="D1993" t="s">
        <v>29</v>
      </c>
      <c r="E1993" t="s">
        <v>24</v>
      </c>
      <c r="F1993" t="s">
        <v>32</v>
      </c>
      <c r="G1993" s="1">
        <v>45396</v>
      </c>
      <c r="H1993" s="1">
        <v>45401</v>
      </c>
      <c r="I1993" s="1">
        <v>45412</v>
      </c>
      <c r="J1993">
        <v>16</v>
      </c>
      <c r="K1993">
        <v>5</v>
      </c>
      <c r="L1993">
        <v>11</v>
      </c>
      <c r="M1993">
        <v>753.97</v>
      </c>
      <c r="N1993">
        <v>8293.67</v>
      </c>
      <c r="O1993">
        <v>0.1</v>
      </c>
      <c r="P1993">
        <v>829.37</v>
      </c>
      <c r="Q1993">
        <v>7464.3</v>
      </c>
      <c r="R1993">
        <v>5971.44</v>
      </c>
      <c r="S1993">
        <v>1492.86</v>
      </c>
    </row>
    <row r="1994" spans="1:19" x14ac:dyDescent="0.35">
      <c r="A1994">
        <v>200732</v>
      </c>
      <c r="B1994">
        <v>3620</v>
      </c>
      <c r="C1994" t="s">
        <v>28</v>
      </c>
      <c r="D1994" t="s">
        <v>31</v>
      </c>
      <c r="E1994" t="s">
        <v>21</v>
      </c>
      <c r="F1994" t="s">
        <v>22</v>
      </c>
      <c r="G1994" s="1">
        <v>45626</v>
      </c>
      <c r="H1994" s="1">
        <v>45628</v>
      </c>
      <c r="I1994" s="1">
        <v>45640</v>
      </c>
      <c r="J1994">
        <v>14</v>
      </c>
      <c r="K1994">
        <v>2</v>
      </c>
      <c r="L1994">
        <v>1</v>
      </c>
      <c r="M1994">
        <v>458.46</v>
      </c>
      <c r="N1994">
        <v>458.46</v>
      </c>
      <c r="O1994">
        <v>0.11</v>
      </c>
      <c r="P1994">
        <v>50.43</v>
      </c>
      <c r="Q1994">
        <v>408.03</v>
      </c>
      <c r="R1994">
        <v>270.49</v>
      </c>
      <c r="S1994">
        <v>137.54</v>
      </c>
    </row>
    <row r="1995" spans="1:19" x14ac:dyDescent="0.35">
      <c r="A1995">
        <v>200733</v>
      </c>
      <c r="B1995">
        <v>3079</v>
      </c>
      <c r="C1995" t="s">
        <v>23</v>
      </c>
      <c r="D1995" t="s">
        <v>29</v>
      </c>
      <c r="E1995" t="s">
        <v>26</v>
      </c>
      <c r="F1995" t="s">
        <v>37</v>
      </c>
      <c r="G1995" s="1">
        <v>45382</v>
      </c>
      <c r="H1995" s="1">
        <v>45387</v>
      </c>
      <c r="I1995" s="1">
        <v>45388</v>
      </c>
      <c r="J1995">
        <v>6</v>
      </c>
      <c r="K1995">
        <v>5</v>
      </c>
      <c r="L1995">
        <v>12</v>
      </c>
      <c r="M1995">
        <v>419.28</v>
      </c>
      <c r="N1995">
        <v>5031.3599999999997</v>
      </c>
      <c r="O1995">
        <v>0.12</v>
      </c>
      <c r="P1995">
        <v>603.76</v>
      </c>
      <c r="Q1995">
        <v>4427.6000000000004</v>
      </c>
      <c r="R1995">
        <v>3119.44</v>
      </c>
      <c r="S1995">
        <v>1308.1600000000001</v>
      </c>
    </row>
    <row r="1996" spans="1:19" x14ac:dyDescent="0.35">
      <c r="A1996">
        <v>200734</v>
      </c>
      <c r="B1996">
        <v>4713</v>
      </c>
      <c r="C1996" t="s">
        <v>19</v>
      </c>
      <c r="D1996" t="s">
        <v>20</v>
      </c>
      <c r="E1996" t="s">
        <v>34</v>
      </c>
      <c r="F1996" t="s">
        <v>45</v>
      </c>
      <c r="G1996" s="1">
        <v>45646</v>
      </c>
      <c r="H1996" s="1">
        <v>45650</v>
      </c>
      <c r="I1996" s="1">
        <v>45651</v>
      </c>
      <c r="J1996">
        <v>5</v>
      </c>
      <c r="K1996">
        <v>4</v>
      </c>
      <c r="L1996">
        <v>14</v>
      </c>
      <c r="M1996">
        <v>99.56</v>
      </c>
      <c r="N1996">
        <v>1393.84</v>
      </c>
      <c r="O1996">
        <v>0.17</v>
      </c>
      <c r="P1996">
        <v>236.95</v>
      </c>
      <c r="Q1996">
        <v>1156.8900000000001</v>
      </c>
      <c r="R1996">
        <v>933.87</v>
      </c>
      <c r="S1996">
        <v>223.02</v>
      </c>
    </row>
    <row r="1997" spans="1:19" x14ac:dyDescent="0.35">
      <c r="A1997">
        <v>200735</v>
      </c>
      <c r="B1997">
        <v>4358</v>
      </c>
      <c r="C1997" t="s">
        <v>23</v>
      </c>
      <c r="D1997" t="s">
        <v>31</v>
      </c>
      <c r="E1997" t="s">
        <v>21</v>
      </c>
      <c r="F1997" t="s">
        <v>22</v>
      </c>
      <c r="G1997" s="1">
        <v>45479</v>
      </c>
      <c r="H1997" s="1">
        <v>45480</v>
      </c>
      <c r="I1997" s="1">
        <v>45503</v>
      </c>
      <c r="J1997">
        <v>24</v>
      </c>
      <c r="K1997">
        <v>1</v>
      </c>
      <c r="L1997">
        <v>1</v>
      </c>
      <c r="M1997">
        <v>270.11</v>
      </c>
      <c r="N1997">
        <v>270.11</v>
      </c>
      <c r="O1997">
        <v>0.11</v>
      </c>
      <c r="P1997">
        <v>29.71</v>
      </c>
      <c r="Q1997">
        <v>240.4</v>
      </c>
      <c r="R1997">
        <v>183.67</v>
      </c>
      <c r="S1997">
        <v>56.73</v>
      </c>
    </row>
    <row r="1998" spans="1:19" x14ac:dyDescent="0.35">
      <c r="A1998">
        <v>200736</v>
      </c>
      <c r="B1998">
        <v>3594</v>
      </c>
      <c r="C1998" t="s">
        <v>28</v>
      </c>
      <c r="D1998" t="s">
        <v>29</v>
      </c>
      <c r="E1998" t="s">
        <v>26</v>
      </c>
      <c r="F1998" t="s">
        <v>44</v>
      </c>
      <c r="G1998" s="1">
        <v>45533</v>
      </c>
      <c r="H1998" s="1">
        <v>45538</v>
      </c>
      <c r="I1998" s="1">
        <v>45559</v>
      </c>
      <c r="J1998">
        <v>26</v>
      </c>
      <c r="K1998">
        <v>5</v>
      </c>
      <c r="L1998">
        <v>8</v>
      </c>
      <c r="M1998">
        <v>322.10000000000002</v>
      </c>
      <c r="N1998">
        <v>2576.8000000000002</v>
      </c>
      <c r="O1998">
        <v>0.15</v>
      </c>
      <c r="P1998">
        <v>386.52</v>
      </c>
      <c r="Q1998">
        <v>2190.2800000000002</v>
      </c>
      <c r="R1998">
        <v>1752.22</v>
      </c>
      <c r="S1998">
        <v>438.06</v>
      </c>
    </row>
    <row r="1999" spans="1:19" x14ac:dyDescent="0.35">
      <c r="A1999">
        <v>200737</v>
      </c>
      <c r="B1999">
        <v>2125</v>
      </c>
      <c r="C1999" t="s">
        <v>28</v>
      </c>
      <c r="D1999" t="s">
        <v>20</v>
      </c>
      <c r="E1999" t="s">
        <v>21</v>
      </c>
      <c r="F1999" t="s">
        <v>39</v>
      </c>
      <c r="G1999" s="1">
        <v>45623</v>
      </c>
      <c r="H1999" s="1">
        <v>45628</v>
      </c>
      <c r="I1999" s="1">
        <v>45637</v>
      </c>
      <c r="J1999">
        <v>14</v>
      </c>
      <c r="K1999">
        <v>5</v>
      </c>
      <c r="L1999">
        <v>1</v>
      </c>
      <c r="M1999">
        <v>550.37</v>
      </c>
      <c r="N1999">
        <v>550.37</v>
      </c>
      <c r="O1999">
        <v>0.08</v>
      </c>
      <c r="P1999">
        <v>44.03</v>
      </c>
      <c r="Q1999">
        <v>506.34</v>
      </c>
      <c r="R1999">
        <v>357.74</v>
      </c>
      <c r="S1999">
        <v>148.6</v>
      </c>
    </row>
    <row r="2000" spans="1:19" x14ac:dyDescent="0.35">
      <c r="A2000">
        <v>200738</v>
      </c>
      <c r="B2000">
        <v>2364</v>
      </c>
      <c r="C2000" t="s">
        <v>19</v>
      </c>
      <c r="D2000" t="s">
        <v>29</v>
      </c>
      <c r="E2000" t="s">
        <v>26</v>
      </c>
      <c r="F2000" t="s">
        <v>27</v>
      </c>
      <c r="G2000" s="1">
        <v>45607</v>
      </c>
      <c r="H2000" s="1">
        <v>45609</v>
      </c>
      <c r="I2000" s="1">
        <v>45628</v>
      </c>
      <c r="J2000">
        <v>21</v>
      </c>
      <c r="K2000">
        <v>2</v>
      </c>
      <c r="L2000">
        <v>2</v>
      </c>
      <c r="M2000">
        <v>663.29</v>
      </c>
      <c r="N2000">
        <v>1326.58</v>
      </c>
      <c r="O2000">
        <v>0.14000000000000001</v>
      </c>
      <c r="P2000">
        <v>185.72</v>
      </c>
      <c r="Q2000">
        <v>1140.8599999999999</v>
      </c>
      <c r="R2000">
        <v>862.28</v>
      </c>
      <c r="S2000">
        <v>278.58</v>
      </c>
    </row>
    <row r="2001" spans="1:19" x14ac:dyDescent="0.35">
      <c r="A2001">
        <v>200739</v>
      </c>
      <c r="B2001">
        <v>4660</v>
      </c>
      <c r="C2001" t="s">
        <v>23</v>
      </c>
      <c r="D2001" t="s">
        <v>20</v>
      </c>
      <c r="E2001" t="s">
        <v>24</v>
      </c>
      <c r="F2001" t="s">
        <v>30</v>
      </c>
      <c r="G2001" s="1">
        <v>45529</v>
      </c>
      <c r="H2001" s="1">
        <v>45530</v>
      </c>
      <c r="I2001" s="1">
        <v>45549</v>
      </c>
      <c r="J2001">
        <v>20</v>
      </c>
      <c r="K2001">
        <v>1</v>
      </c>
      <c r="L2001">
        <v>2</v>
      </c>
      <c r="M2001">
        <v>653.22</v>
      </c>
      <c r="N2001">
        <v>1306.44</v>
      </c>
      <c r="O2001">
        <v>0.14000000000000001</v>
      </c>
      <c r="P2001">
        <v>182.9</v>
      </c>
      <c r="Q2001">
        <v>1123.54</v>
      </c>
      <c r="R2001">
        <v>953.7</v>
      </c>
      <c r="S2001">
        <v>169.84</v>
      </c>
    </row>
    <row r="2002" spans="1:19" x14ac:dyDescent="0.35">
      <c r="A2002">
        <v>200740</v>
      </c>
      <c r="B2002">
        <v>3502</v>
      </c>
      <c r="C2002" t="s">
        <v>23</v>
      </c>
      <c r="D2002" t="s">
        <v>31</v>
      </c>
      <c r="E2002" t="s">
        <v>26</v>
      </c>
      <c r="F2002" t="s">
        <v>27</v>
      </c>
      <c r="G2002" s="1">
        <v>45513</v>
      </c>
      <c r="H2002" s="1">
        <v>45517</v>
      </c>
      <c r="I2002" s="1">
        <v>45520</v>
      </c>
      <c r="J2002">
        <v>7</v>
      </c>
      <c r="K2002">
        <v>4</v>
      </c>
      <c r="L2002">
        <v>13</v>
      </c>
      <c r="M2002">
        <v>583.61</v>
      </c>
      <c r="N2002">
        <v>7586.93</v>
      </c>
      <c r="O2002">
        <v>0.15</v>
      </c>
      <c r="P2002">
        <v>1138.04</v>
      </c>
      <c r="Q2002">
        <v>6448.89</v>
      </c>
      <c r="R2002">
        <v>4779.7700000000004</v>
      </c>
      <c r="S2002">
        <v>1669.12</v>
      </c>
    </row>
    <row r="2003" spans="1:19" x14ac:dyDescent="0.35">
      <c r="A2003">
        <v>200741</v>
      </c>
      <c r="B2003">
        <v>1936</v>
      </c>
      <c r="C2003" t="s">
        <v>23</v>
      </c>
      <c r="D2003" t="s">
        <v>20</v>
      </c>
      <c r="E2003" t="s">
        <v>34</v>
      </c>
      <c r="F2003" t="s">
        <v>45</v>
      </c>
      <c r="G2003" s="1">
        <v>45357</v>
      </c>
      <c r="H2003" s="1">
        <v>45362</v>
      </c>
      <c r="I2003" s="1">
        <v>45371</v>
      </c>
      <c r="J2003">
        <v>14</v>
      </c>
      <c r="K2003">
        <v>5</v>
      </c>
      <c r="L2003">
        <v>11</v>
      </c>
      <c r="M2003">
        <v>659.57</v>
      </c>
      <c r="N2003">
        <v>7255.27</v>
      </c>
      <c r="O2003">
        <v>0.12</v>
      </c>
      <c r="P2003">
        <v>870.63</v>
      </c>
      <c r="Q2003">
        <v>6384.64</v>
      </c>
      <c r="R2003">
        <v>5006.1400000000003</v>
      </c>
      <c r="S2003">
        <v>1378.5</v>
      </c>
    </row>
    <row r="2004" spans="1:19" x14ac:dyDescent="0.35">
      <c r="A2004">
        <v>200742</v>
      </c>
      <c r="B2004">
        <v>3330</v>
      </c>
      <c r="C2004" t="s">
        <v>28</v>
      </c>
      <c r="D2004" t="s">
        <v>31</v>
      </c>
      <c r="E2004" t="s">
        <v>21</v>
      </c>
      <c r="F2004" t="s">
        <v>41</v>
      </c>
      <c r="G2004" s="1">
        <v>45387</v>
      </c>
      <c r="H2004" s="1">
        <v>45390</v>
      </c>
      <c r="I2004" s="1">
        <v>45400</v>
      </c>
      <c r="J2004">
        <v>13</v>
      </c>
      <c r="K2004">
        <v>3</v>
      </c>
      <c r="L2004">
        <v>7</v>
      </c>
      <c r="M2004">
        <v>333.74</v>
      </c>
      <c r="N2004">
        <v>2336.1799999999998</v>
      </c>
      <c r="O2004">
        <v>0.16</v>
      </c>
      <c r="P2004">
        <v>373.79</v>
      </c>
      <c r="Q2004">
        <v>1962.39</v>
      </c>
      <c r="R2004">
        <v>1495.16</v>
      </c>
      <c r="S2004">
        <v>467.23</v>
      </c>
    </row>
    <row r="2005" spans="1:19" x14ac:dyDescent="0.35">
      <c r="A2005">
        <v>200743</v>
      </c>
      <c r="B2005">
        <v>4526</v>
      </c>
      <c r="C2005" t="s">
        <v>28</v>
      </c>
      <c r="D2005" t="s">
        <v>31</v>
      </c>
      <c r="E2005" t="s">
        <v>26</v>
      </c>
      <c r="F2005" t="s">
        <v>37</v>
      </c>
      <c r="G2005" s="1">
        <v>45634</v>
      </c>
      <c r="H2005" s="1">
        <v>45639</v>
      </c>
      <c r="I2005" s="1">
        <v>45655</v>
      </c>
      <c r="J2005">
        <v>21</v>
      </c>
      <c r="K2005">
        <v>5</v>
      </c>
      <c r="L2005">
        <v>13</v>
      </c>
      <c r="M2005">
        <v>195.39</v>
      </c>
      <c r="N2005">
        <v>2540.0700000000002</v>
      </c>
      <c r="O2005">
        <v>0.03</v>
      </c>
      <c r="P2005">
        <v>76.2</v>
      </c>
      <c r="Q2005">
        <v>2463.87</v>
      </c>
      <c r="R2005">
        <v>1574.84</v>
      </c>
      <c r="S2005">
        <v>889.03</v>
      </c>
    </row>
    <row r="2006" spans="1:19" x14ac:dyDescent="0.35">
      <c r="A2006">
        <v>200744</v>
      </c>
      <c r="B2006">
        <v>1239</v>
      </c>
      <c r="C2006" t="s">
        <v>33</v>
      </c>
      <c r="D2006" t="s">
        <v>20</v>
      </c>
      <c r="E2006" t="s">
        <v>34</v>
      </c>
      <c r="F2006" t="s">
        <v>43</v>
      </c>
      <c r="G2006" s="1">
        <v>45489</v>
      </c>
      <c r="H2006" s="1">
        <v>45491</v>
      </c>
      <c r="I2006" s="1">
        <v>45500</v>
      </c>
      <c r="J2006">
        <v>11</v>
      </c>
      <c r="K2006">
        <v>2</v>
      </c>
      <c r="L2006">
        <v>9</v>
      </c>
      <c r="M2006">
        <v>608.38</v>
      </c>
      <c r="N2006">
        <v>5475.42</v>
      </c>
      <c r="O2006">
        <v>0.17</v>
      </c>
      <c r="P2006">
        <v>930.82</v>
      </c>
      <c r="Q2006">
        <v>4544.6000000000004</v>
      </c>
      <c r="R2006">
        <v>3449.51</v>
      </c>
      <c r="S2006">
        <v>1095.0899999999999</v>
      </c>
    </row>
    <row r="2007" spans="1:19" x14ac:dyDescent="0.35">
      <c r="A2007">
        <v>200745</v>
      </c>
      <c r="B2007">
        <v>1152</v>
      </c>
      <c r="C2007" t="s">
        <v>28</v>
      </c>
      <c r="D2007" t="s">
        <v>31</v>
      </c>
      <c r="E2007" t="s">
        <v>26</v>
      </c>
      <c r="F2007" t="s">
        <v>44</v>
      </c>
      <c r="G2007" s="1">
        <v>45617</v>
      </c>
      <c r="H2007" s="1">
        <v>45618</v>
      </c>
      <c r="I2007" s="1">
        <v>45636</v>
      </c>
      <c r="J2007">
        <v>19</v>
      </c>
      <c r="K2007">
        <v>1</v>
      </c>
      <c r="L2007">
        <v>1</v>
      </c>
      <c r="M2007">
        <v>775.91</v>
      </c>
      <c r="N2007">
        <v>775.91</v>
      </c>
      <c r="O2007">
        <v>0.15</v>
      </c>
      <c r="P2007">
        <v>116.39</v>
      </c>
      <c r="Q2007">
        <v>659.52</v>
      </c>
      <c r="R2007">
        <v>519.86</v>
      </c>
      <c r="S2007">
        <v>139.66</v>
      </c>
    </row>
    <row r="2008" spans="1:19" x14ac:dyDescent="0.35">
      <c r="A2008">
        <v>200746</v>
      </c>
      <c r="B2008">
        <v>2631</v>
      </c>
      <c r="C2008" t="s">
        <v>28</v>
      </c>
      <c r="D2008" t="s">
        <v>31</v>
      </c>
      <c r="E2008" t="s">
        <v>21</v>
      </c>
      <c r="F2008" t="s">
        <v>41</v>
      </c>
      <c r="G2008" s="1">
        <v>45470</v>
      </c>
      <c r="H2008" s="1">
        <v>45471</v>
      </c>
      <c r="I2008" s="1">
        <v>45496</v>
      </c>
      <c r="J2008">
        <v>26</v>
      </c>
      <c r="K2008">
        <v>1</v>
      </c>
      <c r="L2008">
        <v>11</v>
      </c>
      <c r="M2008">
        <v>655.22</v>
      </c>
      <c r="N2008">
        <v>7207.42</v>
      </c>
      <c r="O2008">
        <v>0.09</v>
      </c>
      <c r="P2008">
        <v>648.66999999999996</v>
      </c>
      <c r="Q2008">
        <v>6558.75</v>
      </c>
      <c r="R2008">
        <v>4612.75</v>
      </c>
      <c r="S2008">
        <v>1946</v>
      </c>
    </row>
    <row r="2009" spans="1:19" x14ac:dyDescent="0.35">
      <c r="A2009">
        <v>200747</v>
      </c>
      <c r="B2009">
        <v>3100</v>
      </c>
      <c r="C2009" t="s">
        <v>28</v>
      </c>
      <c r="D2009" t="s">
        <v>29</v>
      </c>
      <c r="E2009" t="s">
        <v>26</v>
      </c>
      <c r="F2009" t="s">
        <v>37</v>
      </c>
      <c r="G2009" s="1">
        <v>45591</v>
      </c>
      <c r="H2009" s="1">
        <v>45593</v>
      </c>
      <c r="I2009" s="1">
        <v>45607</v>
      </c>
      <c r="J2009">
        <v>16</v>
      </c>
      <c r="K2009">
        <v>2</v>
      </c>
      <c r="L2009">
        <v>12</v>
      </c>
      <c r="M2009">
        <v>224.72</v>
      </c>
      <c r="N2009">
        <v>2696.64</v>
      </c>
      <c r="O2009">
        <v>0.13</v>
      </c>
      <c r="P2009">
        <v>350.56</v>
      </c>
      <c r="Q2009">
        <v>2346.08</v>
      </c>
      <c r="R2009">
        <v>1375.29</v>
      </c>
      <c r="S2009">
        <v>970.79</v>
      </c>
    </row>
    <row r="2010" spans="1:19" x14ac:dyDescent="0.35">
      <c r="A2010">
        <v>200748</v>
      </c>
      <c r="B2010">
        <v>1273</v>
      </c>
      <c r="C2010" t="s">
        <v>28</v>
      </c>
      <c r="D2010" t="s">
        <v>31</v>
      </c>
      <c r="E2010" t="s">
        <v>21</v>
      </c>
      <c r="F2010" t="s">
        <v>22</v>
      </c>
      <c r="G2010" s="1">
        <v>45402</v>
      </c>
      <c r="H2010" s="1">
        <v>45407</v>
      </c>
      <c r="I2010" s="1">
        <v>45409</v>
      </c>
      <c r="J2010">
        <v>7</v>
      </c>
      <c r="K2010">
        <v>5</v>
      </c>
      <c r="L2010">
        <v>8</v>
      </c>
      <c r="M2010">
        <v>350.1</v>
      </c>
      <c r="N2010">
        <v>2800.8</v>
      </c>
      <c r="O2010">
        <v>0.05</v>
      </c>
      <c r="P2010">
        <v>140.04</v>
      </c>
      <c r="Q2010">
        <v>2660.76</v>
      </c>
      <c r="R2010">
        <v>1624.46</v>
      </c>
      <c r="S2010">
        <v>1036.3</v>
      </c>
    </row>
    <row r="2011" spans="1:19" x14ac:dyDescent="0.35">
      <c r="A2011">
        <v>200749</v>
      </c>
      <c r="B2011">
        <v>1656</v>
      </c>
      <c r="C2011" t="s">
        <v>33</v>
      </c>
      <c r="D2011" t="s">
        <v>29</v>
      </c>
      <c r="E2011" t="s">
        <v>21</v>
      </c>
      <c r="F2011" t="s">
        <v>22</v>
      </c>
      <c r="G2011" s="1">
        <v>45653</v>
      </c>
      <c r="H2011" s="1">
        <v>45657</v>
      </c>
      <c r="I2011" s="1">
        <v>45683</v>
      </c>
      <c r="J2011">
        <v>30</v>
      </c>
      <c r="K2011">
        <v>4</v>
      </c>
      <c r="L2011">
        <v>8</v>
      </c>
      <c r="M2011">
        <v>436.97</v>
      </c>
      <c r="N2011">
        <v>3495.76</v>
      </c>
      <c r="O2011">
        <v>7.0000000000000007E-2</v>
      </c>
      <c r="P2011">
        <v>244.7</v>
      </c>
      <c r="Q2011">
        <v>3251.06</v>
      </c>
      <c r="R2011">
        <v>2062.5</v>
      </c>
      <c r="S2011">
        <v>1188.56</v>
      </c>
    </row>
    <row r="2012" spans="1:19" x14ac:dyDescent="0.35">
      <c r="A2012">
        <v>200750</v>
      </c>
      <c r="B2012">
        <v>4163</v>
      </c>
      <c r="C2012" t="s">
        <v>19</v>
      </c>
      <c r="D2012" t="s">
        <v>20</v>
      </c>
      <c r="E2012" t="s">
        <v>21</v>
      </c>
      <c r="F2012" t="s">
        <v>22</v>
      </c>
      <c r="G2012" s="1">
        <v>45439</v>
      </c>
      <c r="H2012" s="1">
        <v>45442</v>
      </c>
      <c r="I2012" s="1">
        <v>45463</v>
      </c>
      <c r="J2012">
        <v>24</v>
      </c>
      <c r="K2012">
        <v>3</v>
      </c>
      <c r="L2012">
        <v>13</v>
      </c>
      <c r="M2012">
        <v>281.11</v>
      </c>
      <c r="N2012">
        <v>3654.43</v>
      </c>
      <c r="O2012">
        <v>0.16</v>
      </c>
      <c r="P2012">
        <v>584.71</v>
      </c>
      <c r="Q2012">
        <v>3069.72</v>
      </c>
      <c r="R2012">
        <v>2156.11</v>
      </c>
      <c r="S2012">
        <v>913.61</v>
      </c>
    </row>
    <row r="2013" spans="1:19" x14ac:dyDescent="0.35">
      <c r="A2013">
        <v>200751</v>
      </c>
      <c r="B2013">
        <v>4795</v>
      </c>
      <c r="C2013" t="s">
        <v>33</v>
      </c>
      <c r="D2013" t="s">
        <v>29</v>
      </c>
      <c r="E2013" t="s">
        <v>34</v>
      </c>
      <c r="F2013" t="s">
        <v>43</v>
      </c>
      <c r="G2013" s="1">
        <v>45598</v>
      </c>
      <c r="H2013" s="1">
        <v>45601</v>
      </c>
      <c r="I2013" s="1">
        <v>45607</v>
      </c>
      <c r="J2013">
        <v>9</v>
      </c>
      <c r="K2013">
        <v>3</v>
      </c>
      <c r="L2013">
        <v>14</v>
      </c>
      <c r="M2013">
        <v>134.80000000000001</v>
      </c>
      <c r="N2013">
        <v>1887.2</v>
      </c>
      <c r="O2013">
        <v>0.03</v>
      </c>
      <c r="P2013">
        <v>56.62</v>
      </c>
      <c r="Q2013">
        <v>1830.58</v>
      </c>
      <c r="R2013">
        <v>1094.58</v>
      </c>
      <c r="S2013">
        <v>736</v>
      </c>
    </row>
    <row r="2014" spans="1:19" x14ac:dyDescent="0.35">
      <c r="A2014">
        <v>200752</v>
      </c>
      <c r="B2014">
        <v>2532</v>
      </c>
      <c r="C2014" t="s">
        <v>28</v>
      </c>
      <c r="D2014" t="s">
        <v>20</v>
      </c>
      <c r="E2014" t="s">
        <v>26</v>
      </c>
      <c r="F2014" t="s">
        <v>37</v>
      </c>
      <c r="G2014" s="1">
        <v>45604</v>
      </c>
      <c r="H2014" s="1">
        <v>45608</v>
      </c>
      <c r="I2014" s="1">
        <v>45619</v>
      </c>
      <c r="J2014">
        <v>15</v>
      </c>
      <c r="K2014">
        <v>4</v>
      </c>
      <c r="L2014">
        <v>2</v>
      </c>
      <c r="M2014">
        <v>550.47</v>
      </c>
      <c r="N2014">
        <v>1100.94</v>
      </c>
      <c r="O2014">
        <v>0.1</v>
      </c>
      <c r="P2014">
        <v>110.09</v>
      </c>
      <c r="Q2014">
        <v>990.85</v>
      </c>
      <c r="R2014">
        <v>638.54999999999995</v>
      </c>
      <c r="S2014">
        <v>352.3</v>
      </c>
    </row>
    <row r="2015" spans="1:19" x14ac:dyDescent="0.35">
      <c r="A2015">
        <v>200753</v>
      </c>
      <c r="B2015">
        <v>2486</v>
      </c>
      <c r="C2015" t="s">
        <v>33</v>
      </c>
      <c r="D2015" t="s">
        <v>31</v>
      </c>
      <c r="E2015" t="s">
        <v>24</v>
      </c>
      <c r="F2015" t="s">
        <v>42</v>
      </c>
      <c r="G2015" s="1">
        <v>45654</v>
      </c>
      <c r="H2015" s="1">
        <v>45656</v>
      </c>
      <c r="I2015" s="1">
        <v>45656</v>
      </c>
      <c r="J2015">
        <v>2</v>
      </c>
      <c r="K2015">
        <v>2</v>
      </c>
      <c r="L2015">
        <v>14</v>
      </c>
      <c r="M2015">
        <v>452.56</v>
      </c>
      <c r="N2015">
        <v>6335.84</v>
      </c>
      <c r="O2015">
        <v>0.13</v>
      </c>
      <c r="P2015">
        <v>823.66</v>
      </c>
      <c r="Q2015">
        <v>5512.18</v>
      </c>
      <c r="R2015">
        <v>4498.45</v>
      </c>
      <c r="S2015">
        <v>1013.73</v>
      </c>
    </row>
    <row r="2016" spans="1:19" x14ac:dyDescent="0.35">
      <c r="A2016">
        <v>200754</v>
      </c>
      <c r="B2016">
        <v>3099</v>
      </c>
      <c r="C2016" t="s">
        <v>23</v>
      </c>
      <c r="D2016" t="s">
        <v>20</v>
      </c>
      <c r="E2016" t="s">
        <v>21</v>
      </c>
      <c r="F2016" t="s">
        <v>38</v>
      </c>
      <c r="G2016" s="1">
        <v>45485</v>
      </c>
      <c r="H2016" s="1">
        <v>45487</v>
      </c>
      <c r="I2016" s="1">
        <v>45509</v>
      </c>
      <c r="J2016">
        <v>24</v>
      </c>
      <c r="K2016">
        <v>2</v>
      </c>
      <c r="L2016">
        <v>2</v>
      </c>
      <c r="M2016">
        <v>5.49</v>
      </c>
      <c r="N2016">
        <v>10.98</v>
      </c>
      <c r="O2016">
        <v>0.12</v>
      </c>
      <c r="P2016">
        <v>1.32</v>
      </c>
      <c r="Q2016">
        <v>9.66</v>
      </c>
      <c r="R2016">
        <v>7.47</v>
      </c>
      <c r="S2016">
        <v>2.19</v>
      </c>
    </row>
    <row r="2017" spans="1:19" x14ac:dyDescent="0.35">
      <c r="A2017">
        <v>200755</v>
      </c>
      <c r="B2017">
        <v>3273</v>
      </c>
      <c r="C2017" t="s">
        <v>33</v>
      </c>
      <c r="D2017" t="s">
        <v>20</v>
      </c>
      <c r="E2017" t="s">
        <v>26</v>
      </c>
      <c r="F2017" t="s">
        <v>36</v>
      </c>
      <c r="G2017" s="1">
        <v>45292</v>
      </c>
      <c r="H2017" s="1">
        <v>45296</v>
      </c>
      <c r="I2017" s="1">
        <v>45310</v>
      </c>
      <c r="J2017">
        <v>18</v>
      </c>
      <c r="K2017">
        <v>4</v>
      </c>
      <c r="L2017">
        <v>5</v>
      </c>
      <c r="M2017">
        <v>262.08999999999997</v>
      </c>
      <c r="N2017">
        <v>1310.45</v>
      </c>
      <c r="O2017">
        <v>0.12</v>
      </c>
      <c r="P2017">
        <v>157.25</v>
      </c>
      <c r="Q2017">
        <v>1153.2</v>
      </c>
      <c r="R2017">
        <v>904.21</v>
      </c>
      <c r="S2017">
        <v>248.99</v>
      </c>
    </row>
    <row r="2018" spans="1:19" x14ac:dyDescent="0.35">
      <c r="A2018">
        <v>200756</v>
      </c>
      <c r="B2018">
        <v>3316</v>
      </c>
      <c r="C2018" t="s">
        <v>28</v>
      </c>
      <c r="D2018" t="s">
        <v>29</v>
      </c>
      <c r="E2018" t="s">
        <v>21</v>
      </c>
      <c r="F2018" t="s">
        <v>38</v>
      </c>
      <c r="G2018" s="1">
        <v>45627</v>
      </c>
      <c r="H2018" s="1">
        <v>45629</v>
      </c>
      <c r="I2018" s="1">
        <v>45656</v>
      </c>
      <c r="J2018">
        <v>29</v>
      </c>
      <c r="K2018">
        <v>2</v>
      </c>
      <c r="L2018">
        <v>5</v>
      </c>
      <c r="M2018">
        <v>28.9</v>
      </c>
      <c r="N2018">
        <v>144.5</v>
      </c>
      <c r="O2018">
        <v>0.1</v>
      </c>
      <c r="P2018">
        <v>14.45</v>
      </c>
      <c r="Q2018">
        <v>130.05000000000001</v>
      </c>
      <c r="R2018">
        <v>86.7</v>
      </c>
      <c r="S2018">
        <v>43.35</v>
      </c>
    </row>
    <row r="2019" spans="1:19" x14ac:dyDescent="0.35">
      <c r="A2019">
        <v>200757</v>
      </c>
      <c r="B2019">
        <v>4563</v>
      </c>
      <c r="C2019" t="s">
        <v>23</v>
      </c>
      <c r="D2019" t="s">
        <v>20</v>
      </c>
      <c r="E2019" t="s">
        <v>24</v>
      </c>
      <c r="F2019" t="s">
        <v>25</v>
      </c>
      <c r="G2019" s="1">
        <v>45580</v>
      </c>
      <c r="H2019" s="1">
        <v>45581</v>
      </c>
      <c r="I2019" s="1">
        <v>45587</v>
      </c>
      <c r="J2019">
        <v>7</v>
      </c>
      <c r="K2019">
        <v>1</v>
      </c>
      <c r="L2019">
        <v>13</v>
      </c>
      <c r="M2019">
        <v>135.54</v>
      </c>
      <c r="N2019">
        <v>1762.02</v>
      </c>
      <c r="O2019">
        <v>0.05</v>
      </c>
      <c r="P2019">
        <v>88.1</v>
      </c>
      <c r="Q2019">
        <v>1673.92</v>
      </c>
      <c r="R2019">
        <v>1092.45</v>
      </c>
      <c r="S2019">
        <v>581.47</v>
      </c>
    </row>
    <row r="2020" spans="1:19" x14ac:dyDescent="0.35">
      <c r="A2020">
        <v>200758</v>
      </c>
      <c r="B2020">
        <v>3346</v>
      </c>
      <c r="C2020" t="s">
        <v>33</v>
      </c>
      <c r="D2020" t="s">
        <v>20</v>
      </c>
      <c r="E2020" t="s">
        <v>26</v>
      </c>
      <c r="F2020" t="s">
        <v>44</v>
      </c>
      <c r="G2020" s="1">
        <v>45524</v>
      </c>
      <c r="H2020" s="1">
        <v>45528</v>
      </c>
      <c r="I2020" s="1">
        <v>45531</v>
      </c>
      <c r="J2020">
        <v>7</v>
      </c>
      <c r="K2020">
        <v>4</v>
      </c>
      <c r="L2020">
        <v>7</v>
      </c>
      <c r="M2020">
        <v>788.81</v>
      </c>
      <c r="N2020">
        <v>5521.67</v>
      </c>
      <c r="O2020">
        <v>0.16</v>
      </c>
      <c r="P2020">
        <v>883.47</v>
      </c>
      <c r="Q2020">
        <v>4638.2</v>
      </c>
      <c r="R2020">
        <v>3533.87</v>
      </c>
      <c r="S2020">
        <v>1104.33</v>
      </c>
    </row>
    <row r="2021" spans="1:19" x14ac:dyDescent="0.35">
      <c r="A2021">
        <v>200759</v>
      </c>
      <c r="B2021">
        <v>1483</v>
      </c>
      <c r="C2021" t="s">
        <v>33</v>
      </c>
      <c r="D2021" t="s">
        <v>20</v>
      </c>
      <c r="E2021" t="s">
        <v>21</v>
      </c>
      <c r="F2021" t="s">
        <v>22</v>
      </c>
      <c r="G2021" s="1">
        <v>45480</v>
      </c>
      <c r="H2021" s="1">
        <v>45483</v>
      </c>
      <c r="I2021" s="1">
        <v>45506</v>
      </c>
      <c r="J2021">
        <v>26</v>
      </c>
      <c r="K2021">
        <v>3</v>
      </c>
      <c r="L2021">
        <v>11</v>
      </c>
      <c r="M2021">
        <v>335.45</v>
      </c>
      <c r="N2021">
        <v>3689.95</v>
      </c>
      <c r="O2021">
        <v>0.11</v>
      </c>
      <c r="P2021">
        <v>405.89</v>
      </c>
      <c r="Q2021">
        <v>3284.06</v>
      </c>
      <c r="R2021">
        <v>2546.0700000000002</v>
      </c>
      <c r="S2021">
        <v>737.99</v>
      </c>
    </row>
    <row r="2022" spans="1:19" x14ac:dyDescent="0.35">
      <c r="A2022">
        <v>200760</v>
      </c>
      <c r="B2022">
        <v>1720</v>
      </c>
      <c r="C2022" t="s">
        <v>28</v>
      </c>
      <c r="D2022" t="s">
        <v>31</v>
      </c>
      <c r="E2022" t="s">
        <v>26</v>
      </c>
      <c r="F2022" t="s">
        <v>37</v>
      </c>
      <c r="G2022" s="1">
        <v>45393</v>
      </c>
      <c r="H2022" s="1">
        <v>45394</v>
      </c>
      <c r="I2022" s="1">
        <v>45398</v>
      </c>
      <c r="J2022">
        <v>5</v>
      </c>
      <c r="K2022">
        <v>1</v>
      </c>
      <c r="L2022">
        <v>8</v>
      </c>
      <c r="M2022">
        <v>765.05</v>
      </c>
      <c r="N2022">
        <v>6120.4</v>
      </c>
      <c r="O2022">
        <v>0.16</v>
      </c>
      <c r="P2022">
        <v>979.26</v>
      </c>
      <c r="Q2022">
        <v>5141.1400000000003</v>
      </c>
      <c r="R2022">
        <v>4161.87</v>
      </c>
      <c r="S2022">
        <v>979.27</v>
      </c>
    </row>
    <row r="2023" spans="1:19" x14ac:dyDescent="0.35">
      <c r="A2023">
        <v>200761</v>
      </c>
      <c r="B2023">
        <v>1308</v>
      </c>
      <c r="C2023" t="s">
        <v>23</v>
      </c>
      <c r="D2023" t="s">
        <v>20</v>
      </c>
      <c r="E2023" t="s">
        <v>21</v>
      </c>
      <c r="F2023" t="s">
        <v>22</v>
      </c>
      <c r="G2023" s="1">
        <v>45308</v>
      </c>
      <c r="H2023" s="1">
        <v>45312</v>
      </c>
      <c r="I2023" s="1">
        <v>45333</v>
      </c>
      <c r="J2023">
        <v>25</v>
      </c>
      <c r="K2023">
        <v>4</v>
      </c>
      <c r="L2023">
        <v>9</v>
      </c>
      <c r="M2023">
        <v>118.56</v>
      </c>
      <c r="N2023">
        <v>1067.04</v>
      </c>
      <c r="O2023">
        <v>0.08</v>
      </c>
      <c r="P2023">
        <v>85.36</v>
      </c>
      <c r="Q2023">
        <v>981.68</v>
      </c>
      <c r="R2023">
        <v>672.24</v>
      </c>
      <c r="S2023">
        <v>309.44</v>
      </c>
    </row>
    <row r="2024" spans="1:19" x14ac:dyDescent="0.35">
      <c r="A2024">
        <v>200762</v>
      </c>
      <c r="B2024">
        <v>4582</v>
      </c>
      <c r="C2024" t="s">
        <v>33</v>
      </c>
      <c r="D2024" t="s">
        <v>20</v>
      </c>
      <c r="E2024" t="s">
        <v>24</v>
      </c>
      <c r="F2024" t="s">
        <v>25</v>
      </c>
      <c r="G2024" s="1">
        <v>45607</v>
      </c>
      <c r="H2024" s="1">
        <v>45612</v>
      </c>
      <c r="I2024" s="1">
        <v>45623</v>
      </c>
      <c r="J2024">
        <v>16</v>
      </c>
      <c r="K2024">
        <v>5</v>
      </c>
      <c r="L2024">
        <v>10</v>
      </c>
      <c r="M2024">
        <v>8.48</v>
      </c>
      <c r="N2024">
        <v>84.8</v>
      </c>
      <c r="O2024">
        <v>0.03</v>
      </c>
      <c r="P2024">
        <v>2.54</v>
      </c>
      <c r="Q2024">
        <v>82.26</v>
      </c>
      <c r="R2024">
        <v>58.51</v>
      </c>
      <c r="S2024">
        <v>23.75</v>
      </c>
    </row>
    <row r="2025" spans="1:19" x14ac:dyDescent="0.35">
      <c r="A2025">
        <v>200763</v>
      </c>
      <c r="B2025">
        <v>4515</v>
      </c>
      <c r="C2025" t="s">
        <v>28</v>
      </c>
      <c r="D2025" t="s">
        <v>20</v>
      </c>
      <c r="E2025" t="s">
        <v>26</v>
      </c>
      <c r="F2025" t="s">
        <v>27</v>
      </c>
      <c r="G2025" s="1">
        <v>45514</v>
      </c>
      <c r="H2025" s="1">
        <v>45516</v>
      </c>
      <c r="I2025" s="1">
        <v>45532</v>
      </c>
      <c r="J2025">
        <v>18</v>
      </c>
      <c r="K2025">
        <v>2</v>
      </c>
      <c r="L2025">
        <v>2</v>
      </c>
      <c r="M2025">
        <v>467.68</v>
      </c>
      <c r="N2025">
        <v>935.36</v>
      </c>
      <c r="O2025">
        <v>0.09</v>
      </c>
      <c r="P2025">
        <v>84.18</v>
      </c>
      <c r="Q2025">
        <v>851.18</v>
      </c>
      <c r="R2025">
        <v>579.91999999999996</v>
      </c>
      <c r="S2025">
        <v>271.26</v>
      </c>
    </row>
    <row r="2026" spans="1:19" x14ac:dyDescent="0.35">
      <c r="A2026">
        <v>200764</v>
      </c>
      <c r="B2026">
        <v>4367</v>
      </c>
      <c r="C2026" t="s">
        <v>28</v>
      </c>
      <c r="D2026" t="s">
        <v>31</v>
      </c>
      <c r="E2026" t="s">
        <v>24</v>
      </c>
      <c r="F2026" t="s">
        <v>42</v>
      </c>
      <c r="G2026" s="1">
        <v>45508</v>
      </c>
      <c r="H2026" s="1">
        <v>45512</v>
      </c>
      <c r="I2026" s="1">
        <v>45526</v>
      </c>
      <c r="J2026">
        <v>18</v>
      </c>
      <c r="K2026">
        <v>4</v>
      </c>
      <c r="L2026">
        <v>4</v>
      </c>
      <c r="M2026">
        <v>204.2</v>
      </c>
      <c r="N2026">
        <v>816.8</v>
      </c>
      <c r="O2026">
        <v>0.09</v>
      </c>
      <c r="P2026">
        <v>73.510000000000005</v>
      </c>
      <c r="Q2026">
        <v>743.29</v>
      </c>
      <c r="R2026">
        <v>530.91999999999996</v>
      </c>
      <c r="S2026">
        <v>212.37</v>
      </c>
    </row>
    <row r="2027" spans="1:19" x14ac:dyDescent="0.35">
      <c r="A2027">
        <v>200765</v>
      </c>
      <c r="B2027">
        <v>2319</v>
      </c>
      <c r="C2027" t="s">
        <v>19</v>
      </c>
      <c r="D2027" t="s">
        <v>20</v>
      </c>
      <c r="E2027" t="s">
        <v>24</v>
      </c>
      <c r="F2027" t="s">
        <v>25</v>
      </c>
      <c r="G2027" s="1">
        <v>45541</v>
      </c>
      <c r="H2027" s="1">
        <v>45545</v>
      </c>
      <c r="I2027" s="1">
        <v>45563</v>
      </c>
      <c r="J2027">
        <v>22</v>
      </c>
      <c r="K2027">
        <v>4</v>
      </c>
      <c r="L2027">
        <v>9</v>
      </c>
      <c r="M2027">
        <v>669.7</v>
      </c>
      <c r="N2027">
        <v>6027.3</v>
      </c>
      <c r="O2027">
        <v>0.09</v>
      </c>
      <c r="P2027">
        <v>542.46</v>
      </c>
      <c r="Q2027">
        <v>5484.84</v>
      </c>
      <c r="R2027">
        <v>3917.75</v>
      </c>
      <c r="S2027">
        <v>1567.09</v>
      </c>
    </row>
    <row r="2028" spans="1:19" x14ac:dyDescent="0.35">
      <c r="A2028">
        <v>200766</v>
      </c>
      <c r="B2028">
        <v>4847</v>
      </c>
      <c r="C2028" t="s">
        <v>28</v>
      </c>
      <c r="D2028" t="s">
        <v>31</v>
      </c>
      <c r="E2028" t="s">
        <v>24</v>
      </c>
      <c r="F2028" t="s">
        <v>32</v>
      </c>
      <c r="G2028" s="1">
        <v>45509</v>
      </c>
      <c r="H2028" s="1">
        <v>45510</v>
      </c>
      <c r="I2028" s="1">
        <v>45516</v>
      </c>
      <c r="J2028">
        <v>7</v>
      </c>
      <c r="K2028">
        <v>1</v>
      </c>
      <c r="L2028">
        <v>8</v>
      </c>
      <c r="M2028">
        <v>641.04999999999995</v>
      </c>
      <c r="N2028">
        <v>5128.3999999999996</v>
      </c>
      <c r="O2028">
        <v>0.1</v>
      </c>
      <c r="P2028">
        <v>512.84</v>
      </c>
      <c r="Q2028">
        <v>4615.5600000000004</v>
      </c>
      <c r="R2028">
        <v>2974.47</v>
      </c>
      <c r="S2028">
        <v>1641.09</v>
      </c>
    </row>
    <row r="2029" spans="1:19" x14ac:dyDescent="0.35">
      <c r="A2029">
        <v>200767</v>
      </c>
      <c r="B2029">
        <v>2414</v>
      </c>
      <c r="C2029" t="s">
        <v>23</v>
      </c>
      <c r="D2029" t="s">
        <v>20</v>
      </c>
      <c r="E2029" t="s">
        <v>24</v>
      </c>
      <c r="F2029" t="s">
        <v>30</v>
      </c>
      <c r="G2029" s="1">
        <v>45645</v>
      </c>
      <c r="H2029" s="1">
        <v>45646</v>
      </c>
      <c r="I2029" s="1">
        <v>45650</v>
      </c>
      <c r="J2029">
        <v>5</v>
      </c>
      <c r="K2029">
        <v>1</v>
      </c>
      <c r="L2029">
        <v>2</v>
      </c>
      <c r="M2029">
        <v>176.21</v>
      </c>
      <c r="N2029">
        <v>352.42</v>
      </c>
      <c r="O2029">
        <v>0.14000000000000001</v>
      </c>
      <c r="P2029">
        <v>49.34</v>
      </c>
      <c r="Q2029">
        <v>303.08</v>
      </c>
      <c r="R2029">
        <v>207.93</v>
      </c>
      <c r="S2029">
        <v>95.15</v>
      </c>
    </row>
    <row r="2030" spans="1:19" x14ac:dyDescent="0.35">
      <c r="A2030">
        <v>200768</v>
      </c>
      <c r="B2030">
        <v>3642</v>
      </c>
      <c r="C2030" t="s">
        <v>23</v>
      </c>
      <c r="D2030" t="s">
        <v>20</v>
      </c>
      <c r="E2030" t="s">
        <v>24</v>
      </c>
      <c r="F2030" t="s">
        <v>42</v>
      </c>
      <c r="G2030" s="1">
        <v>45476</v>
      </c>
      <c r="H2030" s="1">
        <v>45479</v>
      </c>
      <c r="I2030" s="1">
        <v>45483</v>
      </c>
      <c r="J2030">
        <v>7</v>
      </c>
      <c r="K2030">
        <v>3</v>
      </c>
      <c r="L2030">
        <v>5</v>
      </c>
      <c r="M2030">
        <v>35.119999999999997</v>
      </c>
      <c r="N2030">
        <v>175.6</v>
      </c>
      <c r="O2030">
        <v>0.02</v>
      </c>
      <c r="P2030">
        <v>3.51</v>
      </c>
      <c r="Q2030">
        <v>172.09</v>
      </c>
      <c r="R2030">
        <v>110.63</v>
      </c>
      <c r="S2030">
        <v>61.46</v>
      </c>
    </row>
    <row r="2031" spans="1:19" x14ac:dyDescent="0.35">
      <c r="A2031">
        <v>200769</v>
      </c>
      <c r="B2031">
        <v>2066</v>
      </c>
      <c r="C2031" t="s">
        <v>28</v>
      </c>
      <c r="D2031" t="s">
        <v>31</v>
      </c>
      <c r="E2031" t="s">
        <v>21</v>
      </c>
      <c r="F2031" t="s">
        <v>22</v>
      </c>
      <c r="G2031" s="1">
        <v>45422</v>
      </c>
      <c r="H2031" s="1">
        <v>45423</v>
      </c>
      <c r="I2031" s="1">
        <v>45435</v>
      </c>
      <c r="J2031">
        <v>13</v>
      </c>
      <c r="K2031">
        <v>1</v>
      </c>
      <c r="L2031">
        <v>6</v>
      </c>
      <c r="M2031">
        <v>232.13</v>
      </c>
      <c r="N2031">
        <v>1392.78</v>
      </c>
      <c r="O2031">
        <v>0.13</v>
      </c>
      <c r="P2031">
        <v>181.06</v>
      </c>
      <c r="Q2031">
        <v>1211.72</v>
      </c>
      <c r="R2031">
        <v>1044.58</v>
      </c>
      <c r="S2031">
        <v>167.14</v>
      </c>
    </row>
    <row r="2032" spans="1:19" x14ac:dyDescent="0.35">
      <c r="A2032">
        <v>200770</v>
      </c>
      <c r="B2032">
        <v>1468</v>
      </c>
      <c r="C2032" t="s">
        <v>19</v>
      </c>
      <c r="D2032" t="s">
        <v>31</v>
      </c>
      <c r="E2032" t="s">
        <v>21</v>
      </c>
      <c r="F2032" t="s">
        <v>38</v>
      </c>
      <c r="G2032" s="1">
        <v>45321</v>
      </c>
      <c r="H2032" s="1">
        <v>45323</v>
      </c>
      <c r="I2032" s="1">
        <v>45339</v>
      </c>
      <c r="J2032">
        <v>18</v>
      </c>
      <c r="K2032">
        <v>2</v>
      </c>
      <c r="L2032">
        <v>6</v>
      </c>
      <c r="M2032">
        <v>310.36</v>
      </c>
      <c r="N2032">
        <v>1862.16</v>
      </c>
      <c r="O2032">
        <v>0.08</v>
      </c>
      <c r="P2032">
        <v>148.97</v>
      </c>
      <c r="Q2032">
        <v>1713.19</v>
      </c>
      <c r="R2032">
        <v>1303.51</v>
      </c>
      <c r="S2032">
        <v>409.68</v>
      </c>
    </row>
    <row r="2033" spans="1:19" x14ac:dyDescent="0.35">
      <c r="A2033">
        <v>200771</v>
      </c>
      <c r="B2033">
        <v>1019</v>
      </c>
      <c r="C2033" t="s">
        <v>33</v>
      </c>
      <c r="D2033" t="s">
        <v>20</v>
      </c>
      <c r="E2033" t="s">
        <v>21</v>
      </c>
      <c r="F2033" t="s">
        <v>38</v>
      </c>
      <c r="G2033" s="1">
        <v>45342</v>
      </c>
      <c r="H2033" s="1">
        <v>45343</v>
      </c>
      <c r="I2033" s="1">
        <v>45371</v>
      </c>
      <c r="J2033">
        <v>29</v>
      </c>
      <c r="K2033">
        <v>1</v>
      </c>
      <c r="L2033">
        <v>10</v>
      </c>
      <c r="M2033">
        <v>684.67</v>
      </c>
      <c r="N2033">
        <v>6846.7</v>
      </c>
      <c r="O2033">
        <v>0.14000000000000001</v>
      </c>
      <c r="P2033">
        <v>958.54</v>
      </c>
      <c r="Q2033">
        <v>5888.16</v>
      </c>
      <c r="R2033">
        <v>4587.29</v>
      </c>
      <c r="S2033">
        <v>1300.8699999999999</v>
      </c>
    </row>
    <row r="2034" spans="1:19" x14ac:dyDescent="0.35">
      <c r="A2034">
        <v>200772</v>
      </c>
      <c r="B2034">
        <v>1098</v>
      </c>
      <c r="C2034" t="s">
        <v>33</v>
      </c>
      <c r="D2034" t="s">
        <v>29</v>
      </c>
      <c r="E2034" t="s">
        <v>24</v>
      </c>
      <c r="F2034" t="s">
        <v>32</v>
      </c>
      <c r="G2034" s="1">
        <v>45533</v>
      </c>
      <c r="H2034" s="1">
        <v>45537</v>
      </c>
      <c r="I2034" s="1">
        <v>45545</v>
      </c>
      <c r="J2034">
        <v>12</v>
      </c>
      <c r="K2034">
        <v>4</v>
      </c>
      <c r="L2034">
        <v>8</v>
      </c>
      <c r="M2034">
        <v>485.31</v>
      </c>
      <c r="N2034">
        <v>3882.48</v>
      </c>
      <c r="O2034">
        <v>0.12</v>
      </c>
      <c r="P2034">
        <v>465.9</v>
      </c>
      <c r="Q2034">
        <v>3416.58</v>
      </c>
      <c r="R2034">
        <v>2717.74</v>
      </c>
      <c r="S2034">
        <v>698.84</v>
      </c>
    </row>
    <row r="2035" spans="1:19" x14ac:dyDescent="0.35">
      <c r="A2035">
        <v>200773</v>
      </c>
      <c r="B2035">
        <v>1200</v>
      </c>
      <c r="C2035" t="s">
        <v>19</v>
      </c>
      <c r="D2035" t="s">
        <v>31</v>
      </c>
      <c r="E2035" t="s">
        <v>24</v>
      </c>
      <c r="F2035" t="s">
        <v>25</v>
      </c>
      <c r="G2035" s="1">
        <v>45574</v>
      </c>
      <c r="H2035" s="1">
        <v>45576</v>
      </c>
      <c r="I2035" s="1">
        <v>45587</v>
      </c>
      <c r="J2035">
        <v>13</v>
      </c>
      <c r="K2035">
        <v>2</v>
      </c>
      <c r="L2035">
        <v>5</v>
      </c>
      <c r="M2035">
        <v>782.09</v>
      </c>
      <c r="N2035">
        <v>3910.45</v>
      </c>
      <c r="O2035">
        <v>0.16</v>
      </c>
      <c r="P2035">
        <v>625.66999999999996</v>
      </c>
      <c r="Q2035">
        <v>3284.78</v>
      </c>
      <c r="R2035">
        <v>2502.69</v>
      </c>
      <c r="S2035">
        <v>782.09</v>
      </c>
    </row>
    <row r="2036" spans="1:19" x14ac:dyDescent="0.35">
      <c r="A2036">
        <v>200774</v>
      </c>
      <c r="B2036">
        <v>2381</v>
      </c>
      <c r="C2036" t="s">
        <v>33</v>
      </c>
      <c r="D2036" t="s">
        <v>31</v>
      </c>
      <c r="E2036" t="s">
        <v>21</v>
      </c>
      <c r="F2036" t="s">
        <v>41</v>
      </c>
      <c r="G2036" s="1">
        <v>45447</v>
      </c>
      <c r="H2036" s="1">
        <v>45449</v>
      </c>
      <c r="I2036" s="1">
        <v>45467</v>
      </c>
      <c r="J2036">
        <v>20</v>
      </c>
      <c r="K2036">
        <v>2</v>
      </c>
      <c r="L2036">
        <v>10</v>
      </c>
      <c r="M2036">
        <v>754.88</v>
      </c>
      <c r="N2036">
        <v>7548.8</v>
      </c>
      <c r="O2036">
        <v>0.16</v>
      </c>
      <c r="P2036">
        <v>1207.81</v>
      </c>
      <c r="Q2036">
        <v>6340.99</v>
      </c>
      <c r="R2036">
        <v>5359.65</v>
      </c>
      <c r="S2036">
        <v>981.34</v>
      </c>
    </row>
    <row r="2037" spans="1:19" x14ac:dyDescent="0.35">
      <c r="A2037">
        <v>200775</v>
      </c>
      <c r="B2037">
        <v>3056</v>
      </c>
      <c r="C2037" t="s">
        <v>28</v>
      </c>
      <c r="D2037" t="s">
        <v>31</v>
      </c>
      <c r="E2037" t="s">
        <v>34</v>
      </c>
      <c r="F2037" t="s">
        <v>40</v>
      </c>
      <c r="G2037" s="1">
        <v>45390</v>
      </c>
      <c r="H2037" s="1">
        <v>45394</v>
      </c>
      <c r="I2037" s="1">
        <v>45410</v>
      </c>
      <c r="J2037">
        <v>20</v>
      </c>
      <c r="K2037">
        <v>4</v>
      </c>
      <c r="L2037">
        <v>5</v>
      </c>
      <c r="M2037">
        <v>67.91</v>
      </c>
      <c r="N2037">
        <v>339.55</v>
      </c>
      <c r="O2037">
        <v>7.0000000000000007E-2</v>
      </c>
      <c r="P2037">
        <v>23.77</v>
      </c>
      <c r="Q2037">
        <v>315.77999999999997</v>
      </c>
      <c r="R2037">
        <v>207.13</v>
      </c>
      <c r="S2037">
        <v>108.65</v>
      </c>
    </row>
    <row r="2038" spans="1:19" x14ac:dyDescent="0.35">
      <c r="A2038">
        <v>200776</v>
      </c>
      <c r="B2038">
        <v>2761</v>
      </c>
      <c r="C2038" t="s">
        <v>28</v>
      </c>
      <c r="D2038" t="s">
        <v>29</v>
      </c>
      <c r="E2038" t="s">
        <v>21</v>
      </c>
      <c r="F2038" t="s">
        <v>22</v>
      </c>
      <c r="G2038" s="1">
        <v>45547</v>
      </c>
      <c r="H2038" s="1">
        <v>45549</v>
      </c>
      <c r="I2038" s="1">
        <v>45570</v>
      </c>
      <c r="J2038">
        <v>23</v>
      </c>
      <c r="K2038">
        <v>2</v>
      </c>
      <c r="L2038">
        <v>11</v>
      </c>
      <c r="M2038">
        <v>77.19</v>
      </c>
      <c r="N2038">
        <v>849.09</v>
      </c>
      <c r="O2038">
        <v>0.06</v>
      </c>
      <c r="P2038">
        <v>50.95</v>
      </c>
      <c r="Q2038">
        <v>798.14</v>
      </c>
      <c r="R2038">
        <v>526.44000000000005</v>
      </c>
      <c r="S2038">
        <v>271.7</v>
      </c>
    </row>
    <row r="2039" spans="1:19" x14ac:dyDescent="0.35">
      <c r="A2039">
        <v>200777</v>
      </c>
      <c r="B2039">
        <v>3682</v>
      </c>
      <c r="C2039" t="s">
        <v>23</v>
      </c>
      <c r="D2039" t="s">
        <v>31</v>
      </c>
      <c r="E2039" t="s">
        <v>21</v>
      </c>
      <c r="F2039" t="s">
        <v>22</v>
      </c>
      <c r="G2039" s="1">
        <v>45333</v>
      </c>
      <c r="H2039" s="1">
        <v>45337</v>
      </c>
      <c r="I2039" s="1">
        <v>45345</v>
      </c>
      <c r="J2039">
        <v>12</v>
      </c>
      <c r="K2039">
        <v>4</v>
      </c>
      <c r="L2039">
        <v>12</v>
      </c>
      <c r="M2039">
        <v>397.62</v>
      </c>
      <c r="N2039">
        <v>4771.4399999999996</v>
      </c>
      <c r="O2039">
        <v>0.11</v>
      </c>
      <c r="P2039">
        <v>524.86</v>
      </c>
      <c r="Q2039">
        <v>4246.58</v>
      </c>
      <c r="R2039">
        <v>2624.29</v>
      </c>
      <c r="S2039">
        <v>1622.29</v>
      </c>
    </row>
    <row r="2040" spans="1:19" x14ac:dyDescent="0.35">
      <c r="A2040">
        <v>200778</v>
      </c>
      <c r="B2040">
        <v>1157</v>
      </c>
      <c r="C2040" t="s">
        <v>28</v>
      </c>
      <c r="D2040" t="s">
        <v>20</v>
      </c>
      <c r="E2040" t="s">
        <v>21</v>
      </c>
      <c r="F2040" t="s">
        <v>39</v>
      </c>
      <c r="G2040" s="1">
        <v>45409</v>
      </c>
      <c r="H2040" s="1">
        <v>45413</v>
      </c>
      <c r="I2040" s="1">
        <v>45436</v>
      </c>
      <c r="J2040">
        <v>27</v>
      </c>
      <c r="K2040">
        <v>4</v>
      </c>
      <c r="L2040">
        <v>13</v>
      </c>
      <c r="M2040">
        <v>410.19</v>
      </c>
      <c r="N2040">
        <v>5332.47</v>
      </c>
      <c r="O2040">
        <v>0.09</v>
      </c>
      <c r="P2040">
        <v>479.92</v>
      </c>
      <c r="Q2040">
        <v>4852.55</v>
      </c>
      <c r="R2040">
        <v>3092.83</v>
      </c>
      <c r="S2040">
        <v>1759.72</v>
      </c>
    </row>
    <row r="2041" spans="1:19" x14ac:dyDescent="0.35">
      <c r="A2041">
        <v>200779</v>
      </c>
      <c r="B2041">
        <v>1136</v>
      </c>
      <c r="C2041" t="s">
        <v>33</v>
      </c>
      <c r="D2041" t="s">
        <v>20</v>
      </c>
      <c r="E2041" t="s">
        <v>21</v>
      </c>
      <c r="F2041" t="s">
        <v>22</v>
      </c>
      <c r="G2041" s="1">
        <v>45588</v>
      </c>
      <c r="H2041" s="1">
        <v>45589</v>
      </c>
      <c r="I2041" s="1">
        <v>45614</v>
      </c>
      <c r="J2041">
        <v>26</v>
      </c>
      <c r="K2041">
        <v>1</v>
      </c>
      <c r="L2041">
        <v>5</v>
      </c>
      <c r="M2041">
        <v>669.26</v>
      </c>
      <c r="N2041">
        <v>3346.3</v>
      </c>
      <c r="O2041">
        <v>0.15</v>
      </c>
      <c r="P2041">
        <v>501.94</v>
      </c>
      <c r="Q2041">
        <v>2844.36</v>
      </c>
      <c r="R2041">
        <v>2275.48</v>
      </c>
      <c r="S2041">
        <v>568.88</v>
      </c>
    </row>
    <row r="2042" spans="1:19" x14ac:dyDescent="0.35">
      <c r="A2042">
        <v>200780</v>
      </c>
      <c r="B2042">
        <v>2819</v>
      </c>
      <c r="C2042" t="s">
        <v>33</v>
      </c>
      <c r="D2042" t="s">
        <v>20</v>
      </c>
      <c r="E2042" t="s">
        <v>34</v>
      </c>
      <c r="F2042" t="s">
        <v>45</v>
      </c>
      <c r="G2042" s="1">
        <v>45510</v>
      </c>
      <c r="H2042" s="1">
        <v>45513</v>
      </c>
      <c r="I2042" s="1">
        <v>45526</v>
      </c>
      <c r="J2042">
        <v>16</v>
      </c>
      <c r="K2042">
        <v>3</v>
      </c>
      <c r="L2042">
        <v>12</v>
      </c>
      <c r="M2042">
        <v>254.62</v>
      </c>
      <c r="N2042">
        <v>3055.44</v>
      </c>
      <c r="O2042">
        <v>0.11</v>
      </c>
      <c r="P2042">
        <v>336.1</v>
      </c>
      <c r="Q2042">
        <v>2719.34</v>
      </c>
      <c r="R2042">
        <v>2016.59</v>
      </c>
      <c r="S2042">
        <v>702.75</v>
      </c>
    </row>
    <row r="2043" spans="1:19" x14ac:dyDescent="0.35">
      <c r="A2043">
        <v>200781</v>
      </c>
      <c r="B2043">
        <v>3071</v>
      </c>
      <c r="C2043" t="s">
        <v>23</v>
      </c>
      <c r="D2043" t="s">
        <v>20</v>
      </c>
      <c r="E2043" t="s">
        <v>26</v>
      </c>
      <c r="F2043" t="s">
        <v>44</v>
      </c>
      <c r="G2043" s="1">
        <v>45449</v>
      </c>
      <c r="H2043" s="1">
        <v>45453</v>
      </c>
      <c r="I2043" s="1">
        <v>45454</v>
      </c>
      <c r="J2043">
        <v>5</v>
      </c>
      <c r="K2043">
        <v>4</v>
      </c>
      <c r="L2043">
        <v>7</v>
      </c>
      <c r="M2043">
        <v>650.98</v>
      </c>
      <c r="N2043">
        <v>4556.8599999999997</v>
      </c>
      <c r="O2043">
        <v>0.05</v>
      </c>
      <c r="P2043">
        <v>227.84</v>
      </c>
      <c r="Q2043">
        <v>4329.0200000000004</v>
      </c>
      <c r="R2043">
        <v>3144.23</v>
      </c>
      <c r="S2043">
        <v>1184.79</v>
      </c>
    </row>
    <row r="2044" spans="1:19" x14ac:dyDescent="0.35">
      <c r="A2044">
        <v>200782</v>
      </c>
      <c r="B2044">
        <v>2912</v>
      </c>
      <c r="C2044" t="s">
        <v>19</v>
      </c>
      <c r="D2044" t="s">
        <v>29</v>
      </c>
      <c r="E2044" t="s">
        <v>21</v>
      </c>
      <c r="F2044" t="s">
        <v>39</v>
      </c>
      <c r="G2044" s="1">
        <v>45472</v>
      </c>
      <c r="H2044" s="1">
        <v>45473</v>
      </c>
      <c r="I2044" s="1">
        <v>45489</v>
      </c>
      <c r="J2044">
        <v>17</v>
      </c>
      <c r="K2044">
        <v>1</v>
      </c>
      <c r="L2044">
        <v>7</v>
      </c>
      <c r="M2044">
        <v>24.84</v>
      </c>
      <c r="N2044">
        <v>173.88</v>
      </c>
      <c r="O2044">
        <v>0.1</v>
      </c>
      <c r="P2044">
        <v>17.39</v>
      </c>
      <c r="Q2044">
        <v>156.49</v>
      </c>
      <c r="R2044">
        <v>102.59</v>
      </c>
      <c r="S2044">
        <v>53.9</v>
      </c>
    </row>
    <row r="2045" spans="1:19" x14ac:dyDescent="0.35">
      <c r="A2045">
        <v>200783</v>
      </c>
      <c r="B2045">
        <v>4549</v>
      </c>
      <c r="C2045" t="s">
        <v>33</v>
      </c>
      <c r="D2045" t="s">
        <v>29</v>
      </c>
      <c r="E2045" t="s">
        <v>34</v>
      </c>
      <c r="F2045" t="s">
        <v>40</v>
      </c>
      <c r="G2045" s="1">
        <v>45422</v>
      </c>
      <c r="H2045" s="1">
        <v>45427</v>
      </c>
      <c r="I2045" s="1">
        <v>45447</v>
      </c>
      <c r="J2045">
        <v>25</v>
      </c>
      <c r="K2045">
        <v>5</v>
      </c>
      <c r="L2045">
        <v>12</v>
      </c>
      <c r="M2045">
        <v>756.01</v>
      </c>
      <c r="N2045">
        <v>9072.1200000000008</v>
      </c>
      <c r="O2045">
        <v>0.08</v>
      </c>
      <c r="P2045">
        <v>725.77</v>
      </c>
      <c r="Q2045">
        <v>8346.35</v>
      </c>
      <c r="R2045">
        <v>6804.09</v>
      </c>
      <c r="S2045">
        <v>1542.26</v>
      </c>
    </row>
    <row r="2046" spans="1:19" x14ac:dyDescent="0.35">
      <c r="A2046">
        <v>200784</v>
      </c>
      <c r="B2046">
        <v>1663</v>
      </c>
      <c r="C2046" t="s">
        <v>19</v>
      </c>
      <c r="D2046" t="s">
        <v>31</v>
      </c>
      <c r="E2046" t="s">
        <v>34</v>
      </c>
      <c r="F2046" t="s">
        <v>45</v>
      </c>
      <c r="G2046" s="1">
        <v>45486</v>
      </c>
      <c r="H2046" s="1">
        <v>45489</v>
      </c>
      <c r="I2046" s="1">
        <v>45498</v>
      </c>
      <c r="J2046">
        <v>12</v>
      </c>
      <c r="K2046">
        <v>3</v>
      </c>
      <c r="L2046">
        <v>11</v>
      </c>
      <c r="M2046">
        <v>776.75</v>
      </c>
      <c r="N2046">
        <v>8544.25</v>
      </c>
      <c r="O2046">
        <v>0.05</v>
      </c>
      <c r="P2046">
        <v>427.21</v>
      </c>
      <c r="Q2046">
        <v>8117.04</v>
      </c>
      <c r="R2046">
        <v>5724.65</v>
      </c>
      <c r="S2046">
        <v>2392.39</v>
      </c>
    </row>
    <row r="2047" spans="1:19" x14ac:dyDescent="0.35">
      <c r="A2047">
        <v>200785</v>
      </c>
      <c r="B2047">
        <v>1786</v>
      </c>
      <c r="C2047" t="s">
        <v>28</v>
      </c>
      <c r="D2047" t="s">
        <v>20</v>
      </c>
      <c r="E2047" t="s">
        <v>26</v>
      </c>
      <c r="F2047" t="s">
        <v>44</v>
      </c>
      <c r="G2047" s="1">
        <v>45407</v>
      </c>
      <c r="H2047" s="1">
        <v>45408</v>
      </c>
      <c r="I2047" s="1">
        <v>45428</v>
      </c>
      <c r="J2047">
        <v>21</v>
      </c>
      <c r="K2047">
        <v>1</v>
      </c>
      <c r="L2047">
        <v>8</v>
      </c>
      <c r="M2047">
        <v>656.31</v>
      </c>
      <c r="N2047">
        <v>5250.48</v>
      </c>
      <c r="O2047">
        <v>0.02</v>
      </c>
      <c r="P2047">
        <v>105.01</v>
      </c>
      <c r="Q2047">
        <v>5145.47</v>
      </c>
      <c r="R2047">
        <v>3412.81</v>
      </c>
      <c r="S2047">
        <v>1732.66</v>
      </c>
    </row>
    <row r="2048" spans="1:19" x14ac:dyDescent="0.35">
      <c r="A2048">
        <v>200786</v>
      </c>
      <c r="B2048">
        <v>1380</v>
      </c>
      <c r="C2048" t="s">
        <v>28</v>
      </c>
      <c r="D2048" t="s">
        <v>29</v>
      </c>
      <c r="E2048" t="s">
        <v>21</v>
      </c>
      <c r="F2048" t="s">
        <v>38</v>
      </c>
      <c r="G2048" s="1">
        <v>45595</v>
      </c>
      <c r="H2048" s="1">
        <v>45599</v>
      </c>
      <c r="I2048" s="1">
        <v>45616</v>
      </c>
      <c r="J2048">
        <v>21</v>
      </c>
      <c r="K2048">
        <v>4</v>
      </c>
      <c r="L2048">
        <v>1</v>
      </c>
      <c r="M2048">
        <v>535.41</v>
      </c>
      <c r="N2048">
        <v>535.41</v>
      </c>
      <c r="O2048">
        <v>0.03</v>
      </c>
      <c r="P2048">
        <v>16.059999999999999</v>
      </c>
      <c r="Q2048">
        <v>519.35</v>
      </c>
      <c r="R2048">
        <v>310.54000000000002</v>
      </c>
      <c r="S2048">
        <v>208.81</v>
      </c>
    </row>
    <row r="2049" spans="1:19" x14ac:dyDescent="0.35">
      <c r="A2049">
        <v>200787</v>
      </c>
      <c r="B2049">
        <v>3660</v>
      </c>
      <c r="C2049" t="s">
        <v>28</v>
      </c>
      <c r="D2049" t="s">
        <v>31</v>
      </c>
      <c r="E2049" t="s">
        <v>26</v>
      </c>
      <c r="F2049" t="s">
        <v>36</v>
      </c>
      <c r="G2049" s="1">
        <v>45401</v>
      </c>
      <c r="H2049" s="1">
        <v>45404</v>
      </c>
      <c r="I2049" s="1">
        <v>45416</v>
      </c>
      <c r="J2049">
        <v>15</v>
      </c>
      <c r="K2049">
        <v>3</v>
      </c>
      <c r="L2049">
        <v>8</v>
      </c>
      <c r="M2049">
        <v>209.73</v>
      </c>
      <c r="N2049">
        <v>1677.84</v>
      </c>
      <c r="O2049">
        <v>0.1</v>
      </c>
      <c r="P2049">
        <v>167.78</v>
      </c>
      <c r="Q2049">
        <v>1510.06</v>
      </c>
      <c r="R2049">
        <v>956.37</v>
      </c>
      <c r="S2049">
        <v>553.69000000000005</v>
      </c>
    </row>
    <row r="2050" spans="1:19" x14ac:dyDescent="0.35">
      <c r="A2050">
        <v>200788</v>
      </c>
      <c r="B2050">
        <v>4084</v>
      </c>
      <c r="C2050" t="s">
        <v>23</v>
      </c>
      <c r="D2050" t="s">
        <v>31</v>
      </c>
      <c r="E2050" t="s">
        <v>24</v>
      </c>
      <c r="F2050" t="s">
        <v>42</v>
      </c>
      <c r="G2050" s="1">
        <v>45430</v>
      </c>
      <c r="H2050" s="1">
        <v>45434</v>
      </c>
      <c r="I2050" s="1">
        <v>45433</v>
      </c>
      <c r="J2050">
        <v>3</v>
      </c>
      <c r="K2050">
        <v>4</v>
      </c>
      <c r="L2050">
        <v>8</v>
      </c>
      <c r="M2050">
        <v>773.84</v>
      </c>
      <c r="N2050">
        <v>6190.72</v>
      </c>
      <c r="O2050">
        <v>0.06</v>
      </c>
      <c r="P2050">
        <v>371.44</v>
      </c>
      <c r="Q2050">
        <v>5819.28</v>
      </c>
      <c r="R2050">
        <v>4147.78</v>
      </c>
      <c r="S2050">
        <v>1671.5</v>
      </c>
    </row>
    <row r="2051" spans="1:19" x14ac:dyDescent="0.35">
      <c r="A2051">
        <v>200789</v>
      </c>
      <c r="B2051">
        <v>2860</v>
      </c>
      <c r="C2051" t="s">
        <v>33</v>
      </c>
      <c r="D2051" t="s">
        <v>31</v>
      </c>
      <c r="E2051" t="s">
        <v>24</v>
      </c>
      <c r="F2051" t="s">
        <v>25</v>
      </c>
      <c r="G2051" s="1">
        <v>45607</v>
      </c>
      <c r="H2051" s="1">
        <v>45612</v>
      </c>
      <c r="I2051" s="1">
        <v>45625</v>
      </c>
      <c r="J2051">
        <v>18</v>
      </c>
      <c r="K2051">
        <v>5</v>
      </c>
      <c r="L2051">
        <v>6</v>
      </c>
      <c r="M2051">
        <v>285.77</v>
      </c>
      <c r="N2051">
        <v>1714.62</v>
      </c>
      <c r="O2051">
        <v>0.16</v>
      </c>
      <c r="P2051">
        <v>274.33999999999997</v>
      </c>
      <c r="Q2051">
        <v>1440.28</v>
      </c>
      <c r="R2051">
        <v>1268.82</v>
      </c>
      <c r="S2051">
        <v>171.46</v>
      </c>
    </row>
    <row r="2052" spans="1:19" x14ac:dyDescent="0.35">
      <c r="A2052">
        <v>200790</v>
      </c>
      <c r="B2052">
        <v>3414</v>
      </c>
      <c r="C2052" t="s">
        <v>19</v>
      </c>
      <c r="D2052" t="s">
        <v>29</v>
      </c>
      <c r="E2052" t="s">
        <v>24</v>
      </c>
      <c r="F2052" t="s">
        <v>32</v>
      </c>
      <c r="G2052" s="1">
        <v>45519</v>
      </c>
      <c r="H2052" s="1">
        <v>45524</v>
      </c>
      <c r="I2052" s="1">
        <v>45527</v>
      </c>
      <c r="J2052">
        <v>8</v>
      </c>
      <c r="K2052">
        <v>5</v>
      </c>
      <c r="L2052">
        <v>8</v>
      </c>
      <c r="M2052">
        <v>280.43</v>
      </c>
      <c r="N2052">
        <v>2243.44</v>
      </c>
      <c r="O2052">
        <v>0.04</v>
      </c>
      <c r="P2052">
        <v>89.74</v>
      </c>
      <c r="Q2052">
        <v>2153.6999999999998</v>
      </c>
      <c r="R2052">
        <v>1525.54</v>
      </c>
      <c r="S2052">
        <v>628.16</v>
      </c>
    </row>
    <row r="2053" spans="1:19" x14ac:dyDescent="0.35">
      <c r="A2053">
        <v>200791</v>
      </c>
      <c r="B2053">
        <v>2635</v>
      </c>
      <c r="C2053" t="s">
        <v>33</v>
      </c>
      <c r="D2053" t="s">
        <v>31</v>
      </c>
      <c r="E2053" t="s">
        <v>34</v>
      </c>
      <c r="F2053" t="s">
        <v>35</v>
      </c>
      <c r="G2053" s="1">
        <v>45500</v>
      </c>
      <c r="H2053" s="1">
        <v>45505</v>
      </c>
      <c r="I2053" s="1">
        <v>45524</v>
      </c>
      <c r="J2053">
        <v>24</v>
      </c>
      <c r="K2053">
        <v>5</v>
      </c>
      <c r="L2053">
        <v>8</v>
      </c>
      <c r="M2053">
        <v>289.43</v>
      </c>
      <c r="N2053">
        <v>2315.44</v>
      </c>
      <c r="O2053">
        <v>0.12</v>
      </c>
      <c r="P2053">
        <v>277.85000000000002</v>
      </c>
      <c r="Q2053">
        <v>2037.59</v>
      </c>
      <c r="R2053">
        <v>1736.58</v>
      </c>
      <c r="S2053">
        <v>301.01</v>
      </c>
    </row>
    <row r="2054" spans="1:19" x14ac:dyDescent="0.35">
      <c r="A2054">
        <v>200792</v>
      </c>
      <c r="B2054">
        <v>1820</v>
      </c>
      <c r="C2054" t="s">
        <v>23</v>
      </c>
      <c r="D2054" t="s">
        <v>29</v>
      </c>
      <c r="E2054" t="s">
        <v>26</v>
      </c>
      <c r="F2054" t="s">
        <v>27</v>
      </c>
      <c r="G2054" s="1">
        <v>45466</v>
      </c>
      <c r="H2054" s="1">
        <v>45467</v>
      </c>
      <c r="I2054" s="1">
        <v>45480</v>
      </c>
      <c r="J2054">
        <v>14</v>
      </c>
      <c r="K2054">
        <v>1</v>
      </c>
      <c r="L2054">
        <v>4</v>
      </c>
      <c r="M2054">
        <v>436.29</v>
      </c>
      <c r="N2054">
        <v>1745.16</v>
      </c>
      <c r="O2054">
        <v>0.04</v>
      </c>
      <c r="P2054">
        <v>69.81</v>
      </c>
      <c r="Q2054">
        <v>1675.35</v>
      </c>
      <c r="R2054">
        <v>1064.55</v>
      </c>
      <c r="S2054">
        <v>610.79999999999995</v>
      </c>
    </row>
    <row r="2055" spans="1:19" x14ac:dyDescent="0.35">
      <c r="A2055">
        <v>200793</v>
      </c>
      <c r="B2055">
        <v>3929</v>
      </c>
      <c r="C2055" t="s">
        <v>19</v>
      </c>
      <c r="D2055" t="s">
        <v>29</v>
      </c>
      <c r="E2055" t="s">
        <v>34</v>
      </c>
      <c r="F2055" t="s">
        <v>40</v>
      </c>
      <c r="G2055" s="1">
        <v>45325</v>
      </c>
      <c r="H2055" s="1">
        <v>45329</v>
      </c>
      <c r="I2055" s="1">
        <v>45352</v>
      </c>
      <c r="J2055">
        <v>27</v>
      </c>
      <c r="K2055">
        <v>4</v>
      </c>
      <c r="L2055">
        <v>7</v>
      </c>
      <c r="M2055">
        <v>227.23</v>
      </c>
      <c r="N2055">
        <v>1590.61</v>
      </c>
      <c r="O2055">
        <v>0.08</v>
      </c>
      <c r="P2055">
        <v>127.25</v>
      </c>
      <c r="Q2055">
        <v>1463.36</v>
      </c>
      <c r="R2055">
        <v>1033.9000000000001</v>
      </c>
      <c r="S2055">
        <v>429.46</v>
      </c>
    </row>
    <row r="2056" spans="1:19" x14ac:dyDescent="0.35">
      <c r="A2056">
        <v>200794</v>
      </c>
      <c r="B2056">
        <v>4237</v>
      </c>
      <c r="C2056" t="s">
        <v>28</v>
      </c>
      <c r="D2056" t="s">
        <v>20</v>
      </c>
      <c r="E2056" t="s">
        <v>24</v>
      </c>
      <c r="F2056" t="s">
        <v>25</v>
      </c>
      <c r="G2056" s="1">
        <v>45595</v>
      </c>
      <c r="H2056" s="1">
        <v>45596</v>
      </c>
      <c r="I2056" s="1">
        <v>45618</v>
      </c>
      <c r="J2056">
        <v>23</v>
      </c>
      <c r="K2056">
        <v>1</v>
      </c>
      <c r="L2056">
        <v>3</v>
      </c>
      <c r="M2056">
        <v>342.09</v>
      </c>
      <c r="N2056">
        <v>1026.27</v>
      </c>
      <c r="O2056">
        <v>0.04</v>
      </c>
      <c r="P2056">
        <v>41.05</v>
      </c>
      <c r="Q2056">
        <v>985.22</v>
      </c>
      <c r="R2056">
        <v>718.39</v>
      </c>
      <c r="S2056">
        <v>266.83</v>
      </c>
    </row>
    <row r="2057" spans="1:19" x14ac:dyDescent="0.35">
      <c r="A2057">
        <v>200795</v>
      </c>
      <c r="B2057">
        <v>2248</v>
      </c>
      <c r="C2057" t="s">
        <v>33</v>
      </c>
      <c r="D2057" t="s">
        <v>20</v>
      </c>
      <c r="E2057" t="s">
        <v>24</v>
      </c>
      <c r="F2057" t="s">
        <v>42</v>
      </c>
      <c r="G2057" s="1">
        <v>45318</v>
      </c>
      <c r="H2057" s="1">
        <v>45321</v>
      </c>
      <c r="I2057" s="1">
        <v>45345</v>
      </c>
      <c r="J2057">
        <v>27</v>
      </c>
      <c r="K2057">
        <v>3</v>
      </c>
      <c r="L2057">
        <v>9</v>
      </c>
      <c r="M2057">
        <v>591.76</v>
      </c>
      <c r="N2057">
        <v>5325.84</v>
      </c>
      <c r="O2057">
        <v>0.16</v>
      </c>
      <c r="P2057">
        <v>852.13</v>
      </c>
      <c r="Q2057">
        <v>4473.71</v>
      </c>
      <c r="R2057">
        <v>3515.05</v>
      </c>
      <c r="S2057">
        <v>958.66</v>
      </c>
    </row>
    <row r="2058" spans="1:19" x14ac:dyDescent="0.35">
      <c r="A2058">
        <v>200796</v>
      </c>
      <c r="B2058">
        <v>2411</v>
      </c>
      <c r="C2058" t="s">
        <v>23</v>
      </c>
      <c r="D2058" t="s">
        <v>29</v>
      </c>
      <c r="E2058" t="s">
        <v>21</v>
      </c>
      <c r="F2058" t="s">
        <v>22</v>
      </c>
      <c r="G2058" s="1">
        <v>45362</v>
      </c>
      <c r="H2058" s="1">
        <v>45367</v>
      </c>
      <c r="I2058" s="1">
        <v>45389</v>
      </c>
      <c r="J2058">
        <v>27</v>
      </c>
      <c r="K2058">
        <v>5</v>
      </c>
      <c r="L2058">
        <v>2</v>
      </c>
      <c r="M2058">
        <v>796.46</v>
      </c>
      <c r="N2058">
        <v>1592.92</v>
      </c>
      <c r="O2058">
        <v>0.13</v>
      </c>
      <c r="P2058">
        <v>207.08</v>
      </c>
      <c r="Q2058">
        <v>1385.84</v>
      </c>
      <c r="R2058">
        <v>1019.47</v>
      </c>
      <c r="S2058">
        <v>366.37</v>
      </c>
    </row>
    <row r="2059" spans="1:19" x14ac:dyDescent="0.35">
      <c r="A2059">
        <v>200797</v>
      </c>
      <c r="B2059">
        <v>4552</v>
      </c>
      <c r="C2059" t="s">
        <v>23</v>
      </c>
      <c r="D2059" t="s">
        <v>31</v>
      </c>
      <c r="E2059" t="s">
        <v>26</v>
      </c>
      <c r="F2059" t="s">
        <v>27</v>
      </c>
      <c r="G2059" s="1">
        <v>45461</v>
      </c>
      <c r="H2059" s="1">
        <v>45465</v>
      </c>
      <c r="I2059" s="1">
        <v>45463</v>
      </c>
      <c r="J2059">
        <v>2</v>
      </c>
      <c r="K2059">
        <v>4</v>
      </c>
      <c r="L2059">
        <v>2</v>
      </c>
      <c r="M2059">
        <v>27.24</v>
      </c>
      <c r="N2059">
        <v>54.48</v>
      </c>
      <c r="O2059">
        <v>0.06</v>
      </c>
      <c r="P2059">
        <v>3.27</v>
      </c>
      <c r="Q2059">
        <v>51.21</v>
      </c>
      <c r="R2059">
        <v>38.14</v>
      </c>
      <c r="S2059">
        <v>13.07</v>
      </c>
    </row>
    <row r="2060" spans="1:19" x14ac:dyDescent="0.35">
      <c r="A2060">
        <v>200798</v>
      </c>
      <c r="B2060">
        <v>4908</v>
      </c>
      <c r="C2060" t="s">
        <v>28</v>
      </c>
      <c r="D2060" t="s">
        <v>31</v>
      </c>
      <c r="E2060" t="s">
        <v>24</v>
      </c>
      <c r="F2060" t="s">
        <v>32</v>
      </c>
      <c r="G2060" s="1">
        <v>45517</v>
      </c>
      <c r="H2060" s="1">
        <v>45520</v>
      </c>
      <c r="I2060" s="1">
        <v>45541</v>
      </c>
      <c r="J2060">
        <v>24</v>
      </c>
      <c r="K2060">
        <v>3</v>
      </c>
      <c r="L2060">
        <v>4</v>
      </c>
      <c r="M2060">
        <v>498.96</v>
      </c>
      <c r="N2060">
        <v>1995.84</v>
      </c>
      <c r="O2060">
        <v>0.05</v>
      </c>
      <c r="P2060">
        <v>99.79</v>
      </c>
      <c r="Q2060">
        <v>1896.05</v>
      </c>
      <c r="R2060">
        <v>1297.3</v>
      </c>
      <c r="S2060">
        <v>598.75</v>
      </c>
    </row>
    <row r="2061" spans="1:19" x14ac:dyDescent="0.35">
      <c r="A2061">
        <v>200799</v>
      </c>
      <c r="B2061">
        <v>1750</v>
      </c>
      <c r="C2061" t="s">
        <v>33</v>
      </c>
      <c r="D2061" t="s">
        <v>20</v>
      </c>
      <c r="E2061" t="s">
        <v>24</v>
      </c>
      <c r="F2061" t="s">
        <v>32</v>
      </c>
      <c r="G2061" s="1">
        <v>45588</v>
      </c>
      <c r="H2061" s="1">
        <v>45592</v>
      </c>
      <c r="I2061" s="1">
        <v>45602</v>
      </c>
      <c r="J2061">
        <v>14</v>
      </c>
      <c r="K2061">
        <v>4</v>
      </c>
      <c r="L2061">
        <v>12</v>
      </c>
      <c r="M2061">
        <v>792.51</v>
      </c>
      <c r="N2061">
        <v>9510.1200000000008</v>
      </c>
      <c r="O2061">
        <v>7.0000000000000007E-2</v>
      </c>
      <c r="P2061">
        <v>665.71</v>
      </c>
      <c r="Q2061">
        <v>8844.41</v>
      </c>
      <c r="R2061">
        <v>5991.38</v>
      </c>
      <c r="S2061">
        <v>2853.03</v>
      </c>
    </row>
    <row r="2062" spans="1:19" x14ac:dyDescent="0.35">
      <c r="A2062">
        <v>200800</v>
      </c>
      <c r="B2062">
        <v>3791</v>
      </c>
      <c r="C2062" t="s">
        <v>19</v>
      </c>
      <c r="D2062" t="s">
        <v>20</v>
      </c>
      <c r="E2062" t="s">
        <v>21</v>
      </c>
      <c r="F2062" t="s">
        <v>22</v>
      </c>
      <c r="G2062" s="1">
        <v>45343</v>
      </c>
      <c r="H2062" s="1">
        <v>45344</v>
      </c>
      <c r="I2062" s="1">
        <v>45355</v>
      </c>
      <c r="J2062">
        <v>12</v>
      </c>
      <c r="K2062">
        <v>1</v>
      </c>
      <c r="L2062">
        <v>1</v>
      </c>
      <c r="M2062">
        <v>790.16</v>
      </c>
      <c r="N2062">
        <v>790.16</v>
      </c>
      <c r="O2062">
        <v>7.0000000000000007E-2</v>
      </c>
      <c r="P2062">
        <v>55.31</v>
      </c>
      <c r="Q2062">
        <v>734.85</v>
      </c>
      <c r="R2062">
        <v>474.1</v>
      </c>
      <c r="S2062">
        <v>260.75</v>
      </c>
    </row>
    <row r="2063" spans="1:19" x14ac:dyDescent="0.35">
      <c r="A2063">
        <v>200801</v>
      </c>
      <c r="B2063">
        <v>2393</v>
      </c>
      <c r="C2063" t="s">
        <v>23</v>
      </c>
      <c r="D2063" t="s">
        <v>31</v>
      </c>
      <c r="E2063" t="s">
        <v>24</v>
      </c>
      <c r="F2063" t="s">
        <v>32</v>
      </c>
      <c r="G2063" s="1">
        <v>45522</v>
      </c>
      <c r="H2063" s="1">
        <v>45526</v>
      </c>
      <c r="I2063" s="1">
        <v>45545</v>
      </c>
      <c r="J2063">
        <v>23</v>
      </c>
      <c r="K2063">
        <v>4</v>
      </c>
      <c r="L2063">
        <v>1</v>
      </c>
      <c r="M2063">
        <v>352.5</v>
      </c>
      <c r="N2063">
        <v>352.5</v>
      </c>
      <c r="O2063">
        <v>0.09</v>
      </c>
      <c r="P2063">
        <v>31.72</v>
      </c>
      <c r="Q2063">
        <v>320.77</v>
      </c>
      <c r="R2063">
        <v>207.98</v>
      </c>
      <c r="S2063">
        <v>112.79</v>
      </c>
    </row>
    <row r="2064" spans="1:19" x14ac:dyDescent="0.35">
      <c r="A2064">
        <v>200802</v>
      </c>
      <c r="B2064">
        <v>4114</v>
      </c>
      <c r="C2064" t="s">
        <v>33</v>
      </c>
      <c r="D2064" t="s">
        <v>29</v>
      </c>
      <c r="E2064" t="s">
        <v>24</v>
      </c>
      <c r="F2064" t="s">
        <v>25</v>
      </c>
      <c r="G2064" s="1">
        <v>45629</v>
      </c>
      <c r="H2064" s="1">
        <v>45631</v>
      </c>
      <c r="I2064" s="1">
        <v>45656</v>
      </c>
      <c r="J2064">
        <v>27</v>
      </c>
      <c r="K2064">
        <v>2</v>
      </c>
      <c r="L2064">
        <v>13</v>
      </c>
      <c r="M2064">
        <v>625.94000000000005</v>
      </c>
      <c r="N2064">
        <v>8137.22</v>
      </c>
      <c r="O2064">
        <v>0.06</v>
      </c>
      <c r="P2064">
        <v>488.23</v>
      </c>
      <c r="Q2064">
        <v>7648.99</v>
      </c>
      <c r="R2064">
        <v>5451.94</v>
      </c>
      <c r="S2064">
        <v>2197.0500000000002</v>
      </c>
    </row>
    <row r="2065" spans="1:19" x14ac:dyDescent="0.35">
      <c r="A2065">
        <v>200803</v>
      </c>
      <c r="B2065">
        <v>4633</v>
      </c>
      <c r="C2065" t="s">
        <v>23</v>
      </c>
      <c r="D2065" t="s">
        <v>31</v>
      </c>
      <c r="E2065" t="s">
        <v>24</v>
      </c>
      <c r="F2065" t="s">
        <v>25</v>
      </c>
      <c r="G2065" s="1">
        <v>45423</v>
      </c>
      <c r="H2065" s="1">
        <v>45427</v>
      </c>
      <c r="I2065" s="1">
        <v>45445</v>
      </c>
      <c r="J2065">
        <v>22</v>
      </c>
      <c r="K2065">
        <v>4</v>
      </c>
      <c r="L2065">
        <v>13</v>
      </c>
      <c r="M2065">
        <v>453.5</v>
      </c>
      <c r="N2065">
        <v>5895.5</v>
      </c>
      <c r="O2065">
        <v>0.12</v>
      </c>
      <c r="P2065">
        <v>707.46</v>
      </c>
      <c r="Q2065">
        <v>5188.04</v>
      </c>
      <c r="R2065">
        <v>4008.94</v>
      </c>
      <c r="S2065">
        <v>1179.0999999999999</v>
      </c>
    </row>
    <row r="2066" spans="1:19" x14ac:dyDescent="0.35">
      <c r="A2066">
        <v>200804</v>
      </c>
      <c r="B2066">
        <v>2187</v>
      </c>
      <c r="C2066" t="s">
        <v>19</v>
      </c>
      <c r="D2066" t="s">
        <v>29</v>
      </c>
      <c r="E2066" t="s">
        <v>34</v>
      </c>
      <c r="F2066" t="s">
        <v>45</v>
      </c>
      <c r="G2066" s="1">
        <v>45449</v>
      </c>
      <c r="H2066" s="1">
        <v>45451</v>
      </c>
      <c r="I2066" s="1">
        <v>45453</v>
      </c>
      <c r="J2066">
        <v>4</v>
      </c>
      <c r="K2066">
        <v>2</v>
      </c>
      <c r="L2066">
        <v>8</v>
      </c>
      <c r="M2066">
        <v>652.29999999999995</v>
      </c>
      <c r="N2066">
        <v>5218.3999999999996</v>
      </c>
      <c r="O2066">
        <v>0.06</v>
      </c>
      <c r="P2066">
        <v>313.10000000000002</v>
      </c>
      <c r="Q2066">
        <v>4905.3</v>
      </c>
      <c r="R2066">
        <v>3235.41</v>
      </c>
      <c r="S2066">
        <v>1669.89</v>
      </c>
    </row>
    <row r="2067" spans="1:19" x14ac:dyDescent="0.35">
      <c r="A2067">
        <v>200805</v>
      </c>
      <c r="B2067">
        <v>2142</v>
      </c>
      <c r="C2067" t="s">
        <v>23</v>
      </c>
      <c r="D2067" t="s">
        <v>20</v>
      </c>
      <c r="E2067" t="s">
        <v>21</v>
      </c>
      <c r="F2067" t="s">
        <v>38</v>
      </c>
      <c r="G2067" s="1">
        <v>45415</v>
      </c>
      <c r="H2067" s="1">
        <v>45420</v>
      </c>
      <c r="I2067" s="1">
        <v>45428</v>
      </c>
      <c r="J2067">
        <v>13</v>
      </c>
      <c r="K2067">
        <v>5</v>
      </c>
      <c r="L2067">
        <v>5</v>
      </c>
      <c r="M2067">
        <v>242.73</v>
      </c>
      <c r="N2067">
        <v>1213.6500000000001</v>
      </c>
      <c r="O2067">
        <v>0.16</v>
      </c>
      <c r="P2067">
        <v>194.18</v>
      </c>
      <c r="Q2067">
        <v>1019.47</v>
      </c>
      <c r="R2067">
        <v>728.19</v>
      </c>
      <c r="S2067">
        <v>291.27999999999997</v>
      </c>
    </row>
    <row r="2068" spans="1:19" x14ac:dyDescent="0.35">
      <c r="A2068">
        <v>200806</v>
      </c>
      <c r="B2068">
        <v>4347</v>
      </c>
      <c r="C2068" t="s">
        <v>33</v>
      </c>
      <c r="D2068" t="s">
        <v>31</v>
      </c>
      <c r="E2068" t="s">
        <v>34</v>
      </c>
      <c r="F2068" t="s">
        <v>43</v>
      </c>
      <c r="G2068" s="1">
        <v>45467</v>
      </c>
      <c r="H2068" s="1">
        <v>45472</v>
      </c>
      <c r="I2068" s="1">
        <v>45470</v>
      </c>
      <c r="J2068">
        <v>3</v>
      </c>
      <c r="K2068">
        <v>5</v>
      </c>
      <c r="L2068">
        <v>7</v>
      </c>
      <c r="M2068">
        <v>9.6</v>
      </c>
      <c r="N2068">
        <v>67.2</v>
      </c>
      <c r="O2068">
        <v>0.1</v>
      </c>
      <c r="P2068">
        <v>6.72</v>
      </c>
      <c r="Q2068">
        <v>60.48</v>
      </c>
      <c r="R2068">
        <v>47.04</v>
      </c>
      <c r="S2068">
        <v>13.44</v>
      </c>
    </row>
    <row r="2069" spans="1:19" x14ac:dyDescent="0.35">
      <c r="A2069">
        <v>200807</v>
      </c>
      <c r="B2069">
        <v>1274</v>
      </c>
      <c r="C2069" t="s">
        <v>33</v>
      </c>
      <c r="D2069" t="s">
        <v>20</v>
      </c>
      <c r="E2069" t="s">
        <v>34</v>
      </c>
      <c r="F2069" t="s">
        <v>35</v>
      </c>
      <c r="G2069" s="1">
        <v>45299</v>
      </c>
      <c r="H2069" s="1">
        <v>45304</v>
      </c>
      <c r="I2069" s="1">
        <v>45310</v>
      </c>
      <c r="J2069">
        <v>11</v>
      </c>
      <c r="K2069">
        <v>5</v>
      </c>
      <c r="L2069">
        <v>9</v>
      </c>
      <c r="M2069">
        <v>36.57</v>
      </c>
      <c r="N2069">
        <v>329.13</v>
      </c>
      <c r="O2069">
        <v>0.2</v>
      </c>
      <c r="P2069">
        <v>65.83</v>
      </c>
      <c r="Q2069">
        <v>263.3</v>
      </c>
      <c r="R2069">
        <v>207.35</v>
      </c>
      <c r="S2069">
        <v>55.95</v>
      </c>
    </row>
    <row r="2070" spans="1:19" x14ac:dyDescent="0.35">
      <c r="A2070">
        <v>200808</v>
      </c>
      <c r="B2070">
        <v>2127</v>
      </c>
      <c r="C2070" t="s">
        <v>28</v>
      </c>
      <c r="D2070" t="s">
        <v>29</v>
      </c>
      <c r="E2070" t="s">
        <v>21</v>
      </c>
      <c r="F2070" t="s">
        <v>41</v>
      </c>
      <c r="G2070" s="1">
        <v>45565</v>
      </c>
      <c r="H2070" s="1">
        <v>45566</v>
      </c>
      <c r="I2070" s="1">
        <v>45573</v>
      </c>
      <c r="J2070">
        <v>8</v>
      </c>
      <c r="K2070">
        <v>1</v>
      </c>
      <c r="L2070">
        <v>13</v>
      </c>
      <c r="M2070">
        <v>683.7</v>
      </c>
      <c r="N2070">
        <v>8888.1</v>
      </c>
      <c r="O2070">
        <v>0.17</v>
      </c>
      <c r="P2070">
        <v>1510.98</v>
      </c>
      <c r="Q2070">
        <v>7377.12</v>
      </c>
      <c r="R2070">
        <v>5332.86</v>
      </c>
      <c r="S2070">
        <v>2044.26</v>
      </c>
    </row>
    <row r="2071" spans="1:19" x14ac:dyDescent="0.35">
      <c r="A2071">
        <v>200809</v>
      </c>
      <c r="B2071">
        <v>3472</v>
      </c>
      <c r="C2071" t="s">
        <v>19</v>
      </c>
      <c r="D2071" t="s">
        <v>20</v>
      </c>
      <c r="E2071" t="s">
        <v>26</v>
      </c>
      <c r="F2071" t="s">
        <v>36</v>
      </c>
      <c r="G2071" s="1">
        <v>45385</v>
      </c>
      <c r="H2071" s="1">
        <v>45386</v>
      </c>
      <c r="I2071" s="1">
        <v>45410</v>
      </c>
      <c r="J2071">
        <v>25</v>
      </c>
      <c r="K2071">
        <v>1</v>
      </c>
      <c r="L2071">
        <v>7</v>
      </c>
      <c r="M2071">
        <v>193.04</v>
      </c>
      <c r="N2071">
        <v>1351.28</v>
      </c>
      <c r="O2071">
        <v>0.12</v>
      </c>
      <c r="P2071">
        <v>162.15</v>
      </c>
      <c r="Q2071">
        <v>1189.1300000000001</v>
      </c>
      <c r="R2071">
        <v>770.23</v>
      </c>
      <c r="S2071">
        <v>418.9</v>
      </c>
    </row>
    <row r="2072" spans="1:19" x14ac:dyDescent="0.35">
      <c r="A2072">
        <v>200810</v>
      </c>
      <c r="B2072">
        <v>3968</v>
      </c>
      <c r="C2072" t="s">
        <v>23</v>
      </c>
      <c r="D2072" t="s">
        <v>29</v>
      </c>
      <c r="E2072" t="s">
        <v>24</v>
      </c>
      <c r="F2072" t="s">
        <v>42</v>
      </c>
      <c r="G2072" s="1">
        <v>45470</v>
      </c>
      <c r="H2072" s="1">
        <v>45474</v>
      </c>
      <c r="I2072" s="1">
        <v>45499</v>
      </c>
      <c r="J2072">
        <v>29</v>
      </c>
      <c r="K2072">
        <v>4</v>
      </c>
      <c r="L2072">
        <v>6</v>
      </c>
      <c r="M2072">
        <v>347.84</v>
      </c>
      <c r="N2072">
        <v>2087.04</v>
      </c>
      <c r="O2072">
        <v>0.11</v>
      </c>
      <c r="P2072">
        <v>229.57</v>
      </c>
      <c r="Q2072">
        <v>1857.47</v>
      </c>
      <c r="R2072">
        <v>1231.3499999999999</v>
      </c>
      <c r="S2072">
        <v>626.12</v>
      </c>
    </row>
    <row r="2073" spans="1:19" x14ac:dyDescent="0.35">
      <c r="A2073">
        <v>200811</v>
      </c>
      <c r="B2073">
        <v>2481</v>
      </c>
      <c r="C2073" t="s">
        <v>33</v>
      </c>
      <c r="D2073" t="s">
        <v>29</v>
      </c>
      <c r="E2073" t="s">
        <v>26</v>
      </c>
      <c r="F2073" t="s">
        <v>36</v>
      </c>
      <c r="G2073" s="1">
        <v>45384</v>
      </c>
      <c r="H2073" s="1">
        <v>45386</v>
      </c>
      <c r="I2073" s="1">
        <v>45404</v>
      </c>
      <c r="J2073">
        <v>20</v>
      </c>
      <c r="K2073">
        <v>2</v>
      </c>
      <c r="L2073">
        <v>3</v>
      </c>
      <c r="M2073">
        <v>144.41</v>
      </c>
      <c r="N2073">
        <v>433.23</v>
      </c>
      <c r="O2073">
        <v>0.05</v>
      </c>
      <c r="P2073">
        <v>21.66</v>
      </c>
      <c r="Q2073">
        <v>411.57</v>
      </c>
      <c r="R2073">
        <v>290.26</v>
      </c>
      <c r="S2073">
        <v>121.31</v>
      </c>
    </row>
    <row r="2074" spans="1:19" x14ac:dyDescent="0.35">
      <c r="A2074">
        <v>200812</v>
      </c>
      <c r="B2074">
        <v>4541</v>
      </c>
      <c r="C2074" t="s">
        <v>33</v>
      </c>
      <c r="D2074" t="s">
        <v>20</v>
      </c>
      <c r="E2074" t="s">
        <v>26</v>
      </c>
      <c r="F2074" t="s">
        <v>36</v>
      </c>
      <c r="G2074" s="1">
        <v>45556</v>
      </c>
      <c r="H2074" s="1">
        <v>45560</v>
      </c>
      <c r="I2074" s="1">
        <v>45574</v>
      </c>
      <c r="J2074">
        <v>18</v>
      </c>
      <c r="K2074">
        <v>4</v>
      </c>
      <c r="L2074">
        <v>9</v>
      </c>
      <c r="M2074">
        <v>614.29999999999995</v>
      </c>
      <c r="N2074">
        <v>5528.7</v>
      </c>
      <c r="O2074">
        <v>0.17</v>
      </c>
      <c r="P2074">
        <v>939.88</v>
      </c>
      <c r="Q2074">
        <v>4588.82</v>
      </c>
      <c r="R2074">
        <v>3538.37</v>
      </c>
      <c r="S2074">
        <v>1050.45</v>
      </c>
    </row>
    <row r="2075" spans="1:19" x14ac:dyDescent="0.35">
      <c r="A2075">
        <v>200813</v>
      </c>
      <c r="B2075">
        <v>3187</v>
      </c>
      <c r="C2075" t="s">
        <v>28</v>
      </c>
      <c r="D2075" t="s">
        <v>20</v>
      </c>
      <c r="E2075" t="s">
        <v>26</v>
      </c>
      <c r="F2075" t="s">
        <v>36</v>
      </c>
      <c r="G2075" s="1">
        <v>45539</v>
      </c>
      <c r="H2075" s="1">
        <v>45540</v>
      </c>
      <c r="I2075" s="1">
        <v>45549</v>
      </c>
      <c r="J2075">
        <v>10</v>
      </c>
      <c r="K2075">
        <v>1</v>
      </c>
      <c r="L2075">
        <v>11</v>
      </c>
      <c r="M2075">
        <v>387.72</v>
      </c>
      <c r="N2075">
        <v>4264.92</v>
      </c>
      <c r="O2075">
        <v>0.14000000000000001</v>
      </c>
      <c r="P2075">
        <v>597.09</v>
      </c>
      <c r="Q2075">
        <v>3667.83</v>
      </c>
      <c r="R2075">
        <v>2473.65</v>
      </c>
      <c r="S2075">
        <v>1194.18</v>
      </c>
    </row>
    <row r="2076" spans="1:19" x14ac:dyDescent="0.35">
      <c r="A2076">
        <v>200814</v>
      </c>
      <c r="B2076">
        <v>1381</v>
      </c>
      <c r="C2076" t="s">
        <v>28</v>
      </c>
      <c r="D2076" t="s">
        <v>31</v>
      </c>
      <c r="E2076" t="s">
        <v>34</v>
      </c>
      <c r="F2076" t="s">
        <v>40</v>
      </c>
      <c r="G2076" s="1">
        <v>45297</v>
      </c>
      <c r="H2076" s="1">
        <v>45302</v>
      </c>
      <c r="I2076" s="1">
        <v>45304</v>
      </c>
      <c r="J2076">
        <v>7</v>
      </c>
      <c r="K2076">
        <v>5</v>
      </c>
      <c r="L2076">
        <v>3</v>
      </c>
      <c r="M2076">
        <v>587.04999999999995</v>
      </c>
      <c r="N2076">
        <v>1761.15</v>
      </c>
      <c r="O2076">
        <v>0.11</v>
      </c>
      <c r="P2076">
        <v>193.73</v>
      </c>
      <c r="Q2076">
        <v>1567.42</v>
      </c>
      <c r="R2076">
        <v>1109.52</v>
      </c>
      <c r="S2076">
        <v>457.9</v>
      </c>
    </row>
    <row r="2077" spans="1:19" x14ac:dyDescent="0.35">
      <c r="A2077">
        <v>200815</v>
      </c>
      <c r="B2077">
        <v>2331</v>
      </c>
      <c r="C2077" t="s">
        <v>33</v>
      </c>
      <c r="D2077" t="s">
        <v>20</v>
      </c>
      <c r="E2077" t="s">
        <v>24</v>
      </c>
      <c r="F2077" t="s">
        <v>42</v>
      </c>
      <c r="G2077" s="1">
        <v>45511</v>
      </c>
      <c r="H2077" s="1">
        <v>45513</v>
      </c>
      <c r="I2077" s="1">
        <v>45540</v>
      </c>
      <c r="J2077">
        <v>29</v>
      </c>
      <c r="K2077">
        <v>2</v>
      </c>
      <c r="L2077">
        <v>13</v>
      </c>
      <c r="M2077">
        <v>669.79</v>
      </c>
      <c r="N2077">
        <v>8707.27</v>
      </c>
      <c r="O2077">
        <v>0.05</v>
      </c>
      <c r="P2077">
        <v>435.36</v>
      </c>
      <c r="Q2077">
        <v>8271.91</v>
      </c>
      <c r="R2077">
        <v>6008.02</v>
      </c>
      <c r="S2077">
        <v>2263.89</v>
      </c>
    </row>
    <row r="2078" spans="1:19" x14ac:dyDescent="0.35">
      <c r="A2078">
        <v>200816</v>
      </c>
      <c r="B2078">
        <v>4365</v>
      </c>
      <c r="C2078" t="s">
        <v>19</v>
      </c>
      <c r="D2078" t="s">
        <v>20</v>
      </c>
      <c r="E2078" t="s">
        <v>26</v>
      </c>
      <c r="F2078" t="s">
        <v>27</v>
      </c>
      <c r="G2078" s="1">
        <v>45366</v>
      </c>
      <c r="H2078" s="1">
        <v>45369</v>
      </c>
      <c r="I2078" s="1">
        <v>45382</v>
      </c>
      <c r="J2078">
        <v>16</v>
      </c>
      <c r="K2078">
        <v>3</v>
      </c>
      <c r="L2078">
        <v>9</v>
      </c>
      <c r="M2078">
        <v>608</v>
      </c>
      <c r="N2078">
        <v>5472</v>
      </c>
      <c r="O2078">
        <v>0.11</v>
      </c>
      <c r="P2078">
        <v>601.91999999999996</v>
      </c>
      <c r="Q2078">
        <v>4870.08</v>
      </c>
      <c r="R2078">
        <v>3556.8</v>
      </c>
      <c r="S2078">
        <v>1313.28</v>
      </c>
    </row>
    <row r="2079" spans="1:19" x14ac:dyDescent="0.35">
      <c r="A2079">
        <v>200817</v>
      </c>
      <c r="B2079">
        <v>3610</v>
      </c>
      <c r="C2079" t="s">
        <v>28</v>
      </c>
      <c r="D2079" t="s">
        <v>31</v>
      </c>
      <c r="E2079" t="s">
        <v>26</v>
      </c>
      <c r="F2079" t="s">
        <v>44</v>
      </c>
      <c r="G2079" s="1">
        <v>45566</v>
      </c>
      <c r="H2079" s="1">
        <v>45568</v>
      </c>
      <c r="I2079" s="1">
        <v>45588</v>
      </c>
      <c r="J2079">
        <v>22</v>
      </c>
      <c r="K2079">
        <v>2</v>
      </c>
      <c r="L2079">
        <v>9</v>
      </c>
      <c r="M2079">
        <v>384.73</v>
      </c>
      <c r="N2079">
        <v>3462.57</v>
      </c>
      <c r="O2079">
        <v>0.04</v>
      </c>
      <c r="P2079">
        <v>138.5</v>
      </c>
      <c r="Q2079">
        <v>3324.07</v>
      </c>
      <c r="R2079">
        <v>2146.79</v>
      </c>
      <c r="S2079">
        <v>1177.28</v>
      </c>
    </row>
    <row r="2080" spans="1:19" x14ac:dyDescent="0.35">
      <c r="A2080">
        <v>200818</v>
      </c>
      <c r="B2080">
        <v>1611</v>
      </c>
      <c r="C2080" t="s">
        <v>28</v>
      </c>
      <c r="D2080" t="s">
        <v>31</v>
      </c>
      <c r="E2080" t="s">
        <v>34</v>
      </c>
      <c r="F2080" t="s">
        <v>45</v>
      </c>
      <c r="G2080" s="1">
        <v>45582</v>
      </c>
      <c r="H2080" s="1">
        <v>45583</v>
      </c>
      <c r="I2080" s="1">
        <v>45605</v>
      </c>
      <c r="J2080">
        <v>23</v>
      </c>
      <c r="K2080">
        <v>1</v>
      </c>
      <c r="L2080">
        <v>7</v>
      </c>
      <c r="M2080">
        <v>336.29</v>
      </c>
      <c r="N2080">
        <v>2354.0300000000002</v>
      </c>
      <c r="O2080">
        <v>7.0000000000000007E-2</v>
      </c>
      <c r="P2080">
        <v>164.78</v>
      </c>
      <c r="Q2080">
        <v>2189.25</v>
      </c>
      <c r="R2080">
        <v>1624.28</v>
      </c>
      <c r="S2080">
        <v>564.97</v>
      </c>
    </row>
    <row r="2081" spans="1:19" x14ac:dyDescent="0.35">
      <c r="A2081">
        <v>200819</v>
      </c>
      <c r="B2081">
        <v>1878</v>
      </c>
      <c r="C2081" t="s">
        <v>33</v>
      </c>
      <c r="D2081" t="s">
        <v>29</v>
      </c>
      <c r="E2081" t="s">
        <v>24</v>
      </c>
      <c r="F2081" t="s">
        <v>30</v>
      </c>
      <c r="G2081" s="1">
        <v>45562</v>
      </c>
      <c r="H2081" s="1">
        <v>45566</v>
      </c>
      <c r="I2081" s="1">
        <v>45564</v>
      </c>
      <c r="J2081">
        <v>2</v>
      </c>
      <c r="K2081">
        <v>4</v>
      </c>
      <c r="L2081">
        <v>8</v>
      </c>
      <c r="M2081">
        <v>762.18</v>
      </c>
      <c r="N2081">
        <v>6097.44</v>
      </c>
      <c r="O2081">
        <v>0.16</v>
      </c>
      <c r="P2081">
        <v>975.59</v>
      </c>
      <c r="Q2081">
        <v>5121.8500000000004</v>
      </c>
      <c r="R2081">
        <v>3658.46</v>
      </c>
      <c r="S2081">
        <v>1463.39</v>
      </c>
    </row>
    <row r="2082" spans="1:19" x14ac:dyDescent="0.35">
      <c r="A2082">
        <v>200820</v>
      </c>
      <c r="B2082">
        <v>3492</v>
      </c>
      <c r="C2082" t="s">
        <v>33</v>
      </c>
      <c r="D2082" t="s">
        <v>20</v>
      </c>
      <c r="E2082" t="s">
        <v>21</v>
      </c>
      <c r="F2082" t="s">
        <v>39</v>
      </c>
      <c r="G2082" s="1">
        <v>45477</v>
      </c>
      <c r="H2082" s="1">
        <v>45480</v>
      </c>
      <c r="I2082" s="1">
        <v>45502</v>
      </c>
      <c r="J2082">
        <v>25</v>
      </c>
      <c r="K2082">
        <v>3</v>
      </c>
      <c r="L2082">
        <v>13</v>
      </c>
      <c r="M2082">
        <v>513.27</v>
      </c>
      <c r="N2082">
        <v>6672.51</v>
      </c>
      <c r="O2082">
        <v>0.02</v>
      </c>
      <c r="P2082">
        <v>133.44999999999999</v>
      </c>
      <c r="Q2082">
        <v>6539.06</v>
      </c>
      <c r="R2082">
        <v>4403.8599999999997</v>
      </c>
      <c r="S2082">
        <v>2135.1999999999998</v>
      </c>
    </row>
    <row r="2083" spans="1:19" x14ac:dyDescent="0.35">
      <c r="A2083">
        <v>200821</v>
      </c>
      <c r="B2083">
        <v>1290</v>
      </c>
      <c r="C2083" t="s">
        <v>19</v>
      </c>
      <c r="D2083" t="s">
        <v>31</v>
      </c>
      <c r="E2083" t="s">
        <v>26</v>
      </c>
      <c r="F2083" t="s">
        <v>27</v>
      </c>
      <c r="G2083" s="1">
        <v>45452</v>
      </c>
      <c r="H2083" s="1">
        <v>45454</v>
      </c>
      <c r="I2083" s="1">
        <v>45477</v>
      </c>
      <c r="J2083">
        <v>25</v>
      </c>
      <c r="K2083">
        <v>2</v>
      </c>
      <c r="L2083">
        <v>6</v>
      </c>
      <c r="M2083">
        <v>650.03</v>
      </c>
      <c r="N2083">
        <v>3900.18</v>
      </c>
      <c r="O2083">
        <v>0.13</v>
      </c>
      <c r="P2083">
        <v>507.02</v>
      </c>
      <c r="Q2083">
        <v>3393.16</v>
      </c>
      <c r="R2083">
        <v>2574.12</v>
      </c>
      <c r="S2083">
        <v>819.04</v>
      </c>
    </row>
    <row r="2084" spans="1:19" x14ac:dyDescent="0.35">
      <c r="A2084">
        <v>200822</v>
      </c>
      <c r="B2084">
        <v>4435</v>
      </c>
      <c r="C2084" t="s">
        <v>23</v>
      </c>
      <c r="D2084" t="s">
        <v>20</v>
      </c>
      <c r="E2084" t="s">
        <v>26</v>
      </c>
      <c r="F2084" t="s">
        <v>37</v>
      </c>
      <c r="G2084" s="1">
        <v>45483</v>
      </c>
      <c r="H2084" s="1">
        <v>45484</v>
      </c>
      <c r="I2084" s="1">
        <v>45511</v>
      </c>
      <c r="J2084">
        <v>28</v>
      </c>
      <c r="K2084">
        <v>1</v>
      </c>
      <c r="L2084">
        <v>12</v>
      </c>
      <c r="M2084">
        <v>15.26</v>
      </c>
      <c r="N2084">
        <v>183.12</v>
      </c>
      <c r="O2084">
        <v>7.0000000000000007E-2</v>
      </c>
      <c r="P2084">
        <v>12.82</v>
      </c>
      <c r="Q2084">
        <v>170.3</v>
      </c>
      <c r="R2084">
        <v>108.04</v>
      </c>
      <c r="S2084">
        <v>62.26</v>
      </c>
    </row>
    <row r="2085" spans="1:19" x14ac:dyDescent="0.35">
      <c r="A2085">
        <v>200823</v>
      </c>
      <c r="B2085">
        <v>4067</v>
      </c>
      <c r="C2085" t="s">
        <v>33</v>
      </c>
      <c r="D2085" t="s">
        <v>31</v>
      </c>
      <c r="E2085" t="s">
        <v>24</v>
      </c>
      <c r="F2085" t="s">
        <v>25</v>
      </c>
      <c r="G2085" s="1">
        <v>45342</v>
      </c>
      <c r="H2085" s="1">
        <v>45345</v>
      </c>
      <c r="I2085" s="1">
        <v>45352</v>
      </c>
      <c r="J2085">
        <v>10</v>
      </c>
      <c r="K2085">
        <v>3</v>
      </c>
      <c r="L2085">
        <v>11</v>
      </c>
      <c r="M2085">
        <v>635.62</v>
      </c>
      <c r="N2085">
        <v>6991.82</v>
      </c>
      <c r="O2085">
        <v>0.09</v>
      </c>
      <c r="P2085">
        <v>629.26</v>
      </c>
      <c r="Q2085">
        <v>6362.56</v>
      </c>
      <c r="R2085">
        <v>4125.17</v>
      </c>
      <c r="S2085">
        <v>2237.39</v>
      </c>
    </row>
    <row r="2086" spans="1:19" x14ac:dyDescent="0.35">
      <c r="A2086">
        <v>200824</v>
      </c>
      <c r="B2086">
        <v>4329</v>
      </c>
      <c r="C2086" t="s">
        <v>33</v>
      </c>
      <c r="D2086" t="s">
        <v>31</v>
      </c>
      <c r="E2086" t="s">
        <v>21</v>
      </c>
      <c r="F2086" t="s">
        <v>38</v>
      </c>
      <c r="G2086" s="1">
        <v>45550</v>
      </c>
      <c r="H2086" s="1">
        <v>45552</v>
      </c>
      <c r="I2086" s="1">
        <v>45567</v>
      </c>
      <c r="J2086">
        <v>17</v>
      </c>
      <c r="K2086">
        <v>2</v>
      </c>
      <c r="L2086">
        <v>10</v>
      </c>
      <c r="M2086">
        <v>385.99</v>
      </c>
      <c r="N2086">
        <v>3859.9</v>
      </c>
      <c r="O2086">
        <v>0.15</v>
      </c>
      <c r="P2086">
        <v>578.98</v>
      </c>
      <c r="Q2086">
        <v>3280.92</v>
      </c>
      <c r="R2086">
        <v>2586.13</v>
      </c>
      <c r="S2086">
        <v>694.79</v>
      </c>
    </row>
    <row r="2087" spans="1:19" x14ac:dyDescent="0.35">
      <c r="A2087">
        <v>200825</v>
      </c>
      <c r="B2087">
        <v>2273</v>
      </c>
      <c r="C2087" t="s">
        <v>28</v>
      </c>
      <c r="D2087" t="s">
        <v>29</v>
      </c>
      <c r="E2087" t="s">
        <v>34</v>
      </c>
      <c r="F2087" t="s">
        <v>43</v>
      </c>
      <c r="G2087" s="1">
        <v>45652</v>
      </c>
      <c r="H2087" s="1">
        <v>45656</v>
      </c>
      <c r="I2087" s="1">
        <v>45663</v>
      </c>
      <c r="J2087">
        <v>11</v>
      </c>
      <c r="K2087">
        <v>4</v>
      </c>
      <c r="L2087">
        <v>2</v>
      </c>
      <c r="M2087">
        <v>579.45000000000005</v>
      </c>
      <c r="N2087">
        <v>1158.9000000000001</v>
      </c>
      <c r="O2087">
        <v>0.05</v>
      </c>
      <c r="P2087">
        <v>57.95</v>
      </c>
      <c r="Q2087">
        <v>1100.96</v>
      </c>
      <c r="R2087">
        <v>753.29</v>
      </c>
      <c r="S2087">
        <v>347.67</v>
      </c>
    </row>
    <row r="2088" spans="1:19" x14ac:dyDescent="0.35">
      <c r="A2088">
        <v>200826</v>
      </c>
      <c r="B2088">
        <v>3477</v>
      </c>
      <c r="C2088" t="s">
        <v>28</v>
      </c>
      <c r="D2088" t="s">
        <v>29</v>
      </c>
      <c r="E2088" t="s">
        <v>26</v>
      </c>
      <c r="F2088" t="s">
        <v>27</v>
      </c>
      <c r="G2088" s="1">
        <v>45332</v>
      </c>
      <c r="H2088" s="1">
        <v>45333</v>
      </c>
      <c r="I2088" s="1">
        <v>45355</v>
      </c>
      <c r="J2088">
        <v>23</v>
      </c>
      <c r="K2088">
        <v>1</v>
      </c>
      <c r="L2088">
        <v>7</v>
      </c>
      <c r="M2088">
        <v>591.51</v>
      </c>
      <c r="N2088">
        <v>4140.57</v>
      </c>
      <c r="O2088">
        <v>0.05</v>
      </c>
      <c r="P2088">
        <v>207.03</v>
      </c>
      <c r="Q2088">
        <v>3933.54</v>
      </c>
      <c r="R2088">
        <v>2484.34</v>
      </c>
      <c r="S2088">
        <v>1449.2</v>
      </c>
    </row>
    <row r="2089" spans="1:19" x14ac:dyDescent="0.35">
      <c r="A2089">
        <v>200827</v>
      </c>
      <c r="B2089">
        <v>4749</v>
      </c>
      <c r="C2089" t="s">
        <v>28</v>
      </c>
      <c r="D2089" t="s">
        <v>31</v>
      </c>
      <c r="E2089" t="s">
        <v>26</v>
      </c>
      <c r="F2089" t="s">
        <v>37</v>
      </c>
      <c r="G2089" s="1">
        <v>45629</v>
      </c>
      <c r="H2089" s="1">
        <v>45633</v>
      </c>
      <c r="I2089" s="1">
        <v>45636</v>
      </c>
      <c r="J2089">
        <v>7</v>
      </c>
      <c r="K2089">
        <v>4</v>
      </c>
      <c r="L2089">
        <v>1</v>
      </c>
      <c r="M2089">
        <v>284.64</v>
      </c>
      <c r="N2089">
        <v>284.64</v>
      </c>
      <c r="O2089">
        <v>0.17</v>
      </c>
      <c r="P2089">
        <v>48.39</v>
      </c>
      <c r="Q2089">
        <v>236.25</v>
      </c>
      <c r="R2089">
        <v>176.48</v>
      </c>
      <c r="S2089">
        <v>59.77</v>
      </c>
    </row>
    <row r="2090" spans="1:19" x14ac:dyDescent="0.35">
      <c r="A2090">
        <v>200828</v>
      </c>
      <c r="B2090">
        <v>4297</v>
      </c>
      <c r="C2090" t="s">
        <v>23</v>
      </c>
      <c r="D2090" t="s">
        <v>20</v>
      </c>
      <c r="E2090" t="s">
        <v>24</v>
      </c>
      <c r="F2090" t="s">
        <v>42</v>
      </c>
      <c r="G2090" s="1">
        <v>45321</v>
      </c>
      <c r="H2090" s="1">
        <v>45323</v>
      </c>
      <c r="I2090" s="1">
        <v>45327</v>
      </c>
      <c r="J2090">
        <v>6</v>
      </c>
      <c r="K2090">
        <v>2</v>
      </c>
      <c r="L2090">
        <v>4</v>
      </c>
      <c r="M2090">
        <v>508.42</v>
      </c>
      <c r="N2090">
        <v>2033.68</v>
      </c>
      <c r="O2090">
        <v>0.17</v>
      </c>
      <c r="P2090">
        <v>345.73</v>
      </c>
      <c r="Q2090">
        <v>1687.95</v>
      </c>
      <c r="R2090">
        <v>1321.89</v>
      </c>
      <c r="S2090">
        <v>366.06</v>
      </c>
    </row>
    <row r="2091" spans="1:19" x14ac:dyDescent="0.35">
      <c r="A2091">
        <v>200829</v>
      </c>
      <c r="B2091">
        <v>3847</v>
      </c>
      <c r="C2091" t="s">
        <v>33</v>
      </c>
      <c r="D2091" t="s">
        <v>20</v>
      </c>
      <c r="E2091" t="s">
        <v>34</v>
      </c>
      <c r="F2091" t="s">
        <v>35</v>
      </c>
      <c r="G2091" s="1">
        <v>45527</v>
      </c>
      <c r="H2091" s="1">
        <v>45530</v>
      </c>
      <c r="I2091" s="1">
        <v>45534</v>
      </c>
      <c r="J2091">
        <v>7</v>
      </c>
      <c r="K2091">
        <v>3</v>
      </c>
      <c r="L2091">
        <v>7</v>
      </c>
      <c r="M2091">
        <v>344.05</v>
      </c>
      <c r="N2091">
        <v>2408.35</v>
      </c>
      <c r="O2091">
        <v>0.15</v>
      </c>
      <c r="P2091">
        <v>361.25</v>
      </c>
      <c r="Q2091">
        <v>2047.1</v>
      </c>
      <c r="R2091">
        <v>1565.43</v>
      </c>
      <c r="S2091">
        <v>481.67</v>
      </c>
    </row>
    <row r="2092" spans="1:19" x14ac:dyDescent="0.35">
      <c r="A2092">
        <v>200830</v>
      </c>
      <c r="B2092">
        <v>4953</v>
      </c>
      <c r="C2092" t="s">
        <v>19</v>
      </c>
      <c r="D2092" t="s">
        <v>20</v>
      </c>
      <c r="E2092" t="s">
        <v>34</v>
      </c>
      <c r="F2092" t="s">
        <v>35</v>
      </c>
      <c r="G2092" s="1">
        <v>45429</v>
      </c>
      <c r="H2092" s="1">
        <v>45433</v>
      </c>
      <c r="I2092" s="1">
        <v>45443</v>
      </c>
      <c r="J2092">
        <v>14</v>
      </c>
      <c r="K2092">
        <v>4</v>
      </c>
      <c r="L2092">
        <v>5</v>
      </c>
      <c r="M2092">
        <v>712.06</v>
      </c>
      <c r="N2092">
        <v>3560.3</v>
      </c>
      <c r="O2092">
        <v>0.05</v>
      </c>
      <c r="P2092">
        <v>178.02</v>
      </c>
      <c r="Q2092">
        <v>3382.28</v>
      </c>
      <c r="R2092">
        <v>2421</v>
      </c>
      <c r="S2092">
        <v>961.28</v>
      </c>
    </row>
    <row r="2093" spans="1:19" x14ac:dyDescent="0.35">
      <c r="A2093">
        <v>200831</v>
      </c>
      <c r="B2093">
        <v>2162</v>
      </c>
      <c r="C2093" t="s">
        <v>33</v>
      </c>
      <c r="D2093" t="s">
        <v>29</v>
      </c>
      <c r="E2093" t="s">
        <v>21</v>
      </c>
      <c r="F2093" t="s">
        <v>22</v>
      </c>
      <c r="G2093" s="1">
        <v>45568</v>
      </c>
      <c r="H2093" s="1">
        <v>45571</v>
      </c>
      <c r="I2093" s="1">
        <v>45579</v>
      </c>
      <c r="J2093">
        <v>11</v>
      </c>
      <c r="K2093">
        <v>3</v>
      </c>
      <c r="L2093">
        <v>9</v>
      </c>
      <c r="M2093">
        <v>498.72</v>
      </c>
      <c r="N2093">
        <v>4488.4799999999996</v>
      </c>
      <c r="O2093">
        <v>0.11</v>
      </c>
      <c r="P2093">
        <v>493.73</v>
      </c>
      <c r="Q2093">
        <v>3994.75</v>
      </c>
      <c r="R2093">
        <v>3321.48</v>
      </c>
      <c r="S2093">
        <v>673.27</v>
      </c>
    </row>
    <row r="2094" spans="1:19" x14ac:dyDescent="0.35">
      <c r="A2094">
        <v>200832</v>
      </c>
      <c r="B2094">
        <v>2432</v>
      </c>
      <c r="C2094" t="s">
        <v>33</v>
      </c>
      <c r="D2094" t="s">
        <v>20</v>
      </c>
      <c r="E2094" t="s">
        <v>34</v>
      </c>
      <c r="F2094" t="s">
        <v>45</v>
      </c>
      <c r="G2094" s="1">
        <v>45353</v>
      </c>
      <c r="H2094" s="1">
        <v>45357</v>
      </c>
      <c r="I2094" s="1">
        <v>45378</v>
      </c>
      <c r="J2094">
        <v>25</v>
      </c>
      <c r="K2094">
        <v>4</v>
      </c>
      <c r="L2094">
        <v>2</v>
      </c>
      <c r="M2094">
        <v>220.44</v>
      </c>
      <c r="N2094">
        <v>440.88</v>
      </c>
      <c r="O2094">
        <v>0.15</v>
      </c>
      <c r="P2094">
        <v>66.13</v>
      </c>
      <c r="Q2094">
        <v>374.75</v>
      </c>
      <c r="R2094">
        <v>277.75</v>
      </c>
      <c r="S2094">
        <v>97</v>
      </c>
    </row>
    <row r="2095" spans="1:19" x14ac:dyDescent="0.35">
      <c r="A2095">
        <v>200833</v>
      </c>
      <c r="B2095">
        <v>4097</v>
      </c>
      <c r="C2095" t="s">
        <v>19</v>
      </c>
      <c r="D2095" t="s">
        <v>20</v>
      </c>
      <c r="E2095" t="s">
        <v>26</v>
      </c>
      <c r="F2095" t="s">
        <v>27</v>
      </c>
      <c r="G2095" s="1">
        <v>45338</v>
      </c>
      <c r="H2095" s="1">
        <v>45339</v>
      </c>
      <c r="I2095" s="1">
        <v>45351</v>
      </c>
      <c r="J2095">
        <v>13</v>
      </c>
      <c r="K2095">
        <v>1</v>
      </c>
      <c r="L2095">
        <v>4</v>
      </c>
      <c r="M2095">
        <v>725.78</v>
      </c>
      <c r="N2095">
        <v>2903.12</v>
      </c>
      <c r="O2095">
        <v>0.11</v>
      </c>
      <c r="P2095">
        <v>319.33999999999997</v>
      </c>
      <c r="Q2095">
        <v>2583.7800000000002</v>
      </c>
      <c r="R2095">
        <v>1770.9</v>
      </c>
      <c r="S2095">
        <v>812.88</v>
      </c>
    </row>
    <row r="2096" spans="1:19" x14ac:dyDescent="0.35">
      <c r="A2096">
        <v>200834</v>
      </c>
      <c r="B2096">
        <v>2191</v>
      </c>
      <c r="C2096" t="s">
        <v>19</v>
      </c>
      <c r="D2096" t="s">
        <v>29</v>
      </c>
      <c r="E2096" t="s">
        <v>26</v>
      </c>
      <c r="F2096" t="s">
        <v>27</v>
      </c>
      <c r="G2096" s="1">
        <v>45417</v>
      </c>
      <c r="H2096" s="1">
        <v>45418</v>
      </c>
      <c r="I2096" s="1">
        <v>45426</v>
      </c>
      <c r="J2096">
        <v>9</v>
      </c>
      <c r="K2096">
        <v>1</v>
      </c>
      <c r="L2096">
        <v>12</v>
      </c>
      <c r="M2096">
        <v>45.87</v>
      </c>
      <c r="N2096">
        <v>550.44000000000005</v>
      </c>
      <c r="O2096">
        <v>0.1</v>
      </c>
      <c r="P2096">
        <v>55.04</v>
      </c>
      <c r="Q2096">
        <v>495.4</v>
      </c>
      <c r="R2096">
        <v>291.73</v>
      </c>
      <c r="S2096">
        <v>203.67</v>
      </c>
    </row>
    <row r="2097" spans="1:19" x14ac:dyDescent="0.35">
      <c r="A2097">
        <v>200835</v>
      </c>
      <c r="B2097">
        <v>1697</v>
      </c>
      <c r="C2097" t="s">
        <v>28</v>
      </c>
      <c r="D2097" t="s">
        <v>31</v>
      </c>
      <c r="E2097" t="s">
        <v>34</v>
      </c>
      <c r="F2097" t="s">
        <v>40</v>
      </c>
      <c r="G2097" s="1">
        <v>45560</v>
      </c>
      <c r="H2097" s="1">
        <v>45563</v>
      </c>
      <c r="I2097" s="1">
        <v>45562</v>
      </c>
      <c r="J2097">
        <v>2</v>
      </c>
      <c r="K2097">
        <v>3</v>
      </c>
      <c r="L2097">
        <v>5</v>
      </c>
      <c r="M2097">
        <v>510.79</v>
      </c>
      <c r="N2097">
        <v>2553.9499999999998</v>
      </c>
      <c r="O2097">
        <v>0.06</v>
      </c>
      <c r="P2097">
        <v>153.24</v>
      </c>
      <c r="Q2097">
        <v>2400.71</v>
      </c>
      <c r="R2097">
        <v>1506.83</v>
      </c>
      <c r="S2097">
        <v>893.88</v>
      </c>
    </row>
    <row r="2098" spans="1:19" x14ac:dyDescent="0.35">
      <c r="A2098">
        <v>200836</v>
      </c>
      <c r="B2098">
        <v>1711</v>
      </c>
      <c r="C2098" t="s">
        <v>33</v>
      </c>
      <c r="D2098" t="s">
        <v>31</v>
      </c>
      <c r="E2098" t="s">
        <v>24</v>
      </c>
      <c r="F2098" t="s">
        <v>25</v>
      </c>
      <c r="G2098" s="1">
        <v>45430</v>
      </c>
      <c r="H2098" s="1">
        <v>45433</v>
      </c>
      <c r="I2098" s="1">
        <v>45446</v>
      </c>
      <c r="J2098">
        <v>16</v>
      </c>
      <c r="K2098">
        <v>3</v>
      </c>
      <c r="L2098">
        <v>12</v>
      </c>
      <c r="M2098">
        <v>556.58000000000004</v>
      </c>
      <c r="N2098">
        <v>6678.96</v>
      </c>
      <c r="O2098">
        <v>0.12</v>
      </c>
      <c r="P2098">
        <v>801.48</v>
      </c>
      <c r="Q2098">
        <v>5877.48</v>
      </c>
      <c r="R2098">
        <v>4408.1099999999997</v>
      </c>
      <c r="S2098">
        <v>1469.37</v>
      </c>
    </row>
    <row r="2099" spans="1:19" x14ac:dyDescent="0.35">
      <c r="A2099">
        <v>200837</v>
      </c>
      <c r="B2099">
        <v>1533</v>
      </c>
      <c r="C2099" t="s">
        <v>33</v>
      </c>
      <c r="D2099" t="s">
        <v>31</v>
      </c>
      <c r="E2099" t="s">
        <v>21</v>
      </c>
      <c r="F2099" t="s">
        <v>38</v>
      </c>
      <c r="G2099" s="1">
        <v>45506</v>
      </c>
      <c r="H2099" s="1">
        <v>45510</v>
      </c>
      <c r="I2099" s="1">
        <v>45524</v>
      </c>
      <c r="J2099">
        <v>18</v>
      </c>
      <c r="K2099">
        <v>4</v>
      </c>
      <c r="L2099">
        <v>9</v>
      </c>
      <c r="M2099">
        <v>218.44</v>
      </c>
      <c r="N2099">
        <v>1965.96</v>
      </c>
      <c r="O2099">
        <v>0.16</v>
      </c>
      <c r="P2099">
        <v>314.55</v>
      </c>
      <c r="Q2099">
        <v>1651.41</v>
      </c>
      <c r="R2099">
        <v>1179.58</v>
      </c>
      <c r="S2099">
        <v>471.83</v>
      </c>
    </row>
    <row r="2100" spans="1:19" x14ac:dyDescent="0.35">
      <c r="A2100">
        <v>200838</v>
      </c>
      <c r="B2100">
        <v>4174</v>
      </c>
      <c r="C2100" t="s">
        <v>23</v>
      </c>
      <c r="D2100" t="s">
        <v>20</v>
      </c>
      <c r="E2100" t="s">
        <v>24</v>
      </c>
      <c r="F2100" t="s">
        <v>42</v>
      </c>
      <c r="G2100" s="1">
        <v>45437</v>
      </c>
      <c r="H2100" s="1">
        <v>45441</v>
      </c>
      <c r="I2100" s="1">
        <v>45448</v>
      </c>
      <c r="J2100">
        <v>11</v>
      </c>
      <c r="K2100">
        <v>4</v>
      </c>
      <c r="L2100">
        <v>4</v>
      </c>
      <c r="M2100">
        <v>697.53</v>
      </c>
      <c r="N2100">
        <v>2790.12</v>
      </c>
      <c r="O2100">
        <v>0.13</v>
      </c>
      <c r="P2100">
        <v>362.72</v>
      </c>
      <c r="Q2100">
        <v>2427.4</v>
      </c>
      <c r="R2100">
        <v>1562.47</v>
      </c>
      <c r="S2100">
        <v>864.93</v>
      </c>
    </row>
    <row r="2101" spans="1:19" x14ac:dyDescent="0.35">
      <c r="A2101">
        <v>200839</v>
      </c>
      <c r="B2101">
        <v>1825</v>
      </c>
      <c r="C2101" t="s">
        <v>19</v>
      </c>
      <c r="D2101" t="s">
        <v>31</v>
      </c>
      <c r="E2101" t="s">
        <v>21</v>
      </c>
      <c r="F2101" t="s">
        <v>39</v>
      </c>
      <c r="G2101" s="1">
        <v>45303</v>
      </c>
      <c r="H2101" s="1">
        <v>45304</v>
      </c>
      <c r="I2101" s="1">
        <v>45327</v>
      </c>
      <c r="J2101">
        <v>24</v>
      </c>
      <c r="K2101">
        <v>1</v>
      </c>
      <c r="L2101">
        <v>12</v>
      </c>
      <c r="M2101">
        <v>443.74</v>
      </c>
      <c r="N2101">
        <v>5324.88</v>
      </c>
      <c r="O2101">
        <v>0.16</v>
      </c>
      <c r="P2101">
        <v>851.98</v>
      </c>
      <c r="Q2101">
        <v>4472.8999999999996</v>
      </c>
      <c r="R2101">
        <v>3461.17</v>
      </c>
      <c r="S2101">
        <v>1011.73</v>
      </c>
    </row>
    <row r="2102" spans="1:19" x14ac:dyDescent="0.35">
      <c r="A2102">
        <v>200840</v>
      </c>
      <c r="B2102">
        <v>3494</v>
      </c>
      <c r="C2102" t="s">
        <v>33</v>
      </c>
      <c r="D2102" t="s">
        <v>29</v>
      </c>
      <c r="E2102" t="s">
        <v>26</v>
      </c>
      <c r="F2102" t="s">
        <v>27</v>
      </c>
      <c r="G2102" s="1">
        <v>45325</v>
      </c>
      <c r="H2102" s="1">
        <v>45328</v>
      </c>
      <c r="I2102" s="1">
        <v>45344</v>
      </c>
      <c r="J2102">
        <v>19</v>
      </c>
      <c r="K2102">
        <v>3</v>
      </c>
      <c r="L2102">
        <v>12</v>
      </c>
      <c r="M2102">
        <v>532.95000000000005</v>
      </c>
      <c r="N2102">
        <v>6395.4</v>
      </c>
      <c r="O2102">
        <v>0.08</v>
      </c>
      <c r="P2102">
        <v>511.63</v>
      </c>
      <c r="Q2102">
        <v>5883.77</v>
      </c>
      <c r="R2102">
        <v>3773.29</v>
      </c>
      <c r="S2102">
        <v>2110.48</v>
      </c>
    </row>
    <row r="2103" spans="1:19" x14ac:dyDescent="0.35">
      <c r="A2103">
        <v>200841</v>
      </c>
      <c r="B2103">
        <v>1778</v>
      </c>
      <c r="C2103" t="s">
        <v>28</v>
      </c>
      <c r="D2103" t="s">
        <v>20</v>
      </c>
      <c r="E2103" t="s">
        <v>21</v>
      </c>
      <c r="F2103" t="s">
        <v>39</v>
      </c>
      <c r="G2103" s="1">
        <v>45297</v>
      </c>
      <c r="H2103" s="1">
        <v>45302</v>
      </c>
      <c r="I2103" s="1">
        <v>45307</v>
      </c>
      <c r="J2103">
        <v>10</v>
      </c>
      <c r="K2103">
        <v>5</v>
      </c>
      <c r="L2103">
        <v>2</v>
      </c>
      <c r="M2103">
        <v>126.56</v>
      </c>
      <c r="N2103">
        <v>253.12</v>
      </c>
      <c r="O2103">
        <v>0.02</v>
      </c>
      <c r="P2103">
        <v>5.0599999999999996</v>
      </c>
      <c r="Q2103">
        <v>248.06</v>
      </c>
      <c r="R2103">
        <v>167.06</v>
      </c>
      <c r="S2103">
        <v>81</v>
      </c>
    </row>
    <row r="2104" spans="1:19" x14ac:dyDescent="0.35">
      <c r="A2104">
        <v>200842</v>
      </c>
      <c r="B2104">
        <v>1331</v>
      </c>
      <c r="C2104" t="s">
        <v>19</v>
      </c>
      <c r="D2104" t="s">
        <v>29</v>
      </c>
      <c r="E2104" t="s">
        <v>34</v>
      </c>
      <c r="F2104" t="s">
        <v>40</v>
      </c>
      <c r="G2104" s="1">
        <v>45655</v>
      </c>
      <c r="H2104" s="1">
        <v>45658</v>
      </c>
      <c r="I2104" s="1">
        <v>45670</v>
      </c>
      <c r="J2104">
        <v>15</v>
      </c>
      <c r="K2104">
        <v>3</v>
      </c>
      <c r="L2104">
        <v>13</v>
      </c>
      <c r="M2104">
        <v>306.67</v>
      </c>
      <c r="N2104">
        <v>3986.71</v>
      </c>
      <c r="O2104">
        <v>0.09</v>
      </c>
      <c r="P2104">
        <v>358.8</v>
      </c>
      <c r="Q2104">
        <v>3627.91</v>
      </c>
      <c r="R2104">
        <v>2392.0300000000002</v>
      </c>
      <c r="S2104">
        <v>1235.8800000000001</v>
      </c>
    </row>
    <row r="2105" spans="1:19" x14ac:dyDescent="0.35">
      <c r="A2105">
        <v>200843</v>
      </c>
      <c r="B2105">
        <v>2186</v>
      </c>
      <c r="C2105" t="s">
        <v>23</v>
      </c>
      <c r="D2105" t="s">
        <v>29</v>
      </c>
      <c r="E2105" t="s">
        <v>34</v>
      </c>
      <c r="F2105" t="s">
        <v>43</v>
      </c>
      <c r="G2105" s="1">
        <v>45391</v>
      </c>
      <c r="H2105" s="1">
        <v>45395</v>
      </c>
      <c r="I2105" s="1">
        <v>45415</v>
      </c>
      <c r="J2105">
        <v>24</v>
      </c>
      <c r="K2105">
        <v>4</v>
      </c>
      <c r="L2105">
        <v>5</v>
      </c>
      <c r="M2105">
        <v>203.99</v>
      </c>
      <c r="N2105">
        <v>1019.95</v>
      </c>
      <c r="O2105">
        <v>0.06</v>
      </c>
      <c r="P2105">
        <v>61.2</v>
      </c>
      <c r="Q2105">
        <v>958.75</v>
      </c>
      <c r="R2105">
        <v>713.96</v>
      </c>
      <c r="S2105">
        <v>244.79</v>
      </c>
    </row>
    <row r="2106" spans="1:19" x14ac:dyDescent="0.35">
      <c r="A2106">
        <v>200844</v>
      </c>
      <c r="B2106">
        <v>4014</v>
      </c>
      <c r="C2106" t="s">
        <v>33</v>
      </c>
      <c r="D2106" t="s">
        <v>29</v>
      </c>
      <c r="E2106" t="s">
        <v>21</v>
      </c>
      <c r="F2106" t="s">
        <v>41</v>
      </c>
      <c r="G2106" s="1">
        <v>45657</v>
      </c>
      <c r="H2106" s="1">
        <v>45662</v>
      </c>
      <c r="I2106" s="1">
        <v>45687</v>
      </c>
      <c r="J2106">
        <v>30</v>
      </c>
      <c r="K2106">
        <v>5</v>
      </c>
      <c r="L2106">
        <v>7</v>
      </c>
      <c r="M2106">
        <v>397.17</v>
      </c>
      <c r="N2106">
        <v>2780.19</v>
      </c>
      <c r="O2106">
        <v>0.06</v>
      </c>
      <c r="P2106">
        <v>166.81</v>
      </c>
      <c r="Q2106">
        <v>2613.38</v>
      </c>
      <c r="R2106">
        <v>1723.72</v>
      </c>
      <c r="S2106">
        <v>889.66</v>
      </c>
    </row>
    <row r="2107" spans="1:19" x14ac:dyDescent="0.35">
      <c r="A2107">
        <v>200845</v>
      </c>
      <c r="B2107">
        <v>2657</v>
      </c>
      <c r="C2107" t="s">
        <v>19</v>
      </c>
      <c r="D2107" t="s">
        <v>31</v>
      </c>
      <c r="E2107" t="s">
        <v>26</v>
      </c>
      <c r="F2107" t="s">
        <v>27</v>
      </c>
      <c r="G2107" s="1">
        <v>45546</v>
      </c>
      <c r="H2107" s="1">
        <v>45548</v>
      </c>
      <c r="I2107" s="1">
        <v>45573</v>
      </c>
      <c r="J2107">
        <v>27</v>
      </c>
      <c r="K2107">
        <v>2</v>
      </c>
      <c r="L2107">
        <v>2</v>
      </c>
      <c r="M2107">
        <v>580.22</v>
      </c>
      <c r="N2107">
        <v>1160.44</v>
      </c>
      <c r="O2107">
        <v>0.02</v>
      </c>
      <c r="P2107">
        <v>23.21</v>
      </c>
      <c r="Q2107">
        <v>1137.23</v>
      </c>
      <c r="R2107">
        <v>684.66</v>
      </c>
      <c r="S2107">
        <v>452.57</v>
      </c>
    </row>
    <row r="2108" spans="1:19" x14ac:dyDescent="0.35">
      <c r="A2108">
        <v>200846</v>
      </c>
      <c r="B2108">
        <v>1223</v>
      </c>
      <c r="C2108" t="s">
        <v>33</v>
      </c>
      <c r="D2108" t="s">
        <v>31</v>
      </c>
      <c r="E2108" t="s">
        <v>21</v>
      </c>
      <c r="F2108" t="s">
        <v>39</v>
      </c>
      <c r="G2108" s="1">
        <v>45460</v>
      </c>
      <c r="H2108" s="1">
        <v>45465</v>
      </c>
      <c r="I2108" s="1">
        <v>45486</v>
      </c>
      <c r="J2108">
        <v>26</v>
      </c>
      <c r="K2108">
        <v>5</v>
      </c>
      <c r="L2108">
        <v>12</v>
      </c>
      <c r="M2108">
        <v>569.19000000000005</v>
      </c>
      <c r="N2108">
        <v>6830.28</v>
      </c>
      <c r="O2108">
        <v>0.09</v>
      </c>
      <c r="P2108">
        <v>614.73</v>
      </c>
      <c r="Q2108">
        <v>6215.55</v>
      </c>
      <c r="R2108">
        <v>4507.9799999999996</v>
      </c>
      <c r="S2108">
        <v>1707.57</v>
      </c>
    </row>
    <row r="2109" spans="1:19" x14ac:dyDescent="0.35">
      <c r="A2109">
        <v>200847</v>
      </c>
      <c r="B2109">
        <v>3048</v>
      </c>
      <c r="C2109" t="s">
        <v>23</v>
      </c>
      <c r="D2109" t="s">
        <v>29</v>
      </c>
      <c r="E2109" t="s">
        <v>26</v>
      </c>
      <c r="F2109" t="s">
        <v>27</v>
      </c>
      <c r="G2109" s="1">
        <v>45471</v>
      </c>
      <c r="H2109" s="1">
        <v>45476</v>
      </c>
      <c r="I2109" s="1">
        <v>45500</v>
      </c>
      <c r="J2109">
        <v>29</v>
      </c>
      <c r="K2109">
        <v>5</v>
      </c>
      <c r="L2109">
        <v>11</v>
      </c>
      <c r="M2109">
        <v>68.180000000000007</v>
      </c>
      <c r="N2109">
        <v>749.98</v>
      </c>
      <c r="O2109">
        <v>0.14000000000000001</v>
      </c>
      <c r="P2109">
        <v>105</v>
      </c>
      <c r="Q2109">
        <v>644.98</v>
      </c>
      <c r="R2109">
        <v>502.49</v>
      </c>
      <c r="S2109">
        <v>142.49</v>
      </c>
    </row>
    <row r="2110" spans="1:19" x14ac:dyDescent="0.35">
      <c r="A2110">
        <v>200848</v>
      </c>
      <c r="B2110">
        <v>4685</v>
      </c>
      <c r="C2110" t="s">
        <v>28</v>
      </c>
      <c r="D2110" t="s">
        <v>29</v>
      </c>
      <c r="E2110" t="s">
        <v>26</v>
      </c>
      <c r="F2110" t="s">
        <v>27</v>
      </c>
      <c r="G2110" s="1">
        <v>45527</v>
      </c>
      <c r="H2110" s="1">
        <v>45530</v>
      </c>
      <c r="I2110" s="1">
        <v>45546</v>
      </c>
      <c r="J2110">
        <v>19</v>
      </c>
      <c r="K2110">
        <v>3</v>
      </c>
      <c r="L2110">
        <v>11</v>
      </c>
      <c r="M2110">
        <v>761.46</v>
      </c>
      <c r="N2110">
        <v>8376.06</v>
      </c>
      <c r="O2110">
        <v>0.08</v>
      </c>
      <c r="P2110">
        <v>670.08</v>
      </c>
      <c r="Q2110">
        <v>7705.98</v>
      </c>
      <c r="R2110">
        <v>5360.68</v>
      </c>
      <c r="S2110">
        <v>2345.3000000000002</v>
      </c>
    </row>
    <row r="2111" spans="1:19" x14ac:dyDescent="0.35">
      <c r="A2111">
        <v>200849</v>
      </c>
      <c r="B2111">
        <v>2142</v>
      </c>
      <c r="C2111" t="s">
        <v>19</v>
      </c>
      <c r="D2111" t="s">
        <v>29</v>
      </c>
      <c r="E2111" t="s">
        <v>21</v>
      </c>
      <c r="F2111" t="s">
        <v>38</v>
      </c>
      <c r="G2111" s="1">
        <v>45630</v>
      </c>
      <c r="H2111" s="1">
        <v>45631</v>
      </c>
      <c r="I2111" s="1">
        <v>45650</v>
      </c>
      <c r="J2111">
        <v>20</v>
      </c>
      <c r="K2111">
        <v>1</v>
      </c>
      <c r="L2111">
        <v>9</v>
      </c>
      <c r="M2111">
        <v>185.47</v>
      </c>
      <c r="N2111">
        <v>1669.23</v>
      </c>
      <c r="O2111">
        <v>0</v>
      </c>
      <c r="P2111">
        <v>0</v>
      </c>
      <c r="Q2111">
        <v>1669.23</v>
      </c>
      <c r="R2111">
        <v>1018.23</v>
      </c>
      <c r="S2111">
        <v>651</v>
      </c>
    </row>
    <row r="2112" spans="1:19" x14ac:dyDescent="0.35">
      <c r="A2112">
        <v>200850</v>
      </c>
      <c r="B2112">
        <v>1852</v>
      </c>
      <c r="C2112" t="s">
        <v>19</v>
      </c>
      <c r="D2112" t="s">
        <v>29</v>
      </c>
      <c r="E2112" t="s">
        <v>24</v>
      </c>
      <c r="F2112" t="s">
        <v>42</v>
      </c>
      <c r="G2112" s="1">
        <v>45404</v>
      </c>
      <c r="H2112" s="1">
        <v>45409</v>
      </c>
      <c r="I2112" s="1">
        <v>45412</v>
      </c>
      <c r="J2112">
        <v>8</v>
      </c>
      <c r="K2112">
        <v>5</v>
      </c>
      <c r="L2112">
        <v>4</v>
      </c>
      <c r="M2112">
        <v>360.19</v>
      </c>
      <c r="N2112">
        <v>1440.76</v>
      </c>
      <c r="O2112">
        <v>0.12</v>
      </c>
      <c r="P2112">
        <v>172.89</v>
      </c>
      <c r="Q2112">
        <v>1267.8699999999999</v>
      </c>
      <c r="R2112">
        <v>922.09</v>
      </c>
      <c r="S2112">
        <v>345.78</v>
      </c>
    </row>
    <row r="2113" spans="1:19" x14ac:dyDescent="0.35">
      <c r="A2113">
        <v>200851</v>
      </c>
      <c r="B2113">
        <v>3028</v>
      </c>
      <c r="C2113" t="s">
        <v>28</v>
      </c>
      <c r="D2113" t="s">
        <v>31</v>
      </c>
      <c r="E2113" t="s">
        <v>21</v>
      </c>
      <c r="F2113" t="s">
        <v>22</v>
      </c>
      <c r="G2113" s="1">
        <v>45412</v>
      </c>
      <c r="H2113" s="1">
        <v>45416</v>
      </c>
      <c r="I2113" s="1">
        <v>45438</v>
      </c>
      <c r="J2113">
        <v>26</v>
      </c>
      <c r="K2113">
        <v>4</v>
      </c>
      <c r="L2113">
        <v>6</v>
      </c>
      <c r="M2113">
        <v>556.87</v>
      </c>
      <c r="N2113">
        <v>3341.22</v>
      </c>
      <c r="O2113">
        <v>0.12</v>
      </c>
      <c r="P2113">
        <v>400.95</v>
      </c>
      <c r="Q2113">
        <v>2940.27</v>
      </c>
      <c r="R2113">
        <v>2272.0300000000002</v>
      </c>
      <c r="S2113">
        <v>668.24</v>
      </c>
    </row>
    <row r="2114" spans="1:19" x14ac:dyDescent="0.35">
      <c r="A2114">
        <v>200852</v>
      </c>
      <c r="B2114">
        <v>3336</v>
      </c>
      <c r="C2114" t="s">
        <v>19</v>
      </c>
      <c r="D2114" t="s">
        <v>29</v>
      </c>
      <c r="E2114" t="s">
        <v>34</v>
      </c>
      <c r="F2114" t="s">
        <v>43</v>
      </c>
      <c r="G2114" s="1">
        <v>45469</v>
      </c>
      <c r="H2114" s="1">
        <v>45473</v>
      </c>
      <c r="I2114" s="1">
        <v>45483</v>
      </c>
      <c r="J2114">
        <v>14</v>
      </c>
      <c r="K2114">
        <v>4</v>
      </c>
      <c r="L2114">
        <v>10</v>
      </c>
      <c r="M2114">
        <v>342.94</v>
      </c>
      <c r="N2114">
        <v>3429.4</v>
      </c>
      <c r="O2114">
        <v>0.17</v>
      </c>
      <c r="P2114">
        <v>583</v>
      </c>
      <c r="Q2114">
        <v>2846.4</v>
      </c>
      <c r="R2114">
        <v>2194.8200000000002</v>
      </c>
      <c r="S2114">
        <v>651.58000000000004</v>
      </c>
    </row>
    <row r="2115" spans="1:19" x14ac:dyDescent="0.35">
      <c r="A2115">
        <v>200853</v>
      </c>
      <c r="B2115">
        <v>4126</v>
      </c>
      <c r="C2115" t="s">
        <v>33</v>
      </c>
      <c r="D2115" t="s">
        <v>31</v>
      </c>
      <c r="E2115" t="s">
        <v>24</v>
      </c>
      <c r="F2115" t="s">
        <v>30</v>
      </c>
      <c r="G2115" s="1">
        <v>45508</v>
      </c>
      <c r="H2115" s="1">
        <v>45512</v>
      </c>
      <c r="I2115" s="1">
        <v>45517</v>
      </c>
      <c r="J2115">
        <v>9</v>
      </c>
      <c r="K2115">
        <v>4</v>
      </c>
      <c r="L2115">
        <v>12</v>
      </c>
      <c r="M2115">
        <v>472.85</v>
      </c>
      <c r="N2115">
        <v>5674.2</v>
      </c>
      <c r="O2115">
        <v>0.11</v>
      </c>
      <c r="P2115">
        <v>624.16</v>
      </c>
      <c r="Q2115">
        <v>5050.04</v>
      </c>
      <c r="R2115">
        <v>3461.26</v>
      </c>
      <c r="S2115">
        <v>1588.78</v>
      </c>
    </row>
    <row r="2116" spans="1:19" x14ac:dyDescent="0.35">
      <c r="A2116">
        <v>200854</v>
      </c>
      <c r="B2116">
        <v>4272</v>
      </c>
      <c r="C2116" t="s">
        <v>23</v>
      </c>
      <c r="D2116" t="s">
        <v>29</v>
      </c>
      <c r="E2116" t="s">
        <v>34</v>
      </c>
      <c r="F2116" t="s">
        <v>45</v>
      </c>
      <c r="G2116" s="1">
        <v>45327</v>
      </c>
      <c r="H2116" s="1">
        <v>45332</v>
      </c>
      <c r="I2116" s="1">
        <v>45329</v>
      </c>
      <c r="J2116">
        <v>2</v>
      </c>
      <c r="K2116">
        <v>5</v>
      </c>
      <c r="L2116">
        <v>3</v>
      </c>
      <c r="M2116">
        <v>574.04999999999995</v>
      </c>
      <c r="N2116">
        <v>1722.15</v>
      </c>
      <c r="O2116">
        <v>0.09</v>
      </c>
      <c r="P2116">
        <v>154.99</v>
      </c>
      <c r="Q2116">
        <v>1567.16</v>
      </c>
      <c r="R2116">
        <v>1171.06</v>
      </c>
      <c r="S2116">
        <v>396.1</v>
      </c>
    </row>
    <row r="2117" spans="1:19" x14ac:dyDescent="0.35">
      <c r="A2117">
        <v>200855</v>
      </c>
      <c r="B2117">
        <v>4059</v>
      </c>
      <c r="C2117" t="s">
        <v>19</v>
      </c>
      <c r="D2117" t="s">
        <v>29</v>
      </c>
      <c r="E2117" t="s">
        <v>24</v>
      </c>
      <c r="F2117" t="s">
        <v>42</v>
      </c>
      <c r="G2117" s="1">
        <v>45358</v>
      </c>
      <c r="H2117" s="1">
        <v>45359</v>
      </c>
      <c r="I2117" s="1">
        <v>45368</v>
      </c>
      <c r="J2117">
        <v>10</v>
      </c>
      <c r="K2117">
        <v>1</v>
      </c>
      <c r="L2117">
        <v>6</v>
      </c>
      <c r="M2117">
        <v>486.47</v>
      </c>
      <c r="N2117">
        <v>2918.82</v>
      </c>
      <c r="O2117">
        <v>0.16</v>
      </c>
      <c r="P2117">
        <v>467.01</v>
      </c>
      <c r="Q2117">
        <v>2451.81</v>
      </c>
      <c r="R2117">
        <v>2043.17</v>
      </c>
      <c r="S2117">
        <v>408.64</v>
      </c>
    </row>
    <row r="2118" spans="1:19" x14ac:dyDescent="0.35">
      <c r="A2118">
        <v>200856</v>
      </c>
      <c r="B2118">
        <v>2808</v>
      </c>
      <c r="C2118" t="s">
        <v>19</v>
      </c>
      <c r="D2118" t="s">
        <v>20</v>
      </c>
      <c r="E2118" t="s">
        <v>34</v>
      </c>
      <c r="F2118" t="s">
        <v>35</v>
      </c>
      <c r="G2118" s="1">
        <v>45449</v>
      </c>
      <c r="H2118" s="1">
        <v>45454</v>
      </c>
      <c r="I2118" s="1">
        <v>45473</v>
      </c>
      <c r="J2118">
        <v>24</v>
      </c>
      <c r="K2118">
        <v>5</v>
      </c>
      <c r="L2118">
        <v>3</v>
      </c>
      <c r="M2118">
        <v>538.78</v>
      </c>
      <c r="N2118">
        <v>1616.34</v>
      </c>
      <c r="O2118">
        <v>0.08</v>
      </c>
      <c r="P2118">
        <v>129.31</v>
      </c>
      <c r="Q2118">
        <v>1487.03</v>
      </c>
      <c r="R2118">
        <v>1115.27</v>
      </c>
      <c r="S2118">
        <v>371.76</v>
      </c>
    </row>
    <row r="2119" spans="1:19" x14ac:dyDescent="0.35">
      <c r="A2119">
        <v>200857</v>
      </c>
      <c r="B2119">
        <v>4613</v>
      </c>
      <c r="C2119" t="s">
        <v>28</v>
      </c>
      <c r="D2119" t="s">
        <v>31</v>
      </c>
      <c r="E2119" t="s">
        <v>21</v>
      </c>
      <c r="F2119" t="s">
        <v>39</v>
      </c>
      <c r="G2119" s="1">
        <v>45359</v>
      </c>
      <c r="H2119" s="1">
        <v>45364</v>
      </c>
      <c r="I2119" s="1">
        <v>45385</v>
      </c>
      <c r="J2119">
        <v>26</v>
      </c>
      <c r="K2119">
        <v>5</v>
      </c>
      <c r="L2119">
        <v>3</v>
      </c>
      <c r="M2119">
        <v>120.88</v>
      </c>
      <c r="N2119">
        <v>362.64</v>
      </c>
      <c r="O2119">
        <v>0.1</v>
      </c>
      <c r="P2119">
        <v>36.26</v>
      </c>
      <c r="Q2119">
        <v>326.38</v>
      </c>
      <c r="R2119">
        <v>239.34</v>
      </c>
      <c r="S2119">
        <v>87.04</v>
      </c>
    </row>
    <row r="2120" spans="1:19" x14ac:dyDescent="0.35">
      <c r="A2120">
        <v>200858</v>
      </c>
      <c r="B2120">
        <v>1020</v>
      </c>
      <c r="C2120" t="s">
        <v>33</v>
      </c>
      <c r="D2120" t="s">
        <v>31</v>
      </c>
      <c r="E2120" t="s">
        <v>34</v>
      </c>
      <c r="F2120" t="s">
        <v>43</v>
      </c>
      <c r="G2120" s="1">
        <v>45462</v>
      </c>
      <c r="H2120" s="1">
        <v>45467</v>
      </c>
      <c r="I2120" s="1">
        <v>45468</v>
      </c>
      <c r="J2120">
        <v>6</v>
      </c>
      <c r="K2120">
        <v>5</v>
      </c>
      <c r="L2120">
        <v>14</v>
      </c>
      <c r="M2120">
        <v>218.14</v>
      </c>
      <c r="N2120">
        <v>3053.96</v>
      </c>
      <c r="O2120">
        <v>0.13</v>
      </c>
      <c r="P2120">
        <v>397.01</v>
      </c>
      <c r="Q2120">
        <v>2656.95</v>
      </c>
      <c r="R2120">
        <v>1985.07</v>
      </c>
      <c r="S2120">
        <v>671.88</v>
      </c>
    </row>
    <row r="2121" spans="1:19" x14ac:dyDescent="0.35">
      <c r="A2121">
        <v>200859</v>
      </c>
      <c r="B2121">
        <v>2694</v>
      </c>
      <c r="C2121" t="s">
        <v>28</v>
      </c>
      <c r="D2121" t="s">
        <v>31</v>
      </c>
      <c r="E2121" t="s">
        <v>24</v>
      </c>
      <c r="F2121" t="s">
        <v>30</v>
      </c>
      <c r="G2121" s="1">
        <v>45590</v>
      </c>
      <c r="H2121" s="1">
        <v>45593</v>
      </c>
      <c r="I2121" s="1">
        <v>45597</v>
      </c>
      <c r="J2121">
        <v>7</v>
      </c>
      <c r="K2121">
        <v>3</v>
      </c>
      <c r="L2121">
        <v>5</v>
      </c>
      <c r="M2121">
        <v>632.29</v>
      </c>
      <c r="N2121">
        <v>3161.45</v>
      </c>
      <c r="O2121">
        <v>7.0000000000000007E-2</v>
      </c>
      <c r="P2121">
        <v>221.3</v>
      </c>
      <c r="Q2121">
        <v>2940.15</v>
      </c>
      <c r="R2121">
        <v>1865.26</v>
      </c>
      <c r="S2121">
        <v>1074.8900000000001</v>
      </c>
    </row>
    <row r="2122" spans="1:19" x14ac:dyDescent="0.35">
      <c r="A2122">
        <v>200860</v>
      </c>
      <c r="B2122">
        <v>2535</v>
      </c>
      <c r="C2122" t="s">
        <v>23</v>
      </c>
      <c r="D2122" t="s">
        <v>20</v>
      </c>
      <c r="E2122" t="s">
        <v>24</v>
      </c>
      <c r="F2122" t="s">
        <v>32</v>
      </c>
      <c r="G2122" s="1">
        <v>45459</v>
      </c>
      <c r="H2122" s="1">
        <v>45462</v>
      </c>
      <c r="I2122" s="1">
        <v>45469</v>
      </c>
      <c r="J2122">
        <v>10</v>
      </c>
      <c r="K2122">
        <v>3</v>
      </c>
      <c r="L2122">
        <v>12</v>
      </c>
      <c r="M2122">
        <v>68.98</v>
      </c>
      <c r="N2122">
        <v>827.76</v>
      </c>
      <c r="O2122">
        <v>0.13</v>
      </c>
      <c r="P2122">
        <v>107.61</v>
      </c>
      <c r="Q2122">
        <v>720.15</v>
      </c>
      <c r="R2122">
        <v>554.6</v>
      </c>
      <c r="S2122">
        <v>165.55</v>
      </c>
    </row>
    <row r="2123" spans="1:19" x14ac:dyDescent="0.35">
      <c r="A2123">
        <v>200861</v>
      </c>
      <c r="B2123">
        <v>2955</v>
      </c>
      <c r="C2123" t="s">
        <v>19</v>
      </c>
      <c r="D2123" t="s">
        <v>31</v>
      </c>
      <c r="E2123" t="s">
        <v>34</v>
      </c>
      <c r="F2123" t="s">
        <v>43</v>
      </c>
      <c r="G2123" s="1">
        <v>45611</v>
      </c>
      <c r="H2123" s="1">
        <v>45615</v>
      </c>
      <c r="I2123" s="1">
        <v>45640</v>
      </c>
      <c r="J2123">
        <v>29</v>
      </c>
      <c r="K2123">
        <v>4</v>
      </c>
      <c r="L2123">
        <v>13</v>
      </c>
      <c r="M2123">
        <v>613.46</v>
      </c>
      <c r="N2123">
        <v>7974.98</v>
      </c>
      <c r="O2123">
        <v>0.14000000000000001</v>
      </c>
      <c r="P2123">
        <v>1116.5</v>
      </c>
      <c r="Q2123">
        <v>6858.48</v>
      </c>
      <c r="R2123">
        <v>5582.49</v>
      </c>
      <c r="S2123">
        <v>1275.99</v>
      </c>
    </row>
    <row r="2124" spans="1:19" x14ac:dyDescent="0.35">
      <c r="A2124">
        <v>200862</v>
      </c>
      <c r="B2124">
        <v>3744</v>
      </c>
      <c r="C2124" t="s">
        <v>33</v>
      </c>
      <c r="D2124" t="s">
        <v>20</v>
      </c>
      <c r="E2124" t="s">
        <v>26</v>
      </c>
      <c r="F2124" t="s">
        <v>27</v>
      </c>
      <c r="G2124" s="1">
        <v>45311</v>
      </c>
      <c r="H2124" s="1">
        <v>45312</v>
      </c>
      <c r="I2124" s="1">
        <v>45332</v>
      </c>
      <c r="J2124">
        <v>21</v>
      </c>
      <c r="K2124">
        <v>1</v>
      </c>
      <c r="L2124">
        <v>13</v>
      </c>
      <c r="M2124">
        <v>530.14</v>
      </c>
      <c r="N2124">
        <v>6891.82</v>
      </c>
      <c r="O2124">
        <v>0.19</v>
      </c>
      <c r="P2124">
        <v>1309.45</v>
      </c>
      <c r="Q2124">
        <v>5582.37</v>
      </c>
      <c r="R2124">
        <v>4272.93</v>
      </c>
      <c r="S2124">
        <v>1309.44</v>
      </c>
    </row>
    <row r="2125" spans="1:19" x14ac:dyDescent="0.35">
      <c r="A2125">
        <v>200863</v>
      </c>
      <c r="B2125">
        <v>2998</v>
      </c>
      <c r="C2125" t="s">
        <v>28</v>
      </c>
      <c r="D2125" t="s">
        <v>20</v>
      </c>
      <c r="E2125" t="s">
        <v>24</v>
      </c>
      <c r="F2125" t="s">
        <v>32</v>
      </c>
      <c r="G2125" s="1">
        <v>45528</v>
      </c>
      <c r="H2125" s="1">
        <v>45529</v>
      </c>
      <c r="I2125" s="1">
        <v>45535</v>
      </c>
      <c r="J2125">
        <v>7</v>
      </c>
      <c r="K2125">
        <v>1</v>
      </c>
      <c r="L2125">
        <v>3</v>
      </c>
      <c r="M2125">
        <v>404.85</v>
      </c>
      <c r="N2125">
        <v>1214.55</v>
      </c>
      <c r="O2125">
        <v>0.03</v>
      </c>
      <c r="P2125">
        <v>36.44</v>
      </c>
      <c r="Q2125">
        <v>1178.1099999999999</v>
      </c>
      <c r="R2125">
        <v>838.04</v>
      </c>
      <c r="S2125">
        <v>340.07</v>
      </c>
    </row>
    <row r="2126" spans="1:19" x14ac:dyDescent="0.35">
      <c r="A2126">
        <v>200864</v>
      </c>
      <c r="B2126">
        <v>4200</v>
      </c>
      <c r="C2126" t="s">
        <v>28</v>
      </c>
      <c r="D2126" t="s">
        <v>20</v>
      </c>
      <c r="E2126" t="s">
        <v>24</v>
      </c>
      <c r="F2126" t="s">
        <v>42</v>
      </c>
      <c r="G2126" s="1">
        <v>45562</v>
      </c>
      <c r="H2126" s="1">
        <v>45567</v>
      </c>
      <c r="I2126" s="1">
        <v>45573</v>
      </c>
      <c r="J2126">
        <v>11</v>
      </c>
      <c r="K2126">
        <v>5</v>
      </c>
      <c r="L2126">
        <v>10</v>
      </c>
      <c r="M2126">
        <v>272.62</v>
      </c>
      <c r="N2126">
        <v>2726.2</v>
      </c>
      <c r="O2126">
        <v>0.06</v>
      </c>
      <c r="P2126">
        <v>163.57</v>
      </c>
      <c r="Q2126">
        <v>2562.63</v>
      </c>
      <c r="R2126">
        <v>1853.82</v>
      </c>
      <c r="S2126">
        <v>708.81</v>
      </c>
    </row>
    <row r="2127" spans="1:19" x14ac:dyDescent="0.35">
      <c r="A2127">
        <v>200865</v>
      </c>
      <c r="B2127">
        <v>2568</v>
      </c>
      <c r="C2127" t="s">
        <v>33</v>
      </c>
      <c r="D2127" t="s">
        <v>29</v>
      </c>
      <c r="E2127" t="s">
        <v>21</v>
      </c>
      <c r="F2127" t="s">
        <v>39</v>
      </c>
      <c r="G2127" s="1">
        <v>45588</v>
      </c>
      <c r="H2127" s="1">
        <v>45589</v>
      </c>
      <c r="I2127" s="1">
        <v>45604</v>
      </c>
      <c r="J2127">
        <v>16</v>
      </c>
      <c r="K2127">
        <v>1</v>
      </c>
      <c r="L2127">
        <v>12</v>
      </c>
      <c r="M2127">
        <v>283.99</v>
      </c>
      <c r="N2127">
        <v>3407.88</v>
      </c>
      <c r="O2127">
        <v>0.18</v>
      </c>
      <c r="P2127">
        <v>613.41999999999996</v>
      </c>
      <c r="Q2127">
        <v>2794.46</v>
      </c>
      <c r="R2127">
        <v>2010.65</v>
      </c>
      <c r="S2127">
        <v>783.81</v>
      </c>
    </row>
    <row r="2128" spans="1:19" x14ac:dyDescent="0.35">
      <c r="A2128">
        <v>200866</v>
      </c>
      <c r="B2128">
        <v>4974</v>
      </c>
      <c r="C2128" t="s">
        <v>23</v>
      </c>
      <c r="D2128" t="s">
        <v>20</v>
      </c>
      <c r="E2128" t="s">
        <v>21</v>
      </c>
      <c r="F2128" t="s">
        <v>38</v>
      </c>
      <c r="G2128" s="1">
        <v>45629</v>
      </c>
      <c r="H2128" s="1">
        <v>45631</v>
      </c>
      <c r="I2128" s="1">
        <v>45631</v>
      </c>
      <c r="J2128">
        <v>2</v>
      </c>
      <c r="K2128">
        <v>2</v>
      </c>
      <c r="L2128">
        <v>5</v>
      </c>
      <c r="M2128">
        <v>338.41</v>
      </c>
      <c r="N2128">
        <v>1692.05</v>
      </c>
      <c r="O2128">
        <v>0.15</v>
      </c>
      <c r="P2128">
        <v>253.81</v>
      </c>
      <c r="Q2128">
        <v>1438.24</v>
      </c>
      <c r="R2128">
        <v>930.63</v>
      </c>
      <c r="S2128">
        <v>507.61</v>
      </c>
    </row>
    <row r="2129" spans="1:19" x14ac:dyDescent="0.35">
      <c r="A2129">
        <v>200867</v>
      </c>
      <c r="B2129">
        <v>2411</v>
      </c>
      <c r="C2129" t="s">
        <v>28</v>
      </c>
      <c r="D2129" t="s">
        <v>31</v>
      </c>
      <c r="E2129" t="s">
        <v>26</v>
      </c>
      <c r="F2129" t="s">
        <v>27</v>
      </c>
      <c r="G2129" s="1">
        <v>45624</v>
      </c>
      <c r="H2129" s="1">
        <v>45629</v>
      </c>
      <c r="I2129" s="1">
        <v>45654</v>
      </c>
      <c r="J2129">
        <v>30</v>
      </c>
      <c r="K2129">
        <v>5</v>
      </c>
      <c r="L2129">
        <v>7</v>
      </c>
      <c r="M2129">
        <v>20.98</v>
      </c>
      <c r="N2129">
        <v>146.86000000000001</v>
      </c>
      <c r="O2129">
        <v>0.05</v>
      </c>
      <c r="P2129">
        <v>7.34</v>
      </c>
      <c r="Q2129">
        <v>139.52000000000001</v>
      </c>
      <c r="R2129">
        <v>91.05</v>
      </c>
      <c r="S2129">
        <v>48.47</v>
      </c>
    </row>
    <row r="2130" spans="1:19" x14ac:dyDescent="0.35">
      <c r="A2130">
        <v>200868</v>
      </c>
      <c r="B2130">
        <v>1926</v>
      </c>
      <c r="C2130" t="s">
        <v>28</v>
      </c>
      <c r="D2130" t="s">
        <v>20</v>
      </c>
      <c r="E2130" t="s">
        <v>26</v>
      </c>
      <c r="F2130" t="s">
        <v>36</v>
      </c>
      <c r="G2130" s="1">
        <v>45610</v>
      </c>
      <c r="H2130" s="1">
        <v>45612</v>
      </c>
      <c r="I2130" s="1">
        <v>45615</v>
      </c>
      <c r="J2130">
        <v>5</v>
      </c>
      <c r="K2130">
        <v>2</v>
      </c>
      <c r="L2130">
        <v>7</v>
      </c>
      <c r="M2130">
        <v>703.42</v>
      </c>
      <c r="N2130">
        <v>4923.9399999999996</v>
      </c>
      <c r="O2130">
        <v>7.0000000000000007E-2</v>
      </c>
      <c r="P2130">
        <v>344.68</v>
      </c>
      <c r="Q2130">
        <v>4579.26</v>
      </c>
      <c r="R2130">
        <v>3397.52</v>
      </c>
      <c r="S2130">
        <v>1181.74</v>
      </c>
    </row>
    <row r="2131" spans="1:19" x14ac:dyDescent="0.35">
      <c r="A2131">
        <v>200869</v>
      </c>
      <c r="B2131">
        <v>1400</v>
      </c>
      <c r="C2131" t="s">
        <v>28</v>
      </c>
      <c r="D2131" t="s">
        <v>31</v>
      </c>
      <c r="E2131" t="s">
        <v>21</v>
      </c>
      <c r="F2131" t="s">
        <v>39</v>
      </c>
      <c r="G2131" s="1">
        <v>45319</v>
      </c>
      <c r="H2131" s="1">
        <v>45321</v>
      </c>
      <c r="I2131" s="1">
        <v>45323</v>
      </c>
      <c r="J2131">
        <v>4</v>
      </c>
      <c r="K2131">
        <v>2</v>
      </c>
      <c r="L2131">
        <v>8</v>
      </c>
      <c r="M2131">
        <v>154.63999999999999</v>
      </c>
      <c r="N2131">
        <v>1237.1199999999999</v>
      </c>
      <c r="O2131">
        <v>0.15</v>
      </c>
      <c r="P2131">
        <v>185.57</v>
      </c>
      <c r="Q2131">
        <v>1051.55</v>
      </c>
      <c r="R2131">
        <v>754.64</v>
      </c>
      <c r="S2131">
        <v>296.91000000000003</v>
      </c>
    </row>
    <row r="2132" spans="1:19" x14ac:dyDescent="0.35">
      <c r="A2132">
        <v>200870</v>
      </c>
      <c r="B2132">
        <v>1238</v>
      </c>
      <c r="C2132" t="s">
        <v>19</v>
      </c>
      <c r="D2132" t="s">
        <v>20</v>
      </c>
      <c r="E2132" t="s">
        <v>34</v>
      </c>
      <c r="F2132" t="s">
        <v>43</v>
      </c>
      <c r="G2132" s="1">
        <v>45626</v>
      </c>
      <c r="H2132" s="1">
        <v>45627</v>
      </c>
      <c r="I2132" s="1">
        <v>45636</v>
      </c>
      <c r="J2132">
        <v>10</v>
      </c>
      <c r="K2132">
        <v>1</v>
      </c>
      <c r="L2132">
        <v>1</v>
      </c>
      <c r="M2132">
        <v>69.91</v>
      </c>
      <c r="N2132">
        <v>69.91</v>
      </c>
      <c r="O2132">
        <v>0.01</v>
      </c>
      <c r="P2132">
        <v>0.7</v>
      </c>
      <c r="Q2132">
        <v>69.209999999999994</v>
      </c>
      <c r="R2132">
        <v>43.34</v>
      </c>
      <c r="S2132">
        <v>25.87</v>
      </c>
    </row>
    <row r="2133" spans="1:19" x14ac:dyDescent="0.35">
      <c r="A2133">
        <v>200871</v>
      </c>
      <c r="B2133">
        <v>2496</v>
      </c>
      <c r="C2133" t="s">
        <v>23</v>
      </c>
      <c r="D2133" t="s">
        <v>29</v>
      </c>
      <c r="E2133" t="s">
        <v>21</v>
      </c>
      <c r="F2133" t="s">
        <v>38</v>
      </c>
      <c r="G2133" s="1">
        <v>45334</v>
      </c>
      <c r="H2133" s="1">
        <v>45336</v>
      </c>
      <c r="I2133" s="1">
        <v>45340</v>
      </c>
      <c r="J2133">
        <v>6</v>
      </c>
      <c r="K2133">
        <v>2</v>
      </c>
      <c r="L2133">
        <v>5</v>
      </c>
      <c r="M2133">
        <v>437.87</v>
      </c>
      <c r="N2133">
        <v>2189.35</v>
      </c>
      <c r="O2133">
        <v>0.05</v>
      </c>
      <c r="P2133">
        <v>109.47</v>
      </c>
      <c r="Q2133">
        <v>2079.88</v>
      </c>
      <c r="R2133">
        <v>1423.08</v>
      </c>
      <c r="S2133">
        <v>656.8</v>
      </c>
    </row>
    <row r="2134" spans="1:19" x14ac:dyDescent="0.35">
      <c r="A2134">
        <v>200872</v>
      </c>
      <c r="B2134">
        <v>1309</v>
      </c>
      <c r="C2134" t="s">
        <v>19</v>
      </c>
      <c r="D2134" t="s">
        <v>31</v>
      </c>
      <c r="E2134" t="s">
        <v>34</v>
      </c>
      <c r="F2134" t="s">
        <v>40</v>
      </c>
      <c r="G2134" s="1">
        <v>45516</v>
      </c>
      <c r="H2134" s="1">
        <v>45517</v>
      </c>
      <c r="I2134" s="1">
        <v>45542</v>
      </c>
      <c r="J2134">
        <v>26</v>
      </c>
      <c r="K2134">
        <v>1</v>
      </c>
      <c r="L2134">
        <v>2</v>
      </c>
      <c r="M2134">
        <v>46.46</v>
      </c>
      <c r="N2134">
        <v>92.92</v>
      </c>
      <c r="O2134">
        <v>0.12</v>
      </c>
      <c r="P2134">
        <v>11.15</v>
      </c>
      <c r="Q2134">
        <v>81.77</v>
      </c>
      <c r="R2134">
        <v>75.27</v>
      </c>
      <c r="S2134">
        <v>6.5</v>
      </c>
    </row>
    <row r="2135" spans="1:19" x14ac:dyDescent="0.35">
      <c r="A2135">
        <v>200873</v>
      </c>
      <c r="B2135">
        <v>4046</v>
      </c>
      <c r="C2135" t="s">
        <v>33</v>
      </c>
      <c r="D2135" t="s">
        <v>31</v>
      </c>
      <c r="E2135" t="s">
        <v>34</v>
      </c>
      <c r="F2135" t="s">
        <v>40</v>
      </c>
      <c r="G2135" s="1">
        <v>45471</v>
      </c>
      <c r="H2135" s="1">
        <v>45476</v>
      </c>
      <c r="I2135" s="1">
        <v>45484</v>
      </c>
      <c r="J2135">
        <v>13</v>
      </c>
      <c r="K2135">
        <v>5</v>
      </c>
      <c r="L2135">
        <v>8</v>
      </c>
      <c r="M2135">
        <v>594.57000000000005</v>
      </c>
      <c r="N2135">
        <v>4756.5600000000004</v>
      </c>
      <c r="O2135">
        <v>0.14000000000000001</v>
      </c>
      <c r="P2135">
        <v>665.92</v>
      </c>
      <c r="Q2135">
        <v>4090.64</v>
      </c>
      <c r="R2135">
        <v>2616.11</v>
      </c>
      <c r="S2135">
        <v>1474.53</v>
      </c>
    </row>
    <row r="2136" spans="1:19" x14ac:dyDescent="0.35">
      <c r="A2136">
        <v>200874</v>
      </c>
      <c r="B2136">
        <v>3422</v>
      </c>
      <c r="C2136" t="s">
        <v>28</v>
      </c>
      <c r="D2136" t="s">
        <v>31</v>
      </c>
      <c r="E2136" t="s">
        <v>34</v>
      </c>
      <c r="F2136" t="s">
        <v>45</v>
      </c>
      <c r="G2136" s="1">
        <v>45642</v>
      </c>
      <c r="H2136" s="1">
        <v>45645</v>
      </c>
      <c r="I2136" s="1">
        <v>45653</v>
      </c>
      <c r="J2136">
        <v>11</v>
      </c>
      <c r="K2136">
        <v>3</v>
      </c>
      <c r="L2136">
        <v>1</v>
      </c>
      <c r="M2136">
        <v>737.21</v>
      </c>
      <c r="N2136">
        <v>737.21</v>
      </c>
      <c r="O2136">
        <v>0.05</v>
      </c>
      <c r="P2136">
        <v>36.86</v>
      </c>
      <c r="Q2136">
        <v>700.35</v>
      </c>
      <c r="R2136">
        <v>523.41999999999996</v>
      </c>
      <c r="S2136">
        <v>176.93</v>
      </c>
    </row>
    <row r="2137" spans="1:19" x14ac:dyDescent="0.35">
      <c r="A2137">
        <v>200875</v>
      </c>
      <c r="B2137">
        <v>2918</v>
      </c>
      <c r="C2137" t="s">
        <v>23</v>
      </c>
      <c r="D2137" t="s">
        <v>31</v>
      </c>
      <c r="E2137" t="s">
        <v>21</v>
      </c>
      <c r="F2137" t="s">
        <v>39</v>
      </c>
      <c r="G2137" s="1">
        <v>45321</v>
      </c>
      <c r="H2137" s="1">
        <v>45326</v>
      </c>
      <c r="I2137" s="1">
        <v>45331</v>
      </c>
      <c r="J2137">
        <v>10</v>
      </c>
      <c r="K2137">
        <v>5</v>
      </c>
      <c r="L2137">
        <v>2</v>
      </c>
      <c r="M2137">
        <v>19.2</v>
      </c>
      <c r="N2137">
        <v>38.4</v>
      </c>
      <c r="O2137">
        <v>0.01</v>
      </c>
      <c r="P2137">
        <v>0.38</v>
      </c>
      <c r="Q2137">
        <v>38.020000000000003</v>
      </c>
      <c r="R2137">
        <v>24.19</v>
      </c>
      <c r="S2137">
        <v>13.83</v>
      </c>
    </row>
    <row r="2138" spans="1:19" x14ac:dyDescent="0.35">
      <c r="A2138">
        <v>200876</v>
      </c>
      <c r="B2138">
        <v>3828</v>
      </c>
      <c r="C2138" t="s">
        <v>19</v>
      </c>
      <c r="D2138" t="s">
        <v>29</v>
      </c>
      <c r="E2138" t="s">
        <v>34</v>
      </c>
      <c r="F2138" t="s">
        <v>35</v>
      </c>
      <c r="G2138" s="1">
        <v>45461</v>
      </c>
      <c r="H2138" s="1">
        <v>45466</v>
      </c>
      <c r="I2138" s="1">
        <v>45466</v>
      </c>
      <c r="J2138">
        <v>5</v>
      </c>
      <c r="K2138">
        <v>5</v>
      </c>
      <c r="L2138">
        <v>4</v>
      </c>
      <c r="M2138">
        <v>564.99</v>
      </c>
      <c r="N2138">
        <v>2259.96</v>
      </c>
      <c r="O2138">
        <v>0.08</v>
      </c>
      <c r="P2138">
        <v>180.8</v>
      </c>
      <c r="Q2138">
        <v>2079.16</v>
      </c>
      <c r="R2138">
        <v>1559.37</v>
      </c>
      <c r="S2138">
        <v>519.79</v>
      </c>
    </row>
    <row r="2139" spans="1:19" x14ac:dyDescent="0.35">
      <c r="A2139">
        <v>200877</v>
      </c>
      <c r="B2139">
        <v>4688</v>
      </c>
      <c r="C2139" t="s">
        <v>33</v>
      </c>
      <c r="D2139" t="s">
        <v>29</v>
      </c>
      <c r="E2139" t="s">
        <v>21</v>
      </c>
      <c r="F2139" t="s">
        <v>39</v>
      </c>
      <c r="G2139" s="1">
        <v>45580</v>
      </c>
      <c r="H2139" s="1">
        <v>45582</v>
      </c>
      <c r="I2139" s="1">
        <v>45588</v>
      </c>
      <c r="J2139">
        <v>8</v>
      </c>
      <c r="K2139">
        <v>2</v>
      </c>
      <c r="L2139">
        <v>6</v>
      </c>
      <c r="M2139">
        <v>726.86</v>
      </c>
      <c r="N2139">
        <v>4361.16</v>
      </c>
      <c r="O2139">
        <v>0.11</v>
      </c>
      <c r="P2139">
        <v>479.73</v>
      </c>
      <c r="Q2139">
        <v>3881.43</v>
      </c>
      <c r="R2139">
        <v>2660.31</v>
      </c>
      <c r="S2139">
        <v>1221.1199999999999</v>
      </c>
    </row>
    <row r="2140" spans="1:19" x14ac:dyDescent="0.35">
      <c r="A2140">
        <v>200878</v>
      </c>
      <c r="B2140">
        <v>2969</v>
      </c>
      <c r="C2140" t="s">
        <v>23</v>
      </c>
      <c r="D2140" t="s">
        <v>20</v>
      </c>
      <c r="E2140" t="s">
        <v>26</v>
      </c>
      <c r="F2140" t="s">
        <v>37</v>
      </c>
      <c r="G2140" s="1">
        <v>45449</v>
      </c>
      <c r="H2140" s="1">
        <v>45450</v>
      </c>
      <c r="I2140" s="1">
        <v>45461</v>
      </c>
      <c r="J2140">
        <v>12</v>
      </c>
      <c r="K2140">
        <v>1</v>
      </c>
      <c r="L2140">
        <v>5</v>
      </c>
      <c r="M2140">
        <v>82.94</v>
      </c>
      <c r="N2140">
        <v>414.7</v>
      </c>
      <c r="O2140">
        <v>0.08</v>
      </c>
      <c r="P2140">
        <v>33.18</v>
      </c>
      <c r="Q2140">
        <v>381.52</v>
      </c>
      <c r="R2140">
        <v>290.29000000000002</v>
      </c>
      <c r="S2140">
        <v>91.23</v>
      </c>
    </row>
    <row r="2141" spans="1:19" x14ac:dyDescent="0.35">
      <c r="A2141">
        <v>200879</v>
      </c>
      <c r="B2141">
        <v>4707</v>
      </c>
      <c r="C2141" t="s">
        <v>28</v>
      </c>
      <c r="D2141" t="s">
        <v>29</v>
      </c>
      <c r="E2141" t="s">
        <v>21</v>
      </c>
      <c r="F2141" t="s">
        <v>22</v>
      </c>
      <c r="G2141" s="1">
        <v>45292</v>
      </c>
      <c r="H2141" s="1">
        <v>45293</v>
      </c>
      <c r="I2141" s="1">
        <v>45320</v>
      </c>
      <c r="J2141">
        <v>28</v>
      </c>
      <c r="K2141">
        <v>1</v>
      </c>
      <c r="L2141">
        <v>3</v>
      </c>
      <c r="M2141">
        <v>28.38</v>
      </c>
      <c r="N2141">
        <v>85.14</v>
      </c>
      <c r="O2141">
        <v>0.14000000000000001</v>
      </c>
      <c r="P2141">
        <v>11.92</v>
      </c>
      <c r="Q2141">
        <v>73.22</v>
      </c>
      <c r="R2141">
        <v>47.68</v>
      </c>
      <c r="S2141">
        <v>25.54</v>
      </c>
    </row>
    <row r="2142" spans="1:19" x14ac:dyDescent="0.35">
      <c r="A2142">
        <v>200880</v>
      </c>
      <c r="B2142">
        <v>4276</v>
      </c>
      <c r="C2142" t="s">
        <v>28</v>
      </c>
      <c r="D2142" t="s">
        <v>31</v>
      </c>
      <c r="E2142" t="s">
        <v>34</v>
      </c>
      <c r="F2142" t="s">
        <v>35</v>
      </c>
      <c r="G2142" s="1">
        <v>45308</v>
      </c>
      <c r="H2142" s="1">
        <v>45309</v>
      </c>
      <c r="I2142" s="1">
        <v>45319</v>
      </c>
      <c r="J2142">
        <v>11</v>
      </c>
      <c r="K2142">
        <v>1</v>
      </c>
      <c r="L2142">
        <v>7</v>
      </c>
      <c r="M2142">
        <v>95.42</v>
      </c>
      <c r="N2142">
        <v>667.94</v>
      </c>
      <c r="O2142">
        <v>7.0000000000000007E-2</v>
      </c>
      <c r="P2142">
        <v>46.76</v>
      </c>
      <c r="Q2142">
        <v>621.17999999999995</v>
      </c>
      <c r="R2142">
        <v>360.69</v>
      </c>
      <c r="S2142">
        <v>260.49</v>
      </c>
    </row>
    <row r="2143" spans="1:19" x14ac:dyDescent="0.35">
      <c r="A2143">
        <v>200881</v>
      </c>
      <c r="B2143">
        <v>2122</v>
      </c>
      <c r="C2143" t="s">
        <v>19</v>
      </c>
      <c r="D2143" t="s">
        <v>31</v>
      </c>
      <c r="E2143" t="s">
        <v>26</v>
      </c>
      <c r="F2143" t="s">
        <v>27</v>
      </c>
      <c r="G2143" s="1">
        <v>45497</v>
      </c>
      <c r="H2143" s="1">
        <v>45500</v>
      </c>
      <c r="I2143" s="1">
        <v>45499</v>
      </c>
      <c r="J2143">
        <v>2</v>
      </c>
      <c r="K2143">
        <v>3</v>
      </c>
      <c r="L2143">
        <v>11</v>
      </c>
      <c r="M2143">
        <v>229.15</v>
      </c>
      <c r="N2143">
        <v>2520.65</v>
      </c>
      <c r="O2143">
        <v>0.04</v>
      </c>
      <c r="P2143">
        <v>100.83</v>
      </c>
      <c r="Q2143">
        <v>2419.8200000000002</v>
      </c>
      <c r="R2143">
        <v>1663.63</v>
      </c>
      <c r="S2143">
        <v>756.19</v>
      </c>
    </row>
    <row r="2144" spans="1:19" x14ac:dyDescent="0.35">
      <c r="A2144">
        <v>200882</v>
      </c>
      <c r="B2144">
        <v>1678</v>
      </c>
      <c r="C2144" t="s">
        <v>19</v>
      </c>
      <c r="D2144" t="s">
        <v>20</v>
      </c>
      <c r="E2144" t="s">
        <v>21</v>
      </c>
      <c r="F2144" t="s">
        <v>39</v>
      </c>
      <c r="G2144" s="1">
        <v>45634</v>
      </c>
      <c r="H2144" s="1">
        <v>45637</v>
      </c>
      <c r="I2144" s="1">
        <v>45647</v>
      </c>
      <c r="J2144">
        <v>13</v>
      </c>
      <c r="K2144">
        <v>3</v>
      </c>
      <c r="L2144">
        <v>1</v>
      </c>
      <c r="M2144">
        <v>702.7</v>
      </c>
      <c r="N2144">
        <v>702.7</v>
      </c>
      <c r="O2144">
        <v>0.22</v>
      </c>
      <c r="P2144">
        <v>154.59</v>
      </c>
      <c r="Q2144">
        <v>548.11</v>
      </c>
      <c r="R2144">
        <v>505.94</v>
      </c>
      <c r="S2144">
        <v>42.17</v>
      </c>
    </row>
    <row r="2145" spans="1:19" x14ac:dyDescent="0.35">
      <c r="A2145">
        <v>200883</v>
      </c>
      <c r="B2145">
        <v>1957</v>
      </c>
      <c r="C2145" t="s">
        <v>33</v>
      </c>
      <c r="D2145" t="s">
        <v>31</v>
      </c>
      <c r="E2145" t="s">
        <v>34</v>
      </c>
      <c r="F2145" t="s">
        <v>40</v>
      </c>
      <c r="G2145" s="1">
        <v>45478</v>
      </c>
      <c r="H2145" s="1">
        <v>45480</v>
      </c>
      <c r="I2145" s="1">
        <v>45490</v>
      </c>
      <c r="J2145">
        <v>12</v>
      </c>
      <c r="K2145">
        <v>2</v>
      </c>
      <c r="L2145">
        <v>14</v>
      </c>
      <c r="M2145">
        <v>490.76</v>
      </c>
      <c r="N2145">
        <v>6870.64</v>
      </c>
      <c r="O2145">
        <v>0.08</v>
      </c>
      <c r="P2145">
        <v>549.65</v>
      </c>
      <c r="Q2145">
        <v>6320.99</v>
      </c>
      <c r="R2145">
        <v>4328.5</v>
      </c>
      <c r="S2145">
        <v>1992.49</v>
      </c>
    </row>
    <row r="2146" spans="1:19" x14ac:dyDescent="0.35">
      <c r="A2146">
        <v>200884</v>
      </c>
      <c r="B2146">
        <v>3552</v>
      </c>
      <c r="C2146" t="s">
        <v>33</v>
      </c>
      <c r="D2146" t="s">
        <v>31</v>
      </c>
      <c r="E2146" t="s">
        <v>21</v>
      </c>
      <c r="F2146" t="s">
        <v>41</v>
      </c>
      <c r="G2146" s="1">
        <v>45642</v>
      </c>
      <c r="H2146" s="1">
        <v>45643</v>
      </c>
      <c r="I2146" s="1">
        <v>45644</v>
      </c>
      <c r="J2146">
        <v>2</v>
      </c>
      <c r="K2146">
        <v>1</v>
      </c>
      <c r="L2146">
        <v>14</v>
      </c>
      <c r="M2146">
        <v>355.95</v>
      </c>
      <c r="N2146">
        <v>4983.3</v>
      </c>
      <c r="O2146">
        <v>0.03</v>
      </c>
      <c r="P2146">
        <v>149.5</v>
      </c>
      <c r="Q2146">
        <v>4833.8</v>
      </c>
      <c r="R2146">
        <v>3189.31</v>
      </c>
      <c r="S2146">
        <v>1644.49</v>
      </c>
    </row>
    <row r="2147" spans="1:19" x14ac:dyDescent="0.35">
      <c r="A2147">
        <v>200885</v>
      </c>
      <c r="B2147">
        <v>1736</v>
      </c>
      <c r="C2147" t="s">
        <v>33</v>
      </c>
      <c r="D2147" t="s">
        <v>29</v>
      </c>
      <c r="E2147" t="s">
        <v>24</v>
      </c>
      <c r="F2147" t="s">
        <v>30</v>
      </c>
      <c r="G2147" s="1">
        <v>45349</v>
      </c>
      <c r="H2147" s="1">
        <v>45352</v>
      </c>
      <c r="I2147" s="1">
        <v>45356</v>
      </c>
      <c r="J2147">
        <v>7</v>
      </c>
      <c r="K2147">
        <v>3</v>
      </c>
      <c r="L2147">
        <v>7</v>
      </c>
      <c r="M2147">
        <v>361.62</v>
      </c>
      <c r="N2147">
        <v>2531.34</v>
      </c>
      <c r="O2147">
        <v>0.1</v>
      </c>
      <c r="P2147">
        <v>253.13</v>
      </c>
      <c r="Q2147">
        <v>2278.21</v>
      </c>
      <c r="R2147">
        <v>1620.06</v>
      </c>
      <c r="S2147">
        <v>658.15</v>
      </c>
    </row>
    <row r="2148" spans="1:19" x14ac:dyDescent="0.35">
      <c r="A2148">
        <v>200886</v>
      </c>
      <c r="B2148">
        <v>3760</v>
      </c>
      <c r="C2148" t="s">
        <v>23</v>
      </c>
      <c r="D2148" t="s">
        <v>29</v>
      </c>
      <c r="E2148" t="s">
        <v>34</v>
      </c>
      <c r="F2148" t="s">
        <v>43</v>
      </c>
      <c r="G2148" s="1">
        <v>45386</v>
      </c>
      <c r="H2148" s="1">
        <v>45387</v>
      </c>
      <c r="I2148" s="1">
        <v>45389</v>
      </c>
      <c r="J2148">
        <v>3</v>
      </c>
      <c r="K2148">
        <v>1</v>
      </c>
      <c r="L2148">
        <v>9</v>
      </c>
      <c r="M2148">
        <v>477.81</v>
      </c>
      <c r="N2148">
        <v>4300.29</v>
      </c>
      <c r="O2148">
        <v>0.08</v>
      </c>
      <c r="P2148">
        <v>344.02</v>
      </c>
      <c r="Q2148">
        <v>3956.27</v>
      </c>
      <c r="R2148">
        <v>2666.18</v>
      </c>
      <c r="S2148">
        <v>1290.0899999999999</v>
      </c>
    </row>
    <row r="2149" spans="1:19" x14ac:dyDescent="0.35">
      <c r="A2149">
        <v>200887</v>
      </c>
      <c r="B2149">
        <v>3166</v>
      </c>
      <c r="C2149" t="s">
        <v>23</v>
      </c>
      <c r="D2149" t="s">
        <v>31</v>
      </c>
      <c r="E2149" t="s">
        <v>21</v>
      </c>
      <c r="F2149" t="s">
        <v>41</v>
      </c>
      <c r="G2149" s="1">
        <v>45620</v>
      </c>
      <c r="H2149" s="1">
        <v>45624</v>
      </c>
      <c r="I2149" s="1">
        <v>45622</v>
      </c>
      <c r="J2149">
        <v>2</v>
      </c>
      <c r="K2149">
        <v>4</v>
      </c>
      <c r="L2149">
        <v>5</v>
      </c>
      <c r="M2149">
        <v>238.5</v>
      </c>
      <c r="N2149">
        <v>1192.5</v>
      </c>
      <c r="O2149">
        <v>0.21</v>
      </c>
      <c r="P2149">
        <v>250.42</v>
      </c>
      <c r="Q2149">
        <v>942.08</v>
      </c>
      <c r="R2149">
        <v>775.12</v>
      </c>
      <c r="S2149">
        <v>166.96</v>
      </c>
    </row>
    <row r="2150" spans="1:19" x14ac:dyDescent="0.35">
      <c r="A2150">
        <v>200888</v>
      </c>
      <c r="B2150">
        <v>3381</v>
      </c>
      <c r="C2150" t="s">
        <v>19</v>
      </c>
      <c r="D2150" t="s">
        <v>29</v>
      </c>
      <c r="E2150" t="s">
        <v>26</v>
      </c>
      <c r="F2150" t="s">
        <v>27</v>
      </c>
      <c r="G2150" s="1">
        <v>45336</v>
      </c>
      <c r="H2150" s="1">
        <v>45339</v>
      </c>
      <c r="I2150" s="1">
        <v>45359</v>
      </c>
      <c r="J2150">
        <v>23</v>
      </c>
      <c r="K2150">
        <v>3</v>
      </c>
      <c r="L2150">
        <v>4</v>
      </c>
      <c r="M2150">
        <v>272.74</v>
      </c>
      <c r="N2150">
        <v>1090.96</v>
      </c>
      <c r="O2150">
        <v>0.09</v>
      </c>
      <c r="P2150">
        <v>98.19</v>
      </c>
      <c r="Q2150">
        <v>992.77</v>
      </c>
      <c r="R2150">
        <v>796.4</v>
      </c>
      <c r="S2150">
        <v>196.37</v>
      </c>
    </row>
    <row r="2151" spans="1:19" x14ac:dyDescent="0.35">
      <c r="A2151">
        <v>200889</v>
      </c>
      <c r="B2151">
        <v>3898</v>
      </c>
      <c r="C2151" t="s">
        <v>23</v>
      </c>
      <c r="D2151" t="s">
        <v>29</v>
      </c>
      <c r="E2151" t="s">
        <v>26</v>
      </c>
      <c r="F2151" t="s">
        <v>27</v>
      </c>
      <c r="G2151" s="1">
        <v>45392</v>
      </c>
      <c r="H2151" s="1">
        <v>45394</v>
      </c>
      <c r="I2151" s="1">
        <v>45410</v>
      </c>
      <c r="J2151">
        <v>18</v>
      </c>
      <c r="K2151">
        <v>2</v>
      </c>
      <c r="L2151">
        <v>6</v>
      </c>
      <c r="M2151">
        <v>349.41</v>
      </c>
      <c r="N2151">
        <v>2096.46</v>
      </c>
      <c r="O2151">
        <v>0.08</v>
      </c>
      <c r="P2151">
        <v>167.72</v>
      </c>
      <c r="Q2151">
        <v>1928.74</v>
      </c>
      <c r="R2151">
        <v>1320.77</v>
      </c>
      <c r="S2151">
        <v>607.97</v>
      </c>
    </row>
    <row r="2152" spans="1:19" x14ac:dyDescent="0.35">
      <c r="A2152">
        <v>200890</v>
      </c>
      <c r="B2152">
        <v>3180</v>
      </c>
      <c r="C2152" t="s">
        <v>23</v>
      </c>
      <c r="D2152" t="s">
        <v>31</v>
      </c>
      <c r="E2152" t="s">
        <v>21</v>
      </c>
      <c r="F2152" t="s">
        <v>41</v>
      </c>
      <c r="G2152" s="1">
        <v>45396</v>
      </c>
      <c r="H2152" s="1">
        <v>45401</v>
      </c>
      <c r="I2152" s="1">
        <v>45406</v>
      </c>
      <c r="J2152">
        <v>10</v>
      </c>
      <c r="K2152">
        <v>5</v>
      </c>
      <c r="L2152">
        <v>7</v>
      </c>
      <c r="M2152">
        <v>795.65</v>
      </c>
      <c r="N2152">
        <v>5569.55</v>
      </c>
      <c r="O2152">
        <v>0.12</v>
      </c>
      <c r="P2152">
        <v>668.35</v>
      </c>
      <c r="Q2152">
        <v>4901.2</v>
      </c>
      <c r="R2152">
        <v>4065.77</v>
      </c>
      <c r="S2152">
        <v>835.43</v>
      </c>
    </row>
    <row r="2153" spans="1:19" x14ac:dyDescent="0.35">
      <c r="A2153">
        <v>200891</v>
      </c>
      <c r="B2153">
        <v>3712</v>
      </c>
      <c r="C2153" t="s">
        <v>23</v>
      </c>
      <c r="D2153" t="s">
        <v>20</v>
      </c>
      <c r="E2153" t="s">
        <v>26</v>
      </c>
      <c r="F2153" t="s">
        <v>27</v>
      </c>
      <c r="G2153" s="1">
        <v>45428</v>
      </c>
      <c r="H2153" s="1">
        <v>45429</v>
      </c>
      <c r="I2153" s="1">
        <v>45455</v>
      </c>
      <c r="J2153">
        <v>27</v>
      </c>
      <c r="K2153">
        <v>1</v>
      </c>
      <c r="L2153">
        <v>10</v>
      </c>
      <c r="M2153">
        <v>466.58</v>
      </c>
      <c r="N2153">
        <v>4665.8</v>
      </c>
      <c r="O2153">
        <v>0.04</v>
      </c>
      <c r="P2153">
        <v>186.63</v>
      </c>
      <c r="Q2153">
        <v>4479.17</v>
      </c>
      <c r="R2153">
        <v>2846.14</v>
      </c>
      <c r="S2153">
        <v>1633.03</v>
      </c>
    </row>
    <row r="2154" spans="1:19" x14ac:dyDescent="0.35">
      <c r="A2154">
        <v>200892</v>
      </c>
      <c r="B2154">
        <v>1701</v>
      </c>
      <c r="C2154" t="s">
        <v>19</v>
      </c>
      <c r="D2154" t="s">
        <v>31</v>
      </c>
      <c r="E2154" t="s">
        <v>26</v>
      </c>
      <c r="F2154" t="s">
        <v>37</v>
      </c>
      <c r="G2154" s="1">
        <v>45598</v>
      </c>
      <c r="H2154" s="1">
        <v>45599</v>
      </c>
      <c r="I2154" s="1">
        <v>45620</v>
      </c>
      <c r="J2154">
        <v>22</v>
      </c>
      <c r="K2154">
        <v>1</v>
      </c>
      <c r="L2154">
        <v>14</v>
      </c>
      <c r="M2154">
        <v>75.010000000000005</v>
      </c>
      <c r="N2154">
        <v>1050.1400000000001</v>
      </c>
      <c r="O2154">
        <v>0.16</v>
      </c>
      <c r="P2154">
        <v>168.02</v>
      </c>
      <c r="Q2154">
        <v>882.12</v>
      </c>
      <c r="R2154">
        <v>693.09</v>
      </c>
      <c r="S2154">
        <v>189.03</v>
      </c>
    </row>
    <row r="2155" spans="1:19" x14ac:dyDescent="0.35">
      <c r="A2155">
        <v>200893</v>
      </c>
      <c r="B2155">
        <v>2868</v>
      </c>
      <c r="C2155" t="s">
        <v>23</v>
      </c>
      <c r="D2155" t="s">
        <v>31</v>
      </c>
      <c r="E2155" t="s">
        <v>34</v>
      </c>
      <c r="F2155" t="s">
        <v>43</v>
      </c>
      <c r="G2155" s="1">
        <v>45580</v>
      </c>
      <c r="H2155" s="1">
        <v>45583</v>
      </c>
      <c r="I2155" s="1">
        <v>45596</v>
      </c>
      <c r="J2155">
        <v>16</v>
      </c>
      <c r="K2155">
        <v>3</v>
      </c>
      <c r="L2155">
        <v>2</v>
      </c>
      <c r="M2155">
        <v>727.44</v>
      </c>
      <c r="N2155">
        <v>1454.88</v>
      </c>
      <c r="O2155">
        <v>0.12</v>
      </c>
      <c r="P2155">
        <v>174.59</v>
      </c>
      <c r="Q2155">
        <v>1280.29</v>
      </c>
      <c r="R2155">
        <v>1047.51</v>
      </c>
      <c r="S2155">
        <v>232.78</v>
      </c>
    </row>
    <row r="2156" spans="1:19" x14ac:dyDescent="0.35">
      <c r="A2156">
        <v>200894</v>
      </c>
      <c r="B2156">
        <v>1502</v>
      </c>
      <c r="C2156" t="s">
        <v>28</v>
      </c>
      <c r="D2156" t="s">
        <v>31</v>
      </c>
      <c r="E2156" t="s">
        <v>21</v>
      </c>
      <c r="F2156" t="s">
        <v>41</v>
      </c>
      <c r="G2156" s="1">
        <v>45361</v>
      </c>
      <c r="H2156" s="1">
        <v>45363</v>
      </c>
      <c r="I2156" s="1">
        <v>45364</v>
      </c>
      <c r="J2156">
        <v>3</v>
      </c>
      <c r="K2156">
        <v>2</v>
      </c>
      <c r="L2156">
        <v>1</v>
      </c>
      <c r="M2156">
        <v>575.67999999999995</v>
      </c>
      <c r="N2156">
        <v>575.67999999999995</v>
      </c>
      <c r="O2156">
        <v>0.12</v>
      </c>
      <c r="P2156">
        <v>69.08</v>
      </c>
      <c r="Q2156">
        <v>506.6</v>
      </c>
      <c r="R2156">
        <v>397.22</v>
      </c>
      <c r="S2156">
        <v>109.38</v>
      </c>
    </row>
    <row r="2157" spans="1:19" x14ac:dyDescent="0.35">
      <c r="A2157">
        <v>200895</v>
      </c>
      <c r="B2157">
        <v>4655</v>
      </c>
      <c r="C2157" t="s">
        <v>28</v>
      </c>
      <c r="D2157" t="s">
        <v>20</v>
      </c>
      <c r="E2157" t="s">
        <v>21</v>
      </c>
      <c r="F2157" t="s">
        <v>41</v>
      </c>
      <c r="G2157" s="1">
        <v>45302</v>
      </c>
      <c r="H2157" s="1">
        <v>45304</v>
      </c>
      <c r="I2157" s="1">
        <v>45310</v>
      </c>
      <c r="J2157">
        <v>8</v>
      </c>
      <c r="K2157">
        <v>2</v>
      </c>
      <c r="L2157">
        <v>5</v>
      </c>
      <c r="M2157">
        <v>25.86</v>
      </c>
      <c r="N2157">
        <v>129.30000000000001</v>
      </c>
      <c r="O2157">
        <v>0.11</v>
      </c>
      <c r="P2157">
        <v>14.22</v>
      </c>
      <c r="Q2157">
        <v>115.08</v>
      </c>
      <c r="R2157">
        <v>85.34</v>
      </c>
      <c r="S2157">
        <v>29.74</v>
      </c>
    </row>
    <row r="2158" spans="1:19" x14ac:dyDescent="0.35">
      <c r="A2158">
        <v>200896</v>
      </c>
      <c r="B2158">
        <v>2882</v>
      </c>
      <c r="C2158" t="s">
        <v>19</v>
      </c>
      <c r="D2158" t="s">
        <v>31</v>
      </c>
      <c r="E2158" t="s">
        <v>26</v>
      </c>
      <c r="F2158" t="s">
        <v>44</v>
      </c>
      <c r="G2158" s="1">
        <v>45417</v>
      </c>
      <c r="H2158" s="1">
        <v>45419</v>
      </c>
      <c r="I2158" s="1">
        <v>45425</v>
      </c>
      <c r="J2158">
        <v>8</v>
      </c>
      <c r="K2158">
        <v>2</v>
      </c>
      <c r="L2158">
        <v>8</v>
      </c>
      <c r="M2158">
        <v>374.17</v>
      </c>
      <c r="N2158">
        <v>2993.36</v>
      </c>
      <c r="O2158">
        <v>0</v>
      </c>
      <c r="P2158">
        <v>0</v>
      </c>
      <c r="Q2158">
        <v>2993.36</v>
      </c>
      <c r="R2158">
        <v>2035.48</v>
      </c>
      <c r="S2158">
        <v>957.88</v>
      </c>
    </row>
    <row r="2159" spans="1:19" x14ac:dyDescent="0.35">
      <c r="A2159">
        <v>200897</v>
      </c>
      <c r="B2159">
        <v>1010</v>
      </c>
      <c r="C2159" t="s">
        <v>28</v>
      </c>
      <c r="D2159" t="s">
        <v>29</v>
      </c>
      <c r="E2159" t="s">
        <v>24</v>
      </c>
      <c r="F2159" t="s">
        <v>42</v>
      </c>
      <c r="G2159" s="1">
        <v>45625</v>
      </c>
      <c r="H2159" s="1">
        <v>45626</v>
      </c>
      <c r="I2159" s="1">
        <v>45630</v>
      </c>
      <c r="J2159">
        <v>5</v>
      </c>
      <c r="K2159">
        <v>1</v>
      </c>
      <c r="L2159">
        <v>10</v>
      </c>
      <c r="M2159">
        <v>742.57</v>
      </c>
      <c r="N2159">
        <v>7425.7</v>
      </c>
      <c r="O2159">
        <v>0.11</v>
      </c>
      <c r="P2159">
        <v>816.83</v>
      </c>
      <c r="Q2159">
        <v>6608.87</v>
      </c>
      <c r="R2159">
        <v>4826.71</v>
      </c>
      <c r="S2159">
        <v>1782.16</v>
      </c>
    </row>
    <row r="2160" spans="1:19" x14ac:dyDescent="0.35">
      <c r="A2160">
        <v>200898</v>
      </c>
      <c r="B2160">
        <v>1962</v>
      </c>
      <c r="C2160" t="s">
        <v>33</v>
      </c>
      <c r="D2160" t="s">
        <v>29</v>
      </c>
      <c r="E2160" t="s">
        <v>34</v>
      </c>
      <c r="F2160" t="s">
        <v>40</v>
      </c>
      <c r="G2160" s="1">
        <v>45317</v>
      </c>
      <c r="H2160" s="1">
        <v>45319</v>
      </c>
      <c r="I2160" s="1">
        <v>45334</v>
      </c>
      <c r="J2160">
        <v>17</v>
      </c>
      <c r="K2160">
        <v>2</v>
      </c>
      <c r="L2160">
        <v>11</v>
      </c>
      <c r="M2160">
        <v>740</v>
      </c>
      <c r="N2160">
        <v>8140</v>
      </c>
      <c r="O2160">
        <v>7.0000000000000007E-2</v>
      </c>
      <c r="P2160">
        <v>569.79999999999995</v>
      </c>
      <c r="Q2160">
        <v>7570.2</v>
      </c>
      <c r="R2160">
        <v>5698</v>
      </c>
      <c r="S2160">
        <v>1872.2</v>
      </c>
    </row>
    <row r="2161" spans="1:19" x14ac:dyDescent="0.35">
      <c r="A2161">
        <v>200899</v>
      </c>
      <c r="B2161">
        <v>3911</v>
      </c>
      <c r="C2161" t="s">
        <v>33</v>
      </c>
      <c r="D2161" t="s">
        <v>20</v>
      </c>
      <c r="E2161" t="s">
        <v>34</v>
      </c>
      <c r="F2161" t="s">
        <v>40</v>
      </c>
      <c r="G2161" s="1">
        <v>45301</v>
      </c>
      <c r="H2161" s="1">
        <v>45302</v>
      </c>
      <c r="I2161" s="1">
        <v>45329</v>
      </c>
      <c r="J2161">
        <v>28</v>
      </c>
      <c r="K2161">
        <v>1</v>
      </c>
      <c r="L2161">
        <v>8</v>
      </c>
      <c r="M2161">
        <v>256.61</v>
      </c>
      <c r="N2161">
        <v>2052.88</v>
      </c>
      <c r="O2161">
        <v>0.12</v>
      </c>
      <c r="P2161">
        <v>246.35</v>
      </c>
      <c r="Q2161">
        <v>1806.53</v>
      </c>
      <c r="R2161">
        <v>1354.9</v>
      </c>
      <c r="S2161">
        <v>451.63</v>
      </c>
    </row>
    <row r="2162" spans="1:19" x14ac:dyDescent="0.35">
      <c r="A2162">
        <v>200900</v>
      </c>
      <c r="B2162">
        <v>4077</v>
      </c>
      <c r="C2162" t="s">
        <v>28</v>
      </c>
      <c r="D2162" t="s">
        <v>31</v>
      </c>
      <c r="E2162" t="s">
        <v>24</v>
      </c>
      <c r="F2162" t="s">
        <v>42</v>
      </c>
      <c r="G2162" s="1">
        <v>45327</v>
      </c>
      <c r="H2162" s="1">
        <v>45330</v>
      </c>
      <c r="I2162" s="1">
        <v>45337</v>
      </c>
      <c r="J2162">
        <v>10</v>
      </c>
      <c r="K2162">
        <v>3</v>
      </c>
      <c r="L2162">
        <v>14</v>
      </c>
      <c r="M2162">
        <v>407.59</v>
      </c>
      <c r="N2162">
        <v>5706.26</v>
      </c>
      <c r="O2162">
        <v>0.15</v>
      </c>
      <c r="P2162">
        <v>855.94</v>
      </c>
      <c r="Q2162">
        <v>4850.32</v>
      </c>
      <c r="R2162">
        <v>3480.82</v>
      </c>
      <c r="S2162">
        <v>1369.5</v>
      </c>
    </row>
    <row r="2163" spans="1:19" x14ac:dyDescent="0.35">
      <c r="A2163">
        <v>200901</v>
      </c>
      <c r="B2163">
        <v>4488</v>
      </c>
      <c r="C2163" t="s">
        <v>28</v>
      </c>
      <c r="D2163" t="s">
        <v>29</v>
      </c>
      <c r="E2163" t="s">
        <v>21</v>
      </c>
      <c r="F2163" t="s">
        <v>39</v>
      </c>
      <c r="G2163" s="1">
        <v>45451</v>
      </c>
      <c r="H2163" s="1">
        <v>45453</v>
      </c>
      <c r="I2163" s="1">
        <v>45479</v>
      </c>
      <c r="J2163">
        <v>28</v>
      </c>
      <c r="K2163">
        <v>2</v>
      </c>
      <c r="L2163">
        <v>5</v>
      </c>
      <c r="M2163">
        <v>15.95</v>
      </c>
      <c r="N2163">
        <v>79.75</v>
      </c>
      <c r="O2163">
        <v>0.11</v>
      </c>
      <c r="P2163">
        <v>8.77</v>
      </c>
      <c r="Q2163">
        <v>70.98</v>
      </c>
      <c r="R2163">
        <v>49.44</v>
      </c>
      <c r="S2163">
        <v>21.54</v>
      </c>
    </row>
    <row r="2164" spans="1:19" x14ac:dyDescent="0.35">
      <c r="A2164">
        <v>200902</v>
      </c>
      <c r="B2164">
        <v>2616</v>
      </c>
      <c r="C2164" t="s">
        <v>33</v>
      </c>
      <c r="D2164" t="s">
        <v>31</v>
      </c>
      <c r="E2164" t="s">
        <v>34</v>
      </c>
      <c r="F2164" t="s">
        <v>35</v>
      </c>
      <c r="G2164" s="1">
        <v>45584</v>
      </c>
      <c r="H2164" s="1">
        <v>45585</v>
      </c>
      <c r="I2164" s="1">
        <v>45600</v>
      </c>
      <c r="J2164">
        <v>16</v>
      </c>
      <c r="K2164">
        <v>1</v>
      </c>
      <c r="L2164">
        <v>3</v>
      </c>
      <c r="M2164">
        <v>509.03</v>
      </c>
      <c r="N2164">
        <v>1527.09</v>
      </c>
      <c r="O2164">
        <v>0.11</v>
      </c>
      <c r="P2164">
        <v>167.98</v>
      </c>
      <c r="Q2164">
        <v>1359.11</v>
      </c>
      <c r="R2164">
        <v>900.98</v>
      </c>
      <c r="S2164">
        <v>458.13</v>
      </c>
    </row>
    <row r="2165" spans="1:19" x14ac:dyDescent="0.35">
      <c r="A2165">
        <v>200903</v>
      </c>
      <c r="B2165">
        <v>2344</v>
      </c>
      <c r="C2165" t="s">
        <v>28</v>
      </c>
      <c r="D2165" t="s">
        <v>29</v>
      </c>
      <c r="E2165" t="s">
        <v>34</v>
      </c>
      <c r="F2165" t="s">
        <v>43</v>
      </c>
      <c r="G2165" s="1">
        <v>45312</v>
      </c>
      <c r="H2165" s="1">
        <v>45317</v>
      </c>
      <c r="I2165" s="1">
        <v>45340</v>
      </c>
      <c r="J2165">
        <v>28</v>
      </c>
      <c r="K2165">
        <v>5</v>
      </c>
      <c r="L2165">
        <v>8</v>
      </c>
      <c r="M2165">
        <v>233.37</v>
      </c>
      <c r="N2165">
        <v>1866.96</v>
      </c>
      <c r="O2165">
        <v>0.14000000000000001</v>
      </c>
      <c r="P2165">
        <v>261.37</v>
      </c>
      <c r="Q2165">
        <v>1605.59</v>
      </c>
      <c r="R2165">
        <v>1213.52</v>
      </c>
      <c r="S2165">
        <v>392.07</v>
      </c>
    </row>
    <row r="2166" spans="1:19" x14ac:dyDescent="0.35">
      <c r="A2166">
        <v>200904</v>
      </c>
      <c r="B2166">
        <v>2357</v>
      </c>
      <c r="C2166" t="s">
        <v>33</v>
      </c>
      <c r="D2166" t="s">
        <v>20</v>
      </c>
      <c r="E2166" t="s">
        <v>26</v>
      </c>
      <c r="F2166" t="s">
        <v>27</v>
      </c>
      <c r="G2166" s="1">
        <v>45447</v>
      </c>
      <c r="H2166" s="1">
        <v>45452</v>
      </c>
      <c r="I2166" s="1">
        <v>45461</v>
      </c>
      <c r="J2166">
        <v>14</v>
      </c>
      <c r="K2166">
        <v>5</v>
      </c>
      <c r="L2166">
        <v>1</v>
      </c>
      <c r="M2166">
        <v>376.78</v>
      </c>
      <c r="N2166">
        <v>376.78</v>
      </c>
      <c r="O2166">
        <v>0.18</v>
      </c>
      <c r="P2166">
        <v>67.819999999999993</v>
      </c>
      <c r="Q2166">
        <v>308.95999999999998</v>
      </c>
      <c r="R2166">
        <v>259.98</v>
      </c>
      <c r="S2166">
        <v>48.98</v>
      </c>
    </row>
    <row r="2167" spans="1:19" x14ac:dyDescent="0.35">
      <c r="A2167">
        <v>200905</v>
      </c>
      <c r="B2167">
        <v>4000</v>
      </c>
      <c r="C2167" t="s">
        <v>23</v>
      </c>
      <c r="D2167" t="s">
        <v>29</v>
      </c>
      <c r="E2167" t="s">
        <v>34</v>
      </c>
      <c r="F2167" t="s">
        <v>43</v>
      </c>
      <c r="G2167" s="1">
        <v>45463</v>
      </c>
      <c r="H2167" s="1">
        <v>45468</v>
      </c>
      <c r="I2167" s="1">
        <v>45485</v>
      </c>
      <c r="J2167">
        <v>22</v>
      </c>
      <c r="K2167">
        <v>5</v>
      </c>
      <c r="L2167">
        <v>8</v>
      </c>
      <c r="M2167">
        <v>462.53</v>
      </c>
      <c r="N2167">
        <v>3700.24</v>
      </c>
      <c r="O2167">
        <v>0.17</v>
      </c>
      <c r="P2167">
        <v>629.04</v>
      </c>
      <c r="Q2167">
        <v>3071.2</v>
      </c>
      <c r="R2167">
        <v>1998.13</v>
      </c>
      <c r="S2167">
        <v>1073.07</v>
      </c>
    </row>
    <row r="2168" spans="1:19" x14ac:dyDescent="0.35">
      <c r="A2168">
        <v>200906</v>
      </c>
      <c r="B2168">
        <v>1361</v>
      </c>
      <c r="C2168" t="s">
        <v>33</v>
      </c>
      <c r="D2168" t="s">
        <v>31</v>
      </c>
      <c r="E2168" t="s">
        <v>26</v>
      </c>
      <c r="F2168" t="s">
        <v>44</v>
      </c>
      <c r="G2168" s="1">
        <v>45311</v>
      </c>
      <c r="H2168" s="1">
        <v>45312</v>
      </c>
      <c r="I2168" s="1">
        <v>45336</v>
      </c>
      <c r="J2168">
        <v>25</v>
      </c>
      <c r="K2168">
        <v>1</v>
      </c>
      <c r="L2168">
        <v>13</v>
      </c>
      <c r="M2168">
        <v>797.37</v>
      </c>
      <c r="N2168">
        <v>10365.81</v>
      </c>
      <c r="O2168">
        <v>0</v>
      </c>
      <c r="P2168">
        <v>0</v>
      </c>
      <c r="Q2168">
        <v>10365.81</v>
      </c>
      <c r="R2168">
        <v>6323.14</v>
      </c>
      <c r="S2168">
        <v>4042.67</v>
      </c>
    </row>
    <row r="2169" spans="1:19" x14ac:dyDescent="0.35">
      <c r="A2169">
        <v>200907</v>
      </c>
      <c r="B2169">
        <v>2306</v>
      </c>
      <c r="C2169" t="s">
        <v>33</v>
      </c>
      <c r="D2169" t="s">
        <v>29</v>
      </c>
      <c r="E2169" t="s">
        <v>26</v>
      </c>
      <c r="F2169" t="s">
        <v>27</v>
      </c>
      <c r="G2169" s="1">
        <v>45576</v>
      </c>
      <c r="H2169" s="1">
        <v>45579</v>
      </c>
      <c r="I2169" s="1">
        <v>45586</v>
      </c>
      <c r="J2169">
        <v>10</v>
      </c>
      <c r="K2169">
        <v>3</v>
      </c>
      <c r="L2169">
        <v>3</v>
      </c>
      <c r="M2169">
        <v>729.71</v>
      </c>
      <c r="N2169">
        <v>2189.13</v>
      </c>
      <c r="O2169">
        <v>0.12</v>
      </c>
      <c r="P2169">
        <v>262.7</v>
      </c>
      <c r="Q2169">
        <v>1926.43</v>
      </c>
      <c r="R2169">
        <v>1641.85</v>
      </c>
      <c r="S2169">
        <v>284.58</v>
      </c>
    </row>
    <row r="2170" spans="1:19" x14ac:dyDescent="0.35">
      <c r="A2170">
        <v>200908</v>
      </c>
      <c r="B2170">
        <v>4856</v>
      </c>
      <c r="C2170" t="s">
        <v>23</v>
      </c>
      <c r="D2170" t="s">
        <v>31</v>
      </c>
      <c r="E2170" t="s">
        <v>34</v>
      </c>
      <c r="F2170" t="s">
        <v>40</v>
      </c>
      <c r="G2170" s="1">
        <v>45636</v>
      </c>
      <c r="H2170" s="1">
        <v>45641</v>
      </c>
      <c r="I2170" s="1">
        <v>45666</v>
      </c>
      <c r="J2170">
        <v>30</v>
      </c>
      <c r="K2170">
        <v>5</v>
      </c>
      <c r="L2170">
        <v>10</v>
      </c>
      <c r="M2170">
        <v>579.29999999999995</v>
      </c>
      <c r="N2170">
        <v>5793</v>
      </c>
      <c r="O2170">
        <v>0.05</v>
      </c>
      <c r="P2170">
        <v>289.64999999999998</v>
      </c>
      <c r="Q2170">
        <v>5503.35</v>
      </c>
      <c r="R2170">
        <v>3823.38</v>
      </c>
      <c r="S2170">
        <v>1679.97</v>
      </c>
    </row>
    <row r="2171" spans="1:19" x14ac:dyDescent="0.35">
      <c r="A2171">
        <v>200909</v>
      </c>
      <c r="B2171">
        <v>4871</v>
      </c>
      <c r="C2171" t="s">
        <v>28</v>
      </c>
      <c r="D2171" t="s">
        <v>31</v>
      </c>
      <c r="E2171" t="s">
        <v>24</v>
      </c>
      <c r="F2171" t="s">
        <v>32</v>
      </c>
      <c r="G2171" s="1">
        <v>45354</v>
      </c>
      <c r="H2171" s="1">
        <v>45356</v>
      </c>
      <c r="I2171" s="1">
        <v>45377</v>
      </c>
      <c r="J2171">
        <v>23</v>
      </c>
      <c r="K2171">
        <v>2</v>
      </c>
      <c r="L2171">
        <v>11</v>
      </c>
      <c r="M2171">
        <v>14.6</v>
      </c>
      <c r="N2171">
        <v>160.6</v>
      </c>
      <c r="O2171">
        <v>0.09</v>
      </c>
      <c r="P2171">
        <v>14.45</v>
      </c>
      <c r="Q2171">
        <v>146.15</v>
      </c>
      <c r="R2171">
        <v>96.36</v>
      </c>
      <c r="S2171">
        <v>49.79</v>
      </c>
    </row>
    <row r="2172" spans="1:19" x14ac:dyDescent="0.35">
      <c r="A2172">
        <v>200910</v>
      </c>
      <c r="B2172">
        <v>3109</v>
      </c>
      <c r="C2172" t="s">
        <v>19</v>
      </c>
      <c r="D2172" t="s">
        <v>20</v>
      </c>
      <c r="E2172" t="s">
        <v>26</v>
      </c>
      <c r="F2172" t="s">
        <v>27</v>
      </c>
      <c r="G2172" s="1">
        <v>45464</v>
      </c>
      <c r="H2172" s="1">
        <v>45469</v>
      </c>
      <c r="I2172" s="1">
        <v>45466</v>
      </c>
      <c r="J2172">
        <v>2</v>
      </c>
      <c r="K2172">
        <v>5</v>
      </c>
      <c r="L2172">
        <v>2</v>
      </c>
      <c r="M2172">
        <v>354.33</v>
      </c>
      <c r="N2172">
        <v>708.66</v>
      </c>
      <c r="O2172">
        <v>0.04</v>
      </c>
      <c r="P2172">
        <v>28.35</v>
      </c>
      <c r="Q2172">
        <v>680.31</v>
      </c>
      <c r="R2172">
        <v>446.46</v>
      </c>
      <c r="S2172">
        <v>233.85</v>
      </c>
    </row>
    <row r="2173" spans="1:19" x14ac:dyDescent="0.35">
      <c r="A2173">
        <v>200911</v>
      </c>
      <c r="B2173">
        <v>2259</v>
      </c>
      <c r="C2173" t="s">
        <v>19</v>
      </c>
      <c r="D2173" t="s">
        <v>31</v>
      </c>
      <c r="E2173" t="s">
        <v>34</v>
      </c>
      <c r="F2173" t="s">
        <v>45</v>
      </c>
      <c r="G2173" s="1">
        <v>45526</v>
      </c>
      <c r="H2173" s="1">
        <v>45527</v>
      </c>
      <c r="I2173" s="1">
        <v>45528</v>
      </c>
      <c r="J2173">
        <v>2</v>
      </c>
      <c r="K2173">
        <v>1</v>
      </c>
      <c r="L2173">
        <v>10</v>
      </c>
      <c r="M2173">
        <v>169.23</v>
      </c>
      <c r="N2173">
        <v>1692.3</v>
      </c>
      <c r="O2173">
        <v>0.04</v>
      </c>
      <c r="P2173">
        <v>67.69</v>
      </c>
      <c r="Q2173">
        <v>1624.61</v>
      </c>
      <c r="R2173">
        <v>1167.69</v>
      </c>
      <c r="S2173">
        <v>456.92</v>
      </c>
    </row>
    <row r="2174" spans="1:19" x14ac:dyDescent="0.35">
      <c r="A2174">
        <v>200912</v>
      </c>
      <c r="B2174">
        <v>4839</v>
      </c>
      <c r="C2174" t="s">
        <v>23</v>
      </c>
      <c r="D2174" t="s">
        <v>20</v>
      </c>
      <c r="E2174" t="s">
        <v>24</v>
      </c>
      <c r="F2174" t="s">
        <v>25</v>
      </c>
      <c r="G2174" s="1">
        <v>45345</v>
      </c>
      <c r="H2174" s="1">
        <v>45350</v>
      </c>
      <c r="I2174" s="1">
        <v>45367</v>
      </c>
      <c r="J2174">
        <v>22</v>
      </c>
      <c r="K2174">
        <v>5</v>
      </c>
      <c r="L2174">
        <v>14</v>
      </c>
      <c r="M2174">
        <v>728.94</v>
      </c>
      <c r="N2174">
        <v>10205.16</v>
      </c>
      <c r="O2174">
        <v>0.12</v>
      </c>
      <c r="P2174">
        <v>1224.6199999999999</v>
      </c>
      <c r="Q2174">
        <v>8980.5400000000009</v>
      </c>
      <c r="R2174">
        <v>5408.73</v>
      </c>
      <c r="S2174">
        <v>3571.81</v>
      </c>
    </row>
    <row r="2175" spans="1:19" x14ac:dyDescent="0.35">
      <c r="A2175">
        <v>200913</v>
      </c>
      <c r="B2175">
        <v>1136</v>
      </c>
      <c r="C2175" t="s">
        <v>28</v>
      </c>
      <c r="D2175" t="s">
        <v>31</v>
      </c>
      <c r="E2175" t="s">
        <v>21</v>
      </c>
      <c r="F2175" t="s">
        <v>39</v>
      </c>
      <c r="G2175" s="1">
        <v>45368</v>
      </c>
      <c r="H2175" s="1">
        <v>45369</v>
      </c>
      <c r="I2175" s="1">
        <v>45383</v>
      </c>
      <c r="J2175">
        <v>15</v>
      </c>
      <c r="K2175">
        <v>1</v>
      </c>
      <c r="L2175">
        <v>2</v>
      </c>
      <c r="M2175">
        <v>723.76</v>
      </c>
      <c r="N2175">
        <v>1447.52</v>
      </c>
      <c r="O2175">
        <v>0.08</v>
      </c>
      <c r="P2175">
        <v>115.8</v>
      </c>
      <c r="Q2175">
        <v>1331.72</v>
      </c>
      <c r="R2175">
        <v>911.94</v>
      </c>
      <c r="S2175">
        <v>419.78</v>
      </c>
    </row>
    <row r="2176" spans="1:19" x14ac:dyDescent="0.35">
      <c r="A2176">
        <v>200914</v>
      </c>
      <c r="B2176">
        <v>3287</v>
      </c>
      <c r="C2176" t="s">
        <v>33</v>
      </c>
      <c r="D2176" t="s">
        <v>20</v>
      </c>
      <c r="E2176" t="s">
        <v>26</v>
      </c>
      <c r="F2176" t="s">
        <v>27</v>
      </c>
      <c r="G2176" s="1">
        <v>45573</v>
      </c>
      <c r="H2176" s="1">
        <v>45577</v>
      </c>
      <c r="I2176" s="1">
        <v>45590</v>
      </c>
      <c r="J2176">
        <v>17</v>
      </c>
      <c r="K2176">
        <v>4</v>
      </c>
      <c r="L2176">
        <v>7</v>
      </c>
      <c r="M2176">
        <v>50.54</v>
      </c>
      <c r="N2176">
        <v>353.78</v>
      </c>
      <c r="O2176">
        <v>0.08</v>
      </c>
      <c r="P2176">
        <v>28.3</v>
      </c>
      <c r="Q2176">
        <v>325.48</v>
      </c>
      <c r="R2176">
        <v>244.11</v>
      </c>
      <c r="S2176">
        <v>81.37</v>
      </c>
    </row>
    <row r="2177" spans="1:19" x14ac:dyDescent="0.35">
      <c r="A2177">
        <v>200915</v>
      </c>
      <c r="B2177">
        <v>4144</v>
      </c>
      <c r="C2177" t="s">
        <v>28</v>
      </c>
      <c r="D2177" t="s">
        <v>20</v>
      </c>
      <c r="E2177" t="s">
        <v>21</v>
      </c>
      <c r="F2177" t="s">
        <v>39</v>
      </c>
      <c r="G2177" s="1">
        <v>45447</v>
      </c>
      <c r="H2177" s="1">
        <v>45448</v>
      </c>
      <c r="I2177" s="1">
        <v>45458</v>
      </c>
      <c r="J2177">
        <v>11</v>
      </c>
      <c r="K2177">
        <v>1</v>
      </c>
      <c r="L2177">
        <v>7</v>
      </c>
      <c r="M2177">
        <v>458.8</v>
      </c>
      <c r="N2177">
        <v>3211.6</v>
      </c>
      <c r="O2177">
        <v>0.1</v>
      </c>
      <c r="P2177">
        <v>321.16000000000003</v>
      </c>
      <c r="Q2177">
        <v>2890.44</v>
      </c>
      <c r="R2177">
        <v>1862.73</v>
      </c>
      <c r="S2177">
        <v>1027.71</v>
      </c>
    </row>
    <row r="2178" spans="1:19" x14ac:dyDescent="0.35">
      <c r="A2178">
        <v>200916</v>
      </c>
      <c r="B2178">
        <v>4151</v>
      </c>
      <c r="C2178" t="s">
        <v>19</v>
      </c>
      <c r="D2178" t="s">
        <v>31</v>
      </c>
      <c r="E2178" t="s">
        <v>26</v>
      </c>
      <c r="F2178" t="s">
        <v>44</v>
      </c>
      <c r="G2178" s="1">
        <v>45360</v>
      </c>
      <c r="H2178" s="1">
        <v>45363</v>
      </c>
      <c r="I2178" s="1">
        <v>45387</v>
      </c>
      <c r="J2178">
        <v>27</v>
      </c>
      <c r="K2178">
        <v>3</v>
      </c>
      <c r="L2178">
        <v>7</v>
      </c>
      <c r="M2178">
        <v>478.73</v>
      </c>
      <c r="N2178">
        <v>3351.11</v>
      </c>
      <c r="O2178">
        <v>0.11</v>
      </c>
      <c r="P2178">
        <v>368.62</v>
      </c>
      <c r="Q2178">
        <v>2982.49</v>
      </c>
      <c r="R2178">
        <v>1977.15</v>
      </c>
      <c r="S2178">
        <v>1005.34</v>
      </c>
    </row>
    <row r="2179" spans="1:19" x14ac:dyDescent="0.35">
      <c r="A2179">
        <v>200917</v>
      </c>
      <c r="B2179">
        <v>1582</v>
      </c>
      <c r="C2179" t="s">
        <v>19</v>
      </c>
      <c r="D2179" t="s">
        <v>29</v>
      </c>
      <c r="E2179" t="s">
        <v>21</v>
      </c>
      <c r="F2179" t="s">
        <v>39</v>
      </c>
      <c r="G2179" s="1">
        <v>45470</v>
      </c>
      <c r="H2179" s="1">
        <v>45472</v>
      </c>
      <c r="I2179" s="1">
        <v>45488</v>
      </c>
      <c r="J2179">
        <v>18</v>
      </c>
      <c r="K2179">
        <v>2</v>
      </c>
      <c r="L2179">
        <v>9</v>
      </c>
      <c r="M2179">
        <v>429.01</v>
      </c>
      <c r="N2179">
        <v>3861.09</v>
      </c>
      <c r="O2179">
        <v>0.09</v>
      </c>
      <c r="P2179">
        <v>347.5</v>
      </c>
      <c r="Q2179">
        <v>3513.59</v>
      </c>
      <c r="R2179">
        <v>2664.15</v>
      </c>
      <c r="S2179">
        <v>849.44</v>
      </c>
    </row>
    <row r="2180" spans="1:19" x14ac:dyDescent="0.35">
      <c r="A2180">
        <v>200918</v>
      </c>
      <c r="B2180">
        <v>2970</v>
      </c>
      <c r="C2180" t="s">
        <v>28</v>
      </c>
      <c r="D2180" t="s">
        <v>31</v>
      </c>
      <c r="E2180" t="s">
        <v>26</v>
      </c>
      <c r="F2180" t="s">
        <v>36</v>
      </c>
      <c r="G2180" s="1">
        <v>45549</v>
      </c>
      <c r="H2180" s="1">
        <v>45550</v>
      </c>
      <c r="I2180" s="1">
        <v>45554</v>
      </c>
      <c r="J2180">
        <v>5</v>
      </c>
      <c r="K2180">
        <v>1</v>
      </c>
      <c r="L2180">
        <v>4</v>
      </c>
      <c r="M2180">
        <v>675.09</v>
      </c>
      <c r="N2180">
        <v>2700.36</v>
      </c>
      <c r="O2180">
        <v>0.13</v>
      </c>
      <c r="P2180">
        <v>351.05</v>
      </c>
      <c r="Q2180">
        <v>2349.31</v>
      </c>
      <c r="R2180">
        <v>1836.24</v>
      </c>
      <c r="S2180">
        <v>513.07000000000005</v>
      </c>
    </row>
    <row r="2181" spans="1:19" x14ac:dyDescent="0.35">
      <c r="A2181">
        <v>200919</v>
      </c>
      <c r="B2181">
        <v>4306</v>
      </c>
      <c r="C2181" t="s">
        <v>28</v>
      </c>
      <c r="D2181" t="s">
        <v>31</v>
      </c>
      <c r="E2181" t="s">
        <v>34</v>
      </c>
      <c r="F2181" t="s">
        <v>43</v>
      </c>
      <c r="G2181" s="1">
        <v>45591</v>
      </c>
      <c r="H2181" s="1">
        <v>45595</v>
      </c>
      <c r="I2181" s="1">
        <v>45597</v>
      </c>
      <c r="J2181">
        <v>6</v>
      </c>
      <c r="K2181">
        <v>4</v>
      </c>
      <c r="L2181">
        <v>12</v>
      </c>
      <c r="M2181">
        <v>355.45</v>
      </c>
      <c r="N2181">
        <v>4265.3999999999996</v>
      </c>
      <c r="O2181">
        <v>0.24</v>
      </c>
      <c r="P2181">
        <v>1023.7</v>
      </c>
      <c r="Q2181">
        <v>3241.7</v>
      </c>
      <c r="R2181">
        <v>2345.9699999999998</v>
      </c>
      <c r="S2181">
        <v>895.73</v>
      </c>
    </row>
    <row r="2182" spans="1:19" x14ac:dyDescent="0.35">
      <c r="A2182">
        <v>200920</v>
      </c>
      <c r="B2182">
        <v>2031</v>
      </c>
      <c r="C2182" t="s">
        <v>28</v>
      </c>
      <c r="D2182" t="s">
        <v>31</v>
      </c>
      <c r="E2182" t="s">
        <v>26</v>
      </c>
      <c r="F2182" t="s">
        <v>27</v>
      </c>
      <c r="G2182" s="1">
        <v>45493</v>
      </c>
      <c r="H2182" s="1">
        <v>45498</v>
      </c>
      <c r="I2182" s="1">
        <v>45502</v>
      </c>
      <c r="J2182">
        <v>9</v>
      </c>
      <c r="K2182">
        <v>5</v>
      </c>
      <c r="L2182">
        <v>7</v>
      </c>
      <c r="M2182">
        <v>714.95</v>
      </c>
      <c r="N2182">
        <v>5004.6499999999996</v>
      </c>
      <c r="O2182">
        <v>0.13</v>
      </c>
      <c r="P2182">
        <v>650.6</v>
      </c>
      <c r="Q2182">
        <v>4354.05</v>
      </c>
      <c r="R2182">
        <v>2902.7</v>
      </c>
      <c r="S2182">
        <v>1451.35</v>
      </c>
    </row>
    <row r="2183" spans="1:19" x14ac:dyDescent="0.35">
      <c r="A2183">
        <v>200921</v>
      </c>
      <c r="B2183">
        <v>2530</v>
      </c>
      <c r="C2183" t="s">
        <v>33</v>
      </c>
      <c r="D2183" t="s">
        <v>31</v>
      </c>
      <c r="E2183" t="s">
        <v>26</v>
      </c>
      <c r="F2183" t="s">
        <v>36</v>
      </c>
      <c r="G2183" s="1">
        <v>45648</v>
      </c>
      <c r="H2183" s="1">
        <v>45651</v>
      </c>
      <c r="I2183" s="1">
        <v>45677</v>
      </c>
      <c r="J2183">
        <v>29</v>
      </c>
      <c r="K2183">
        <v>3</v>
      </c>
      <c r="L2183">
        <v>13</v>
      </c>
      <c r="M2183">
        <v>270.24</v>
      </c>
      <c r="N2183">
        <v>3513.12</v>
      </c>
      <c r="O2183">
        <v>0.14000000000000001</v>
      </c>
      <c r="P2183">
        <v>491.84</v>
      </c>
      <c r="Q2183">
        <v>3021.28</v>
      </c>
      <c r="R2183">
        <v>2459.1799999999998</v>
      </c>
      <c r="S2183">
        <v>562.1</v>
      </c>
    </row>
    <row r="2184" spans="1:19" x14ac:dyDescent="0.35">
      <c r="A2184">
        <v>200922</v>
      </c>
      <c r="B2184">
        <v>2602</v>
      </c>
      <c r="C2184" t="s">
        <v>23</v>
      </c>
      <c r="D2184" t="s">
        <v>20</v>
      </c>
      <c r="E2184" t="s">
        <v>21</v>
      </c>
      <c r="F2184" t="s">
        <v>39</v>
      </c>
      <c r="G2184" s="1">
        <v>45344</v>
      </c>
      <c r="H2184" s="1">
        <v>45347</v>
      </c>
      <c r="I2184" s="1">
        <v>45354</v>
      </c>
      <c r="J2184">
        <v>10</v>
      </c>
      <c r="K2184">
        <v>3</v>
      </c>
      <c r="L2184">
        <v>14</v>
      </c>
      <c r="M2184">
        <v>467.71</v>
      </c>
      <c r="N2184">
        <v>6547.94</v>
      </c>
      <c r="O2184">
        <v>0.11</v>
      </c>
      <c r="P2184">
        <v>720.27</v>
      </c>
      <c r="Q2184">
        <v>5827.67</v>
      </c>
      <c r="R2184">
        <v>4452.6000000000004</v>
      </c>
      <c r="S2184">
        <v>1375.07</v>
      </c>
    </row>
    <row r="2185" spans="1:19" x14ac:dyDescent="0.35">
      <c r="A2185">
        <v>200923</v>
      </c>
      <c r="B2185">
        <v>2930</v>
      </c>
      <c r="C2185" t="s">
        <v>19</v>
      </c>
      <c r="D2185" t="s">
        <v>20</v>
      </c>
      <c r="E2185" t="s">
        <v>24</v>
      </c>
      <c r="F2185" t="s">
        <v>30</v>
      </c>
      <c r="G2185" s="1">
        <v>45335</v>
      </c>
      <c r="H2185" s="1">
        <v>45336</v>
      </c>
      <c r="I2185" s="1">
        <v>45355</v>
      </c>
      <c r="J2185">
        <v>20</v>
      </c>
      <c r="K2185">
        <v>1</v>
      </c>
      <c r="L2185">
        <v>4</v>
      </c>
      <c r="M2185">
        <v>721.04</v>
      </c>
      <c r="N2185">
        <v>2884.16</v>
      </c>
      <c r="O2185">
        <v>0.12</v>
      </c>
      <c r="P2185">
        <v>346.1</v>
      </c>
      <c r="Q2185">
        <v>2538.06</v>
      </c>
      <c r="R2185">
        <v>1788.18</v>
      </c>
      <c r="S2185">
        <v>749.88</v>
      </c>
    </row>
    <row r="2186" spans="1:19" x14ac:dyDescent="0.35">
      <c r="A2186">
        <v>200924</v>
      </c>
      <c r="B2186">
        <v>1305</v>
      </c>
      <c r="C2186" t="s">
        <v>23</v>
      </c>
      <c r="D2186" t="s">
        <v>29</v>
      </c>
      <c r="E2186" t="s">
        <v>34</v>
      </c>
      <c r="F2186" t="s">
        <v>43</v>
      </c>
      <c r="G2186" s="1">
        <v>45414</v>
      </c>
      <c r="H2186" s="1">
        <v>45418</v>
      </c>
      <c r="I2186" s="1">
        <v>45418</v>
      </c>
      <c r="J2186">
        <v>4</v>
      </c>
      <c r="K2186">
        <v>4</v>
      </c>
      <c r="L2186">
        <v>6</v>
      </c>
      <c r="M2186">
        <v>96.16</v>
      </c>
      <c r="N2186">
        <v>576.96</v>
      </c>
      <c r="O2186">
        <v>0.1</v>
      </c>
      <c r="P2186">
        <v>57.7</v>
      </c>
      <c r="Q2186">
        <v>519.26</v>
      </c>
      <c r="R2186">
        <v>340.41</v>
      </c>
      <c r="S2186">
        <v>178.85</v>
      </c>
    </row>
    <row r="2187" spans="1:19" x14ac:dyDescent="0.35">
      <c r="A2187">
        <v>200925</v>
      </c>
      <c r="B2187">
        <v>1546</v>
      </c>
      <c r="C2187" t="s">
        <v>28</v>
      </c>
      <c r="D2187" t="s">
        <v>31</v>
      </c>
      <c r="E2187" t="s">
        <v>24</v>
      </c>
      <c r="F2187" t="s">
        <v>30</v>
      </c>
      <c r="G2187" s="1">
        <v>45472</v>
      </c>
      <c r="H2187" s="1">
        <v>45474</v>
      </c>
      <c r="I2187" s="1">
        <v>45501</v>
      </c>
      <c r="J2187">
        <v>29</v>
      </c>
      <c r="K2187">
        <v>2</v>
      </c>
      <c r="L2187">
        <v>3</v>
      </c>
      <c r="M2187">
        <v>223.51</v>
      </c>
      <c r="N2187">
        <v>670.53</v>
      </c>
      <c r="O2187">
        <v>0.01</v>
      </c>
      <c r="P2187">
        <v>6.71</v>
      </c>
      <c r="Q2187">
        <v>663.82</v>
      </c>
      <c r="R2187">
        <v>476.08</v>
      </c>
      <c r="S2187">
        <v>187.74</v>
      </c>
    </row>
    <row r="2188" spans="1:19" x14ac:dyDescent="0.35">
      <c r="A2188">
        <v>200926</v>
      </c>
      <c r="B2188">
        <v>2313</v>
      </c>
      <c r="C2188" t="s">
        <v>23</v>
      </c>
      <c r="D2188" t="s">
        <v>31</v>
      </c>
      <c r="E2188" t="s">
        <v>21</v>
      </c>
      <c r="F2188" t="s">
        <v>22</v>
      </c>
      <c r="G2188" s="1">
        <v>45647</v>
      </c>
      <c r="H2188" s="1">
        <v>45652</v>
      </c>
      <c r="I2188" s="1">
        <v>45677</v>
      </c>
      <c r="J2188">
        <v>30</v>
      </c>
      <c r="K2188">
        <v>5</v>
      </c>
      <c r="L2188">
        <v>8</v>
      </c>
      <c r="M2188">
        <v>467.84</v>
      </c>
      <c r="N2188">
        <v>3742.72</v>
      </c>
      <c r="O2188">
        <v>0.18</v>
      </c>
      <c r="P2188">
        <v>673.69</v>
      </c>
      <c r="Q2188">
        <v>3069.03</v>
      </c>
      <c r="R2188">
        <v>1946.21</v>
      </c>
      <c r="S2188">
        <v>1122.82</v>
      </c>
    </row>
    <row r="2189" spans="1:19" x14ac:dyDescent="0.35">
      <c r="A2189">
        <v>200927</v>
      </c>
      <c r="B2189">
        <v>3835</v>
      </c>
      <c r="C2189" t="s">
        <v>23</v>
      </c>
      <c r="D2189" t="s">
        <v>20</v>
      </c>
      <c r="E2189" t="s">
        <v>24</v>
      </c>
      <c r="F2189" t="s">
        <v>32</v>
      </c>
      <c r="G2189" s="1">
        <v>45400</v>
      </c>
      <c r="H2189" s="1">
        <v>45402</v>
      </c>
      <c r="I2189" s="1">
        <v>45416</v>
      </c>
      <c r="J2189">
        <v>16</v>
      </c>
      <c r="K2189">
        <v>2</v>
      </c>
      <c r="L2189">
        <v>9</v>
      </c>
      <c r="M2189">
        <v>791.16</v>
      </c>
      <c r="N2189">
        <v>7120.44</v>
      </c>
      <c r="O2189">
        <v>0.15</v>
      </c>
      <c r="P2189">
        <v>1068.07</v>
      </c>
      <c r="Q2189">
        <v>6052.37</v>
      </c>
      <c r="R2189">
        <v>4485.88</v>
      </c>
      <c r="S2189">
        <v>1566.49</v>
      </c>
    </row>
    <row r="2190" spans="1:19" x14ac:dyDescent="0.35">
      <c r="A2190">
        <v>200928</v>
      </c>
      <c r="B2190">
        <v>4255</v>
      </c>
      <c r="C2190" t="s">
        <v>19</v>
      </c>
      <c r="D2190" t="s">
        <v>20</v>
      </c>
      <c r="E2190" t="s">
        <v>21</v>
      </c>
      <c r="F2190" t="s">
        <v>38</v>
      </c>
      <c r="G2190" s="1">
        <v>45462</v>
      </c>
      <c r="H2190" s="1">
        <v>45465</v>
      </c>
      <c r="I2190" s="1">
        <v>45468</v>
      </c>
      <c r="J2190">
        <v>6</v>
      </c>
      <c r="K2190">
        <v>3</v>
      </c>
      <c r="L2190">
        <v>9</v>
      </c>
      <c r="M2190">
        <v>435.97</v>
      </c>
      <c r="N2190">
        <v>3923.73</v>
      </c>
      <c r="O2190">
        <v>0.16</v>
      </c>
      <c r="P2190">
        <v>627.79999999999995</v>
      </c>
      <c r="Q2190">
        <v>3295.93</v>
      </c>
      <c r="R2190">
        <v>2432.71</v>
      </c>
      <c r="S2190">
        <v>863.22</v>
      </c>
    </row>
    <row r="2191" spans="1:19" x14ac:dyDescent="0.35">
      <c r="A2191">
        <v>200929</v>
      </c>
      <c r="B2191">
        <v>1885</v>
      </c>
      <c r="C2191" t="s">
        <v>33</v>
      </c>
      <c r="D2191" t="s">
        <v>20</v>
      </c>
      <c r="E2191" t="s">
        <v>24</v>
      </c>
      <c r="F2191" t="s">
        <v>25</v>
      </c>
      <c r="G2191" s="1">
        <v>45597</v>
      </c>
      <c r="H2191" s="1">
        <v>45599</v>
      </c>
      <c r="I2191" s="1">
        <v>45600</v>
      </c>
      <c r="J2191">
        <v>3</v>
      </c>
      <c r="K2191">
        <v>2</v>
      </c>
      <c r="L2191">
        <v>2</v>
      </c>
      <c r="M2191">
        <v>383.29</v>
      </c>
      <c r="N2191">
        <v>766.58</v>
      </c>
      <c r="O2191">
        <v>0.12</v>
      </c>
      <c r="P2191">
        <v>91.99</v>
      </c>
      <c r="Q2191">
        <v>674.59</v>
      </c>
      <c r="R2191">
        <v>498.28</v>
      </c>
      <c r="S2191">
        <v>176.31</v>
      </c>
    </row>
    <row r="2192" spans="1:19" x14ac:dyDescent="0.35">
      <c r="A2192">
        <v>200930</v>
      </c>
      <c r="B2192">
        <v>3439</v>
      </c>
      <c r="C2192" t="s">
        <v>33</v>
      </c>
      <c r="D2192" t="s">
        <v>31</v>
      </c>
      <c r="E2192" t="s">
        <v>26</v>
      </c>
      <c r="F2192" t="s">
        <v>44</v>
      </c>
      <c r="G2192" s="1">
        <v>45341</v>
      </c>
      <c r="H2192" s="1">
        <v>45343</v>
      </c>
      <c r="I2192" s="1">
        <v>45369</v>
      </c>
      <c r="J2192">
        <v>28</v>
      </c>
      <c r="K2192">
        <v>2</v>
      </c>
      <c r="L2192">
        <v>4</v>
      </c>
      <c r="M2192">
        <v>638</v>
      </c>
      <c r="N2192">
        <v>2552</v>
      </c>
      <c r="O2192">
        <v>0.15</v>
      </c>
      <c r="P2192">
        <v>382.8</v>
      </c>
      <c r="Q2192">
        <v>2169.1999999999998</v>
      </c>
      <c r="R2192">
        <v>1429.12</v>
      </c>
      <c r="S2192">
        <v>740.08</v>
      </c>
    </row>
    <row r="2193" spans="1:19" x14ac:dyDescent="0.35">
      <c r="A2193">
        <v>200931</v>
      </c>
      <c r="B2193">
        <v>4220</v>
      </c>
      <c r="C2193" t="s">
        <v>23</v>
      </c>
      <c r="D2193" t="s">
        <v>29</v>
      </c>
      <c r="E2193" t="s">
        <v>34</v>
      </c>
      <c r="F2193" t="s">
        <v>45</v>
      </c>
      <c r="G2193" s="1">
        <v>45299</v>
      </c>
      <c r="H2193" s="1">
        <v>45304</v>
      </c>
      <c r="I2193" s="1">
        <v>45315</v>
      </c>
      <c r="J2193">
        <v>16</v>
      </c>
      <c r="K2193">
        <v>5</v>
      </c>
      <c r="L2193">
        <v>12</v>
      </c>
      <c r="M2193">
        <v>635.54999999999995</v>
      </c>
      <c r="N2193">
        <v>7626.6</v>
      </c>
      <c r="O2193">
        <v>0.09</v>
      </c>
      <c r="P2193">
        <v>686.39</v>
      </c>
      <c r="Q2193">
        <v>6940.21</v>
      </c>
      <c r="R2193">
        <v>4957.29</v>
      </c>
      <c r="S2193">
        <v>1982.92</v>
      </c>
    </row>
    <row r="2194" spans="1:19" x14ac:dyDescent="0.35">
      <c r="A2194">
        <v>200932</v>
      </c>
      <c r="B2194">
        <v>1846</v>
      </c>
      <c r="C2194" t="s">
        <v>33</v>
      </c>
      <c r="D2194" t="s">
        <v>29</v>
      </c>
      <c r="E2194" t="s">
        <v>26</v>
      </c>
      <c r="F2194" t="s">
        <v>37</v>
      </c>
      <c r="G2194" s="1">
        <v>45487</v>
      </c>
      <c r="H2194" s="1">
        <v>45489</v>
      </c>
      <c r="I2194" s="1">
        <v>45492</v>
      </c>
      <c r="J2194">
        <v>5</v>
      </c>
      <c r="K2194">
        <v>2</v>
      </c>
      <c r="L2194">
        <v>7</v>
      </c>
      <c r="M2194">
        <v>168.36</v>
      </c>
      <c r="N2194">
        <v>1178.52</v>
      </c>
      <c r="O2194">
        <v>0.04</v>
      </c>
      <c r="P2194">
        <v>47.14</v>
      </c>
      <c r="Q2194">
        <v>1131.3800000000001</v>
      </c>
      <c r="R2194">
        <v>824.96</v>
      </c>
      <c r="S2194">
        <v>306.42</v>
      </c>
    </row>
    <row r="2195" spans="1:19" x14ac:dyDescent="0.35">
      <c r="A2195">
        <v>200933</v>
      </c>
      <c r="B2195">
        <v>2600</v>
      </c>
      <c r="C2195" t="s">
        <v>19</v>
      </c>
      <c r="D2195" t="s">
        <v>31</v>
      </c>
      <c r="E2195" t="s">
        <v>26</v>
      </c>
      <c r="F2195" t="s">
        <v>44</v>
      </c>
      <c r="G2195" s="1">
        <v>45325</v>
      </c>
      <c r="H2195" s="1">
        <v>45328</v>
      </c>
      <c r="I2195" s="1">
        <v>45333</v>
      </c>
      <c r="J2195">
        <v>8</v>
      </c>
      <c r="K2195">
        <v>3</v>
      </c>
      <c r="L2195">
        <v>3</v>
      </c>
      <c r="M2195">
        <v>541</v>
      </c>
      <c r="N2195">
        <v>1623</v>
      </c>
      <c r="O2195">
        <v>0.06</v>
      </c>
      <c r="P2195">
        <v>97.38</v>
      </c>
      <c r="Q2195">
        <v>1525.62</v>
      </c>
      <c r="R2195">
        <v>957.57</v>
      </c>
      <c r="S2195">
        <v>568.04999999999995</v>
      </c>
    </row>
    <row r="2196" spans="1:19" x14ac:dyDescent="0.35">
      <c r="A2196">
        <v>200934</v>
      </c>
      <c r="B2196">
        <v>3029</v>
      </c>
      <c r="C2196" t="s">
        <v>19</v>
      </c>
      <c r="D2196" t="s">
        <v>20</v>
      </c>
      <c r="E2196" t="s">
        <v>21</v>
      </c>
      <c r="F2196" t="s">
        <v>41</v>
      </c>
      <c r="G2196" s="1">
        <v>45382</v>
      </c>
      <c r="H2196" s="1">
        <v>45387</v>
      </c>
      <c r="I2196" s="1">
        <v>45402</v>
      </c>
      <c r="J2196">
        <v>20</v>
      </c>
      <c r="K2196">
        <v>5</v>
      </c>
      <c r="L2196">
        <v>12</v>
      </c>
      <c r="M2196">
        <v>698.4</v>
      </c>
      <c r="N2196">
        <v>8380.7999999999993</v>
      </c>
      <c r="O2196">
        <v>0.08</v>
      </c>
      <c r="P2196">
        <v>670.46</v>
      </c>
      <c r="Q2196">
        <v>7710.34</v>
      </c>
      <c r="R2196">
        <v>5363.71</v>
      </c>
      <c r="S2196">
        <v>2346.63</v>
      </c>
    </row>
    <row r="2197" spans="1:19" x14ac:dyDescent="0.35">
      <c r="A2197">
        <v>200935</v>
      </c>
      <c r="B2197">
        <v>1241</v>
      </c>
      <c r="C2197" t="s">
        <v>33</v>
      </c>
      <c r="D2197" t="s">
        <v>20</v>
      </c>
      <c r="E2197" t="s">
        <v>24</v>
      </c>
      <c r="F2197" t="s">
        <v>32</v>
      </c>
      <c r="G2197" s="1">
        <v>45539</v>
      </c>
      <c r="H2197" s="1">
        <v>45540</v>
      </c>
      <c r="I2197" s="1">
        <v>45543</v>
      </c>
      <c r="J2197">
        <v>4</v>
      </c>
      <c r="K2197">
        <v>1</v>
      </c>
      <c r="L2197">
        <v>9</v>
      </c>
      <c r="M2197">
        <v>713.54</v>
      </c>
      <c r="N2197">
        <v>6421.86</v>
      </c>
      <c r="O2197">
        <v>0.17</v>
      </c>
      <c r="P2197">
        <v>1091.72</v>
      </c>
      <c r="Q2197">
        <v>5330.14</v>
      </c>
      <c r="R2197">
        <v>3596.24</v>
      </c>
      <c r="S2197">
        <v>1733.9</v>
      </c>
    </row>
    <row r="2198" spans="1:19" x14ac:dyDescent="0.35">
      <c r="A2198">
        <v>200936</v>
      </c>
      <c r="B2198">
        <v>2594</v>
      </c>
      <c r="C2198" t="s">
        <v>33</v>
      </c>
      <c r="D2198" t="s">
        <v>31</v>
      </c>
      <c r="E2198" t="s">
        <v>26</v>
      </c>
      <c r="F2198" t="s">
        <v>37</v>
      </c>
      <c r="G2198" s="1">
        <v>45522</v>
      </c>
      <c r="H2198" s="1">
        <v>45526</v>
      </c>
      <c r="I2198" s="1">
        <v>45531</v>
      </c>
      <c r="J2198">
        <v>9</v>
      </c>
      <c r="K2198">
        <v>4</v>
      </c>
      <c r="L2198">
        <v>12</v>
      </c>
      <c r="M2198">
        <v>231.2</v>
      </c>
      <c r="N2198">
        <v>2774.4</v>
      </c>
      <c r="O2198">
        <v>0.18</v>
      </c>
      <c r="P2198">
        <v>499.39</v>
      </c>
      <c r="Q2198">
        <v>2275.0100000000002</v>
      </c>
      <c r="R2198">
        <v>1636.9</v>
      </c>
      <c r="S2198">
        <v>638.11</v>
      </c>
    </row>
    <row r="2199" spans="1:19" x14ac:dyDescent="0.35">
      <c r="A2199">
        <v>200937</v>
      </c>
      <c r="B2199">
        <v>1093</v>
      </c>
      <c r="C2199" t="s">
        <v>19</v>
      </c>
      <c r="D2199" t="s">
        <v>29</v>
      </c>
      <c r="E2199" t="s">
        <v>24</v>
      </c>
      <c r="F2199" t="s">
        <v>25</v>
      </c>
      <c r="G2199" s="1">
        <v>45339</v>
      </c>
      <c r="H2199" s="1">
        <v>45342</v>
      </c>
      <c r="I2199" s="1">
        <v>45354</v>
      </c>
      <c r="J2199">
        <v>15</v>
      </c>
      <c r="K2199">
        <v>3</v>
      </c>
      <c r="L2199">
        <v>9</v>
      </c>
      <c r="M2199">
        <v>789.03</v>
      </c>
      <c r="N2199">
        <v>7101.27</v>
      </c>
      <c r="O2199">
        <v>0.17</v>
      </c>
      <c r="P2199">
        <v>1207.22</v>
      </c>
      <c r="Q2199">
        <v>5894.05</v>
      </c>
      <c r="R2199">
        <v>4828.8599999999997</v>
      </c>
      <c r="S2199">
        <v>1065.19</v>
      </c>
    </row>
    <row r="2200" spans="1:19" x14ac:dyDescent="0.35">
      <c r="A2200">
        <v>200938</v>
      </c>
      <c r="B2200">
        <v>3730</v>
      </c>
      <c r="C2200" t="s">
        <v>33</v>
      </c>
      <c r="D2200" t="s">
        <v>20</v>
      </c>
      <c r="E2200" t="s">
        <v>24</v>
      </c>
      <c r="F2200" t="s">
        <v>32</v>
      </c>
      <c r="G2200" s="1">
        <v>45587</v>
      </c>
      <c r="H2200" s="1">
        <v>45590</v>
      </c>
      <c r="I2200" s="1">
        <v>45614</v>
      </c>
      <c r="J2200">
        <v>27</v>
      </c>
      <c r="K2200">
        <v>3</v>
      </c>
      <c r="L2200">
        <v>4</v>
      </c>
      <c r="M2200">
        <v>598.76</v>
      </c>
      <c r="N2200">
        <v>2395.04</v>
      </c>
      <c r="O2200">
        <v>0.09</v>
      </c>
      <c r="P2200">
        <v>215.55</v>
      </c>
      <c r="Q2200">
        <v>2179.4899999999998</v>
      </c>
      <c r="R2200">
        <v>1413.07</v>
      </c>
      <c r="S2200">
        <v>766.42</v>
      </c>
    </row>
    <row r="2201" spans="1:19" x14ac:dyDescent="0.35">
      <c r="A2201">
        <v>200939</v>
      </c>
      <c r="B2201">
        <v>3888</v>
      </c>
      <c r="C2201" t="s">
        <v>23</v>
      </c>
      <c r="D2201" t="s">
        <v>29</v>
      </c>
      <c r="E2201" t="s">
        <v>34</v>
      </c>
      <c r="F2201" t="s">
        <v>40</v>
      </c>
      <c r="G2201" s="1">
        <v>45445</v>
      </c>
      <c r="H2201" s="1">
        <v>45448</v>
      </c>
      <c r="I2201" s="1">
        <v>45455</v>
      </c>
      <c r="J2201">
        <v>10</v>
      </c>
      <c r="K2201">
        <v>3</v>
      </c>
      <c r="L2201">
        <v>7</v>
      </c>
      <c r="M2201">
        <v>422.07</v>
      </c>
      <c r="N2201">
        <v>2954.49</v>
      </c>
      <c r="O2201">
        <v>0.15</v>
      </c>
      <c r="P2201">
        <v>443.17</v>
      </c>
      <c r="Q2201">
        <v>2511.3200000000002</v>
      </c>
      <c r="R2201">
        <v>2038.6</v>
      </c>
      <c r="S2201">
        <v>472.72</v>
      </c>
    </row>
    <row r="2202" spans="1:19" x14ac:dyDescent="0.35">
      <c r="A2202">
        <v>200940</v>
      </c>
      <c r="B2202">
        <v>2029</v>
      </c>
      <c r="C2202" t="s">
        <v>28</v>
      </c>
      <c r="D2202" t="s">
        <v>20</v>
      </c>
      <c r="E2202" t="s">
        <v>26</v>
      </c>
      <c r="F2202" t="s">
        <v>44</v>
      </c>
      <c r="G2202" s="1">
        <v>45486</v>
      </c>
      <c r="H2202" s="1">
        <v>45487</v>
      </c>
      <c r="I2202" s="1">
        <v>45509</v>
      </c>
      <c r="J2202">
        <v>23</v>
      </c>
      <c r="K2202">
        <v>1</v>
      </c>
      <c r="L2202">
        <v>11</v>
      </c>
      <c r="M2202">
        <v>105.36</v>
      </c>
      <c r="N2202">
        <v>1158.96</v>
      </c>
      <c r="O2202">
        <v>0.09</v>
      </c>
      <c r="P2202">
        <v>104.31</v>
      </c>
      <c r="Q2202">
        <v>1054.6500000000001</v>
      </c>
      <c r="R2202">
        <v>730.14</v>
      </c>
      <c r="S2202">
        <v>324.51</v>
      </c>
    </row>
    <row r="2203" spans="1:19" x14ac:dyDescent="0.35">
      <c r="A2203">
        <v>200941</v>
      </c>
      <c r="B2203">
        <v>2692</v>
      </c>
      <c r="C2203" t="s">
        <v>23</v>
      </c>
      <c r="D2203" t="s">
        <v>29</v>
      </c>
      <c r="E2203" t="s">
        <v>34</v>
      </c>
      <c r="F2203" t="s">
        <v>35</v>
      </c>
      <c r="G2203" s="1">
        <v>45303</v>
      </c>
      <c r="H2203" s="1">
        <v>45308</v>
      </c>
      <c r="I2203" s="1">
        <v>45319</v>
      </c>
      <c r="J2203">
        <v>16</v>
      </c>
      <c r="K2203">
        <v>5</v>
      </c>
      <c r="L2203">
        <v>2</v>
      </c>
      <c r="M2203">
        <v>650.53</v>
      </c>
      <c r="N2203">
        <v>1301.06</v>
      </c>
      <c r="O2203">
        <v>0.09</v>
      </c>
      <c r="P2203">
        <v>117.1</v>
      </c>
      <c r="Q2203">
        <v>1183.96</v>
      </c>
      <c r="R2203">
        <v>910.74</v>
      </c>
      <c r="S2203">
        <v>273.22000000000003</v>
      </c>
    </row>
    <row r="2204" spans="1:19" x14ac:dyDescent="0.35">
      <c r="A2204">
        <v>200942</v>
      </c>
      <c r="B2204">
        <v>4064</v>
      </c>
      <c r="C2204" t="s">
        <v>19</v>
      </c>
      <c r="D2204" t="s">
        <v>20</v>
      </c>
      <c r="E2204" t="s">
        <v>21</v>
      </c>
      <c r="F2204" t="s">
        <v>38</v>
      </c>
      <c r="G2204" s="1">
        <v>45547</v>
      </c>
      <c r="H2204" s="1">
        <v>45552</v>
      </c>
      <c r="I2204" s="1">
        <v>45563</v>
      </c>
      <c r="J2204">
        <v>16</v>
      </c>
      <c r="K2204">
        <v>5</v>
      </c>
      <c r="L2204">
        <v>10</v>
      </c>
      <c r="M2204">
        <v>227.51</v>
      </c>
      <c r="N2204">
        <v>2275.1</v>
      </c>
      <c r="O2204">
        <v>0.15</v>
      </c>
      <c r="P2204">
        <v>341.26</v>
      </c>
      <c r="Q2204">
        <v>1933.84</v>
      </c>
      <c r="R2204">
        <v>1433.31</v>
      </c>
      <c r="S2204">
        <v>500.53</v>
      </c>
    </row>
    <row r="2205" spans="1:19" x14ac:dyDescent="0.35">
      <c r="A2205">
        <v>200943</v>
      </c>
      <c r="B2205">
        <v>3160</v>
      </c>
      <c r="C2205" t="s">
        <v>33</v>
      </c>
      <c r="D2205" t="s">
        <v>29</v>
      </c>
      <c r="E2205" t="s">
        <v>26</v>
      </c>
      <c r="F2205" t="s">
        <v>44</v>
      </c>
      <c r="G2205" s="1">
        <v>45449</v>
      </c>
      <c r="H2205" s="1">
        <v>45453</v>
      </c>
      <c r="I2205" s="1">
        <v>45470</v>
      </c>
      <c r="J2205">
        <v>21</v>
      </c>
      <c r="K2205">
        <v>4</v>
      </c>
      <c r="L2205">
        <v>4</v>
      </c>
      <c r="M2205">
        <v>582.13</v>
      </c>
      <c r="N2205">
        <v>2328.52</v>
      </c>
      <c r="O2205">
        <v>0.16</v>
      </c>
      <c r="P2205">
        <v>372.56</v>
      </c>
      <c r="Q2205">
        <v>1955.96</v>
      </c>
      <c r="R2205">
        <v>1606.68</v>
      </c>
      <c r="S2205">
        <v>349.28</v>
      </c>
    </row>
    <row r="2206" spans="1:19" x14ac:dyDescent="0.35">
      <c r="A2206">
        <v>200944</v>
      </c>
      <c r="B2206">
        <v>3969</v>
      </c>
      <c r="C2206" t="s">
        <v>28</v>
      </c>
      <c r="D2206" t="s">
        <v>29</v>
      </c>
      <c r="E2206" t="s">
        <v>26</v>
      </c>
      <c r="F2206" t="s">
        <v>36</v>
      </c>
      <c r="G2206" s="1">
        <v>45459</v>
      </c>
      <c r="H2206" s="1">
        <v>45463</v>
      </c>
      <c r="I2206" s="1">
        <v>45485</v>
      </c>
      <c r="J2206">
        <v>26</v>
      </c>
      <c r="K2206">
        <v>4</v>
      </c>
      <c r="L2206">
        <v>14</v>
      </c>
      <c r="M2206">
        <v>293.56</v>
      </c>
      <c r="N2206">
        <v>4109.84</v>
      </c>
      <c r="O2206">
        <v>0.1</v>
      </c>
      <c r="P2206">
        <v>410.98</v>
      </c>
      <c r="Q2206">
        <v>3698.86</v>
      </c>
      <c r="R2206">
        <v>2301.5100000000002</v>
      </c>
      <c r="S2206">
        <v>1397.35</v>
      </c>
    </row>
    <row r="2207" spans="1:19" x14ac:dyDescent="0.35">
      <c r="A2207">
        <v>200945</v>
      </c>
      <c r="B2207">
        <v>1228</v>
      </c>
      <c r="C2207" t="s">
        <v>33</v>
      </c>
      <c r="D2207" t="s">
        <v>31</v>
      </c>
      <c r="E2207" t="s">
        <v>24</v>
      </c>
      <c r="F2207" t="s">
        <v>32</v>
      </c>
      <c r="G2207" s="1">
        <v>45446</v>
      </c>
      <c r="H2207" s="1">
        <v>45448</v>
      </c>
      <c r="I2207" s="1">
        <v>45448</v>
      </c>
      <c r="J2207">
        <v>2</v>
      </c>
      <c r="K2207">
        <v>2</v>
      </c>
      <c r="L2207">
        <v>1</v>
      </c>
      <c r="M2207">
        <v>410.21</v>
      </c>
      <c r="N2207">
        <v>410.21</v>
      </c>
      <c r="O2207">
        <v>0.02</v>
      </c>
      <c r="P2207">
        <v>8.1999999999999993</v>
      </c>
      <c r="Q2207">
        <v>402.01</v>
      </c>
      <c r="R2207">
        <v>262.52999999999997</v>
      </c>
      <c r="S2207">
        <v>139.47999999999999</v>
      </c>
    </row>
    <row r="2208" spans="1:19" x14ac:dyDescent="0.35">
      <c r="A2208">
        <v>200946</v>
      </c>
      <c r="B2208">
        <v>4184</v>
      </c>
      <c r="C2208" t="s">
        <v>28</v>
      </c>
      <c r="D2208" t="s">
        <v>20</v>
      </c>
      <c r="E2208" t="s">
        <v>34</v>
      </c>
      <c r="F2208" t="s">
        <v>40</v>
      </c>
      <c r="G2208" s="1">
        <v>45338</v>
      </c>
      <c r="H2208" s="1">
        <v>45343</v>
      </c>
      <c r="I2208" s="1">
        <v>45368</v>
      </c>
      <c r="J2208">
        <v>30</v>
      </c>
      <c r="K2208">
        <v>5</v>
      </c>
      <c r="L2208">
        <v>13</v>
      </c>
      <c r="M2208">
        <v>602.72</v>
      </c>
      <c r="N2208">
        <v>7835.36</v>
      </c>
      <c r="O2208">
        <v>7.0000000000000007E-2</v>
      </c>
      <c r="P2208">
        <v>548.48</v>
      </c>
      <c r="Q2208">
        <v>7286.88</v>
      </c>
      <c r="R2208">
        <v>5563.11</v>
      </c>
      <c r="S2208">
        <v>1723.77</v>
      </c>
    </row>
    <row r="2209" spans="1:19" x14ac:dyDescent="0.35">
      <c r="A2209">
        <v>200947</v>
      </c>
      <c r="B2209">
        <v>2701</v>
      </c>
      <c r="C2209" t="s">
        <v>28</v>
      </c>
      <c r="D2209" t="s">
        <v>31</v>
      </c>
      <c r="E2209" t="s">
        <v>24</v>
      </c>
      <c r="F2209" t="s">
        <v>32</v>
      </c>
      <c r="G2209" s="1">
        <v>45637</v>
      </c>
      <c r="H2209" s="1">
        <v>45639</v>
      </c>
      <c r="I2209" s="1">
        <v>45664</v>
      </c>
      <c r="J2209">
        <v>27</v>
      </c>
      <c r="K2209">
        <v>2</v>
      </c>
      <c r="L2209">
        <v>6</v>
      </c>
      <c r="M2209">
        <v>493.87</v>
      </c>
      <c r="N2209">
        <v>2963.22</v>
      </c>
      <c r="O2209">
        <v>0.16</v>
      </c>
      <c r="P2209">
        <v>474.12</v>
      </c>
      <c r="Q2209">
        <v>2489.1</v>
      </c>
      <c r="R2209">
        <v>1896.46</v>
      </c>
      <c r="S2209">
        <v>592.64</v>
      </c>
    </row>
    <row r="2210" spans="1:19" x14ac:dyDescent="0.35">
      <c r="A2210">
        <v>200948</v>
      </c>
      <c r="B2210">
        <v>1069</v>
      </c>
      <c r="C2210" t="s">
        <v>19</v>
      </c>
      <c r="D2210" t="s">
        <v>31</v>
      </c>
      <c r="E2210" t="s">
        <v>34</v>
      </c>
      <c r="F2210" t="s">
        <v>43</v>
      </c>
      <c r="G2210" s="1">
        <v>45377</v>
      </c>
      <c r="H2210" s="1">
        <v>45379</v>
      </c>
      <c r="I2210" s="1">
        <v>45406</v>
      </c>
      <c r="J2210">
        <v>29</v>
      </c>
      <c r="K2210">
        <v>2</v>
      </c>
      <c r="L2210">
        <v>7</v>
      </c>
      <c r="M2210">
        <v>166.06</v>
      </c>
      <c r="N2210">
        <v>1162.42</v>
      </c>
      <c r="O2210">
        <v>0.17</v>
      </c>
      <c r="P2210">
        <v>197.61</v>
      </c>
      <c r="Q2210">
        <v>964.81</v>
      </c>
      <c r="R2210">
        <v>743.95</v>
      </c>
      <c r="S2210">
        <v>220.86</v>
      </c>
    </row>
    <row r="2211" spans="1:19" x14ac:dyDescent="0.35">
      <c r="A2211">
        <v>200949</v>
      </c>
      <c r="B2211">
        <v>1245</v>
      </c>
      <c r="C2211" t="s">
        <v>23</v>
      </c>
      <c r="D2211" t="s">
        <v>29</v>
      </c>
      <c r="E2211" t="s">
        <v>26</v>
      </c>
      <c r="F2211" t="s">
        <v>44</v>
      </c>
      <c r="G2211" s="1">
        <v>45529</v>
      </c>
      <c r="H2211" s="1">
        <v>45531</v>
      </c>
      <c r="I2211" s="1">
        <v>45541</v>
      </c>
      <c r="J2211">
        <v>12</v>
      </c>
      <c r="K2211">
        <v>2</v>
      </c>
      <c r="L2211">
        <v>4</v>
      </c>
      <c r="M2211">
        <v>534.5</v>
      </c>
      <c r="N2211">
        <v>2138</v>
      </c>
      <c r="O2211">
        <v>0.13</v>
      </c>
      <c r="P2211">
        <v>277.94</v>
      </c>
      <c r="Q2211">
        <v>1860.06</v>
      </c>
      <c r="R2211">
        <v>1496.6</v>
      </c>
      <c r="S2211">
        <v>363.46</v>
      </c>
    </row>
    <row r="2212" spans="1:19" x14ac:dyDescent="0.35">
      <c r="A2212">
        <v>200950</v>
      </c>
      <c r="B2212">
        <v>3747</v>
      </c>
      <c r="C2212" t="s">
        <v>33</v>
      </c>
      <c r="D2212" t="s">
        <v>29</v>
      </c>
      <c r="E2212" t="s">
        <v>21</v>
      </c>
      <c r="F2212" t="s">
        <v>22</v>
      </c>
      <c r="G2212" s="1">
        <v>45418</v>
      </c>
      <c r="H2212" s="1">
        <v>45420</v>
      </c>
      <c r="I2212" s="1">
        <v>45420</v>
      </c>
      <c r="J2212">
        <v>2</v>
      </c>
      <c r="K2212">
        <v>2</v>
      </c>
      <c r="L2212">
        <v>4</v>
      </c>
      <c r="M2212">
        <v>42.27</v>
      </c>
      <c r="N2212">
        <v>169.08</v>
      </c>
      <c r="O2212">
        <v>0.11</v>
      </c>
      <c r="P2212">
        <v>18.600000000000001</v>
      </c>
      <c r="Q2212">
        <v>150.47999999999999</v>
      </c>
      <c r="R2212">
        <v>114.97</v>
      </c>
      <c r="S2212">
        <v>35.51</v>
      </c>
    </row>
    <row r="2213" spans="1:19" x14ac:dyDescent="0.35">
      <c r="A2213">
        <v>200951</v>
      </c>
      <c r="B2213">
        <v>1528</v>
      </c>
      <c r="C2213" t="s">
        <v>28</v>
      </c>
      <c r="D2213" t="s">
        <v>20</v>
      </c>
      <c r="E2213" t="s">
        <v>26</v>
      </c>
      <c r="F2213" t="s">
        <v>27</v>
      </c>
      <c r="G2213" s="1">
        <v>45489</v>
      </c>
      <c r="H2213" s="1">
        <v>45490</v>
      </c>
      <c r="I2213" s="1">
        <v>45513</v>
      </c>
      <c r="J2213">
        <v>24</v>
      </c>
      <c r="K2213">
        <v>1</v>
      </c>
      <c r="L2213">
        <v>3</v>
      </c>
      <c r="M2213">
        <v>643.37</v>
      </c>
      <c r="N2213">
        <v>1930.11</v>
      </c>
      <c r="O2213">
        <v>0</v>
      </c>
      <c r="P2213">
        <v>0</v>
      </c>
      <c r="Q2213">
        <v>1930.11</v>
      </c>
      <c r="R2213">
        <v>1158.07</v>
      </c>
      <c r="S2213">
        <v>772.04</v>
      </c>
    </row>
    <row r="2214" spans="1:19" x14ac:dyDescent="0.35">
      <c r="A2214">
        <v>200952</v>
      </c>
      <c r="B2214">
        <v>2500</v>
      </c>
      <c r="C2214" t="s">
        <v>19</v>
      </c>
      <c r="D2214" t="s">
        <v>29</v>
      </c>
      <c r="E2214" t="s">
        <v>26</v>
      </c>
      <c r="F2214" t="s">
        <v>44</v>
      </c>
      <c r="G2214" s="1">
        <v>45343</v>
      </c>
      <c r="H2214" s="1">
        <v>45345</v>
      </c>
      <c r="I2214" s="1">
        <v>45372</v>
      </c>
      <c r="J2214">
        <v>29</v>
      </c>
      <c r="K2214">
        <v>2</v>
      </c>
      <c r="L2214">
        <v>1</v>
      </c>
      <c r="M2214">
        <v>646.36</v>
      </c>
      <c r="N2214">
        <v>646.36</v>
      </c>
      <c r="O2214">
        <v>0.09</v>
      </c>
      <c r="P2214">
        <v>58.17</v>
      </c>
      <c r="Q2214">
        <v>588.19000000000005</v>
      </c>
      <c r="R2214">
        <v>400.74</v>
      </c>
      <c r="S2214">
        <v>187.45</v>
      </c>
    </row>
    <row r="2215" spans="1:19" x14ac:dyDescent="0.35">
      <c r="A2215">
        <v>200953</v>
      </c>
      <c r="B2215">
        <v>4744</v>
      </c>
      <c r="C2215" t="s">
        <v>19</v>
      </c>
      <c r="D2215" t="s">
        <v>29</v>
      </c>
      <c r="E2215" t="s">
        <v>34</v>
      </c>
      <c r="F2215" t="s">
        <v>40</v>
      </c>
      <c r="G2215" s="1">
        <v>45501</v>
      </c>
      <c r="H2215" s="1">
        <v>45503</v>
      </c>
      <c r="I2215" s="1">
        <v>45507</v>
      </c>
      <c r="J2215">
        <v>6</v>
      </c>
      <c r="K2215">
        <v>2</v>
      </c>
      <c r="L2215">
        <v>2</v>
      </c>
      <c r="M2215">
        <v>217.28</v>
      </c>
      <c r="N2215">
        <v>434.56</v>
      </c>
      <c r="O2215">
        <v>0.12</v>
      </c>
      <c r="P2215">
        <v>52.15</v>
      </c>
      <c r="Q2215">
        <v>382.41</v>
      </c>
      <c r="R2215">
        <v>260.74</v>
      </c>
      <c r="S2215">
        <v>121.67</v>
      </c>
    </row>
    <row r="2216" spans="1:19" x14ac:dyDescent="0.35">
      <c r="A2216">
        <v>200954</v>
      </c>
      <c r="B2216">
        <v>1243</v>
      </c>
      <c r="C2216" t="s">
        <v>23</v>
      </c>
      <c r="D2216" t="s">
        <v>20</v>
      </c>
      <c r="E2216" t="s">
        <v>21</v>
      </c>
      <c r="F2216" t="s">
        <v>22</v>
      </c>
      <c r="G2216" s="1">
        <v>45414</v>
      </c>
      <c r="H2216" s="1">
        <v>45417</v>
      </c>
      <c r="I2216" s="1">
        <v>45431</v>
      </c>
      <c r="J2216">
        <v>17</v>
      </c>
      <c r="K2216">
        <v>3</v>
      </c>
      <c r="L2216">
        <v>6</v>
      </c>
      <c r="M2216">
        <v>440.14</v>
      </c>
      <c r="N2216">
        <v>2640.84</v>
      </c>
      <c r="O2216">
        <v>0.17</v>
      </c>
      <c r="P2216">
        <v>448.94</v>
      </c>
      <c r="Q2216">
        <v>2191.9</v>
      </c>
      <c r="R2216">
        <v>1478.87</v>
      </c>
      <c r="S2216">
        <v>713.03</v>
      </c>
    </row>
    <row r="2217" spans="1:19" x14ac:dyDescent="0.35">
      <c r="A2217">
        <v>200955</v>
      </c>
      <c r="B2217">
        <v>3892</v>
      </c>
      <c r="C2217" t="s">
        <v>23</v>
      </c>
      <c r="D2217" t="s">
        <v>20</v>
      </c>
      <c r="E2217" t="s">
        <v>21</v>
      </c>
      <c r="F2217" t="s">
        <v>41</v>
      </c>
      <c r="G2217" s="1">
        <v>45582</v>
      </c>
      <c r="H2217" s="1">
        <v>45583</v>
      </c>
      <c r="I2217" s="1">
        <v>45611</v>
      </c>
      <c r="J2217">
        <v>29</v>
      </c>
      <c r="K2217">
        <v>1</v>
      </c>
      <c r="L2217">
        <v>10</v>
      </c>
      <c r="M2217">
        <v>63.01</v>
      </c>
      <c r="N2217">
        <v>630.1</v>
      </c>
      <c r="O2217">
        <v>7.0000000000000007E-2</v>
      </c>
      <c r="P2217">
        <v>44.11</v>
      </c>
      <c r="Q2217">
        <v>585.99</v>
      </c>
      <c r="R2217">
        <v>390.66</v>
      </c>
      <c r="S2217">
        <v>195.33</v>
      </c>
    </row>
    <row r="2218" spans="1:19" x14ac:dyDescent="0.35">
      <c r="A2218">
        <v>200956</v>
      </c>
      <c r="B2218">
        <v>3135</v>
      </c>
      <c r="C2218" t="s">
        <v>23</v>
      </c>
      <c r="D2218" t="s">
        <v>20</v>
      </c>
      <c r="E2218" t="s">
        <v>24</v>
      </c>
      <c r="F2218" t="s">
        <v>25</v>
      </c>
      <c r="G2218" s="1">
        <v>45429</v>
      </c>
      <c r="H2218" s="1">
        <v>45431</v>
      </c>
      <c r="I2218" s="1">
        <v>45436</v>
      </c>
      <c r="J2218">
        <v>7</v>
      </c>
      <c r="K2218">
        <v>2</v>
      </c>
      <c r="L2218">
        <v>9</v>
      </c>
      <c r="M2218">
        <v>424.16</v>
      </c>
      <c r="N2218">
        <v>3817.44</v>
      </c>
      <c r="O2218">
        <v>0.11</v>
      </c>
      <c r="P2218">
        <v>419.92</v>
      </c>
      <c r="Q2218">
        <v>3397.52</v>
      </c>
      <c r="R2218">
        <v>2290.46</v>
      </c>
      <c r="S2218">
        <v>1107.06</v>
      </c>
    </row>
    <row r="2219" spans="1:19" x14ac:dyDescent="0.35">
      <c r="A2219">
        <v>200957</v>
      </c>
      <c r="B2219">
        <v>3355</v>
      </c>
      <c r="C2219" t="s">
        <v>23</v>
      </c>
      <c r="D2219" t="s">
        <v>29</v>
      </c>
      <c r="E2219" t="s">
        <v>26</v>
      </c>
      <c r="F2219" t="s">
        <v>37</v>
      </c>
      <c r="G2219" s="1">
        <v>45309</v>
      </c>
      <c r="H2219" s="1">
        <v>45310</v>
      </c>
      <c r="I2219" s="1">
        <v>45316</v>
      </c>
      <c r="J2219">
        <v>7</v>
      </c>
      <c r="K2219">
        <v>1</v>
      </c>
      <c r="L2219">
        <v>13</v>
      </c>
      <c r="M2219">
        <v>341.68</v>
      </c>
      <c r="N2219">
        <v>4441.84</v>
      </c>
      <c r="O2219">
        <v>0.11</v>
      </c>
      <c r="P2219">
        <v>488.6</v>
      </c>
      <c r="Q2219">
        <v>3953.24</v>
      </c>
      <c r="R2219">
        <v>3331.38</v>
      </c>
      <c r="S2219">
        <v>621.86</v>
      </c>
    </row>
    <row r="2220" spans="1:19" x14ac:dyDescent="0.35">
      <c r="A2220">
        <v>200958</v>
      </c>
      <c r="B2220">
        <v>1303</v>
      </c>
      <c r="C2220" t="s">
        <v>33</v>
      </c>
      <c r="D2220" t="s">
        <v>29</v>
      </c>
      <c r="E2220" t="s">
        <v>24</v>
      </c>
      <c r="F2220" t="s">
        <v>42</v>
      </c>
      <c r="G2220" s="1">
        <v>45360</v>
      </c>
      <c r="H2220" s="1">
        <v>45361</v>
      </c>
      <c r="I2220" s="1">
        <v>45365</v>
      </c>
      <c r="J2220">
        <v>5</v>
      </c>
      <c r="K2220">
        <v>1</v>
      </c>
      <c r="L2220">
        <v>10</v>
      </c>
      <c r="M2220">
        <v>411.02</v>
      </c>
      <c r="N2220">
        <v>4110.2</v>
      </c>
      <c r="O2220">
        <v>0.09</v>
      </c>
      <c r="P2220">
        <v>369.92</v>
      </c>
      <c r="Q2220">
        <v>3740.28</v>
      </c>
      <c r="R2220">
        <v>2630.53</v>
      </c>
      <c r="S2220">
        <v>1109.75</v>
      </c>
    </row>
    <row r="2221" spans="1:19" x14ac:dyDescent="0.35">
      <c r="A2221">
        <v>200959</v>
      </c>
      <c r="B2221">
        <v>3832</v>
      </c>
      <c r="C2221" t="s">
        <v>23</v>
      </c>
      <c r="D2221" t="s">
        <v>20</v>
      </c>
      <c r="E2221" t="s">
        <v>21</v>
      </c>
      <c r="F2221" t="s">
        <v>22</v>
      </c>
      <c r="G2221" s="1">
        <v>45597</v>
      </c>
      <c r="H2221" s="1">
        <v>45598</v>
      </c>
      <c r="I2221" s="1">
        <v>45619</v>
      </c>
      <c r="J2221">
        <v>22</v>
      </c>
      <c r="K2221">
        <v>1</v>
      </c>
      <c r="L2221">
        <v>7</v>
      </c>
      <c r="M2221">
        <v>246.79</v>
      </c>
      <c r="N2221">
        <v>1727.53</v>
      </c>
      <c r="O2221">
        <v>0.1</v>
      </c>
      <c r="P2221">
        <v>172.75</v>
      </c>
      <c r="Q2221">
        <v>1554.78</v>
      </c>
      <c r="R2221">
        <v>1105.6199999999999</v>
      </c>
      <c r="S2221">
        <v>449.16</v>
      </c>
    </row>
    <row r="2222" spans="1:19" x14ac:dyDescent="0.35">
      <c r="A2222">
        <v>200960</v>
      </c>
      <c r="B2222">
        <v>4109</v>
      </c>
      <c r="C2222" t="s">
        <v>28</v>
      </c>
      <c r="D2222" t="s">
        <v>29</v>
      </c>
      <c r="E2222" t="s">
        <v>34</v>
      </c>
      <c r="F2222" t="s">
        <v>35</v>
      </c>
      <c r="G2222" s="1">
        <v>45539</v>
      </c>
      <c r="H2222" s="1">
        <v>45544</v>
      </c>
      <c r="I2222" s="1">
        <v>45558</v>
      </c>
      <c r="J2222">
        <v>19</v>
      </c>
      <c r="K2222">
        <v>5</v>
      </c>
      <c r="L2222">
        <v>12</v>
      </c>
      <c r="M2222">
        <v>164.17</v>
      </c>
      <c r="N2222">
        <v>1970.04</v>
      </c>
      <c r="O2222">
        <v>0.03</v>
      </c>
      <c r="P2222">
        <v>59.1</v>
      </c>
      <c r="Q2222">
        <v>1910.94</v>
      </c>
      <c r="R2222">
        <v>1319.93</v>
      </c>
      <c r="S2222">
        <v>591.01</v>
      </c>
    </row>
    <row r="2223" spans="1:19" x14ac:dyDescent="0.35">
      <c r="A2223">
        <v>200961</v>
      </c>
      <c r="B2223">
        <v>2085</v>
      </c>
      <c r="C2223" t="s">
        <v>19</v>
      </c>
      <c r="D2223" t="s">
        <v>31</v>
      </c>
      <c r="E2223" t="s">
        <v>34</v>
      </c>
      <c r="F2223" t="s">
        <v>45</v>
      </c>
      <c r="G2223" s="1">
        <v>45383</v>
      </c>
      <c r="H2223" s="1">
        <v>45384</v>
      </c>
      <c r="I2223" s="1">
        <v>45390</v>
      </c>
      <c r="J2223">
        <v>7</v>
      </c>
      <c r="K2223">
        <v>1</v>
      </c>
      <c r="L2223">
        <v>1</v>
      </c>
      <c r="M2223">
        <v>430.95</v>
      </c>
      <c r="N2223">
        <v>430.95</v>
      </c>
      <c r="O2223">
        <v>0.1</v>
      </c>
      <c r="P2223">
        <v>43.1</v>
      </c>
      <c r="Q2223">
        <v>387.86</v>
      </c>
      <c r="R2223">
        <v>258.57</v>
      </c>
      <c r="S2223">
        <v>129.29</v>
      </c>
    </row>
    <row r="2224" spans="1:19" x14ac:dyDescent="0.35">
      <c r="A2224">
        <v>200962</v>
      </c>
      <c r="B2224">
        <v>4466</v>
      </c>
      <c r="C2224" t="s">
        <v>28</v>
      </c>
      <c r="D2224" t="s">
        <v>20</v>
      </c>
      <c r="E2224" t="s">
        <v>21</v>
      </c>
      <c r="F2224" t="s">
        <v>41</v>
      </c>
      <c r="G2224" s="1">
        <v>45361</v>
      </c>
      <c r="H2224" s="1">
        <v>45365</v>
      </c>
      <c r="I2224" s="1">
        <v>45368</v>
      </c>
      <c r="J2224">
        <v>7</v>
      </c>
      <c r="K2224">
        <v>4</v>
      </c>
      <c r="L2224">
        <v>10</v>
      </c>
      <c r="M2224">
        <v>209.2</v>
      </c>
      <c r="N2224">
        <v>2092</v>
      </c>
      <c r="O2224">
        <v>0.13</v>
      </c>
      <c r="P2224">
        <v>271.95999999999998</v>
      </c>
      <c r="Q2224">
        <v>1820.04</v>
      </c>
      <c r="R2224">
        <v>1234.28</v>
      </c>
      <c r="S2224">
        <v>585.76</v>
      </c>
    </row>
    <row r="2225" spans="1:19" x14ac:dyDescent="0.35">
      <c r="A2225">
        <v>200963</v>
      </c>
      <c r="B2225">
        <v>1664</v>
      </c>
      <c r="C2225" t="s">
        <v>19</v>
      </c>
      <c r="D2225" t="s">
        <v>31</v>
      </c>
      <c r="E2225" t="s">
        <v>26</v>
      </c>
      <c r="F2225" t="s">
        <v>36</v>
      </c>
      <c r="G2225" s="1">
        <v>45360</v>
      </c>
      <c r="H2225" s="1">
        <v>45364</v>
      </c>
      <c r="I2225" s="1">
        <v>45389</v>
      </c>
      <c r="J2225">
        <v>29</v>
      </c>
      <c r="K2225">
        <v>4</v>
      </c>
      <c r="L2225">
        <v>12</v>
      </c>
      <c r="M2225">
        <v>634.75</v>
      </c>
      <c r="N2225">
        <v>7617</v>
      </c>
      <c r="O2225">
        <v>0.06</v>
      </c>
      <c r="P2225">
        <v>457.02</v>
      </c>
      <c r="Q2225">
        <v>7159.98</v>
      </c>
      <c r="R2225">
        <v>4874.88</v>
      </c>
      <c r="S2225">
        <v>2285.1</v>
      </c>
    </row>
    <row r="2226" spans="1:19" x14ac:dyDescent="0.35">
      <c r="A2226">
        <v>200964</v>
      </c>
      <c r="B2226">
        <v>1297</v>
      </c>
      <c r="C2226" t="s">
        <v>28</v>
      </c>
      <c r="D2226" t="s">
        <v>20</v>
      </c>
      <c r="E2226" t="s">
        <v>24</v>
      </c>
      <c r="F2226" t="s">
        <v>32</v>
      </c>
      <c r="G2226" s="1">
        <v>45570</v>
      </c>
      <c r="H2226" s="1">
        <v>45573</v>
      </c>
      <c r="I2226" s="1">
        <v>45594</v>
      </c>
      <c r="J2226">
        <v>24</v>
      </c>
      <c r="K2226">
        <v>3</v>
      </c>
      <c r="L2226">
        <v>9</v>
      </c>
      <c r="M2226">
        <v>612.52</v>
      </c>
      <c r="N2226">
        <v>5512.68</v>
      </c>
      <c r="O2226">
        <v>0.04</v>
      </c>
      <c r="P2226">
        <v>220.51</v>
      </c>
      <c r="Q2226">
        <v>5292.17</v>
      </c>
      <c r="R2226">
        <v>3472.99</v>
      </c>
      <c r="S2226">
        <v>1819.18</v>
      </c>
    </row>
    <row r="2227" spans="1:19" x14ac:dyDescent="0.35">
      <c r="A2227">
        <v>200965</v>
      </c>
      <c r="B2227">
        <v>1131</v>
      </c>
      <c r="C2227" t="s">
        <v>23</v>
      </c>
      <c r="D2227" t="s">
        <v>20</v>
      </c>
      <c r="E2227" t="s">
        <v>21</v>
      </c>
      <c r="F2227" t="s">
        <v>38</v>
      </c>
      <c r="G2227" s="1">
        <v>45579</v>
      </c>
      <c r="H2227" s="1">
        <v>45584</v>
      </c>
      <c r="I2227" s="1">
        <v>45591</v>
      </c>
      <c r="J2227">
        <v>12</v>
      </c>
      <c r="K2227">
        <v>5</v>
      </c>
      <c r="L2227">
        <v>3</v>
      </c>
      <c r="M2227">
        <v>72.53</v>
      </c>
      <c r="N2227">
        <v>217.59</v>
      </c>
      <c r="O2227">
        <v>7.0000000000000007E-2</v>
      </c>
      <c r="P2227">
        <v>15.23</v>
      </c>
      <c r="Q2227">
        <v>202.36</v>
      </c>
      <c r="R2227">
        <v>154.49</v>
      </c>
      <c r="S2227">
        <v>47.87</v>
      </c>
    </row>
    <row r="2228" spans="1:19" x14ac:dyDescent="0.35">
      <c r="A2228">
        <v>200966</v>
      </c>
      <c r="B2228">
        <v>3453</v>
      </c>
      <c r="C2228" t="s">
        <v>33</v>
      </c>
      <c r="D2228" t="s">
        <v>29</v>
      </c>
      <c r="E2228" t="s">
        <v>24</v>
      </c>
      <c r="F2228" t="s">
        <v>42</v>
      </c>
      <c r="G2228" s="1">
        <v>45432</v>
      </c>
      <c r="H2228" s="1">
        <v>45435</v>
      </c>
      <c r="I2228" s="1">
        <v>45460</v>
      </c>
      <c r="J2228">
        <v>28</v>
      </c>
      <c r="K2228">
        <v>3</v>
      </c>
      <c r="L2228">
        <v>8</v>
      </c>
      <c r="M2228">
        <v>268.62</v>
      </c>
      <c r="N2228">
        <v>2148.96</v>
      </c>
      <c r="O2228">
        <v>0.11</v>
      </c>
      <c r="P2228">
        <v>236.39</v>
      </c>
      <c r="Q2228">
        <v>1912.57</v>
      </c>
      <c r="R2228">
        <v>1310.87</v>
      </c>
      <c r="S2228">
        <v>601.70000000000005</v>
      </c>
    </row>
    <row r="2229" spans="1:19" x14ac:dyDescent="0.35">
      <c r="A2229">
        <v>200967</v>
      </c>
      <c r="B2229">
        <v>2243</v>
      </c>
      <c r="C2229" t="s">
        <v>33</v>
      </c>
      <c r="D2229" t="s">
        <v>31</v>
      </c>
      <c r="E2229" t="s">
        <v>26</v>
      </c>
      <c r="F2229" t="s">
        <v>44</v>
      </c>
      <c r="G2229" s="1">
        <v>45524</v>
      </c>
      <c r="H2229" s="1">
        <v>45525</v>
      </c>
      <c r="I2229" s="1">
        <v>45534</v>
      </c>
      <c r="J2229">
        <v>10</v>
      </c>
      <c r="K2229">
        <v>1</v>
      </c>
      <c r="L2229">
        <v>9</v>
      </c>
      <c r="M2229">
        <v>729.15</v>
      </c>
      <c r="N2229">
        <v>6562.35</v>
      </c>
      <c r="O2229">
        <v>0.12</v>
      </c>
      <c r="P2229">
        <v>787.48</v>
      </c>
      <c r="Q2229">
        <v>5774.87</v>
      </c>
      <c r="R2229">
        <v>3806.16</v>
      </c>
      <c r="S2229">
        <v>1968.71</v>
      </c>
    </row>
    <row r="2230" spans="1:19" x14ac:dyDescent="0.35">
      <c r="A2230">
        <v>200968</v>
      </c>
      <c r="B2230">
        <v>4255</v>
      </c>
      <c r="C2230" t="s">
        <v>33</v>
      </c>
      <c r="D2230" t="s">
        <v>20</v>
      </c>
      <c r="E2230" t="s">
        <v>24</v>
      </c>
      <c r="F2230" t="s">
        <v>42</v>
      </c>
      <c r="G2230" s="1">
        <v>45363</v>
      </c>
      <c r="H2230" s="1">
        <v>45366</v>
      </c>
      <c r="I2230" s="1">
        <v>45378</v>
      </c>
      <c r="J2230">
        <v>15</v>
      </c>
      <c r="K2230">
        <v>3</v>
      </c>
      <c r="L2230">
        <v>1</v>
      </c>
      <c r="M2230">
        <v>789.82</v>
      </c>
      <c r="N2230">
        <v>789.82</v>
      </c>
      <c r="O2230">
        <v>0.17</v>
      </c>
      <c r="P2230">
        <v>134.27000000000001</v>
      </c>
      <c r="Q2230">
        <v>655.55</v>
      </c>
      <c r="R2230">
        <v>529.17999999999995</v>
      </c>
      <c r="S2230">
        <v>126.37</v>
      </c>
    </row>
    <row r="2231" spans="1:19" x14ac:dyDescent="0.35">
      <c r="A2231">
        <v>200969</v>
      </c>
      <c r="B2231">
        <v>3311</v>
      </c>
      <c r="C2231" t="s">
        <v>23</v>
      </c>
      <c r="D2231" t="s">
        <v>29</v>
      </c>
      <c r="E2231" t="s">
        <v>24</v>
      </c>
      <c r="F2231" t="s">
        <v>30</v>
      </c>
      <c r="G2231" s="1">
        <v>45494</v>
      </c>
      <c r="H2231" s="1">
        <v>45499</v>
      </c>
      <c r="I2231" s="1">
        <v>45519</v>
      </c>
      <c r="J2231">
        <v>25</v>
      </c>
      <c r="K2231">
        <v>5</v>
      </c>
      <c r="L2231">
        <v>4</v>
      </c>
      <c r="M2231">
        <v>273.73</v>
      </c>
      <c r="N2231">
        <v>1094.92</v>
      </c>
      <c r="O2231">
        <v>0.18</v>
      </c>
      <c r="P2231">
        <v>197.09</v>
      </c>
      <c r="Q2231">
        <v>897.83</v>
      </c>
      <c r="R2231">
        <v>689.8</v>
      </c>
      <c r="S2231">
        <v>208.03</v>
      </c>
    </row>
    <row r="2232" spans="1:19" x14ac:dyDescent="0.35">
      <c r="A2232">
        <v>200970</v>
      </c>
      <c r="B2232">
        <v>3700</v>
      </c>
      <c r="C2232" t="s">
        <v>19</v>
      </c>
      <c r="D2232" t="s">
        <v>31</v>
      </c>
      <c r="E2232" t="s">
        <v>21</v>
      </c>
      <c r="F2232" t="s">
        <v>22</v>
      </c>
      <c r="G2232" s="1">
        <v>45372</v>
      </c>
      <c r="H2232" s="1">
        <v>45374</v>
      </c>
      <c r="I2232" s="1">
        <v>45384</v>
      </c>
      <c r="J2232">
        <v>12</v>
      </c>
      <c r="K2232">
        <v>2</v>
      </c>
      <c r="L2232">
        <v>3</v>
      </c>
      <c r="M2232">
        <v>621.08000000000004</v>
      </c>
      <c r="N2232">
        <v>1863.24</v>
      </c>
      <c r="O2232">
        <v>0.12</v>
      </c>
      <c r="P2232">
        <v>223.59</v>
      </c>
      <c r="Q2232">
        <v>1639.65</v>
      </c>
      <c r="R2232">
        <v>1211.1099999999999</v>
      </c>
      <c r="S2232">
        <v>428.54</v>
      </c>
    </row>
    <row r="2233" spans="1:19" x14ac:dyDescent="0.35">
      <c r="A2233">
        <v>200971</v>
      </c>
      <c r="B2233">
        <v>1979</v>
      </c>
      <c r="C2233" t="s">
        <v>19</v>
      </c>
      <c r="D2233" t="s">
        <v>29</v>
      </c>
      <c r="E2233" t="s">
        <v>21</v>
      </c>
      <c r="F2233" t="s">
        <v>39</v>
      </c>
      <c r="G2233" s="1">
        <v>45446</v>
      </c>
      <c r="H2233" s="1">
        <v>45451</v>
      </c>
      <c r="I2233" s="1">
        <v>45476</v>
      </c>
      <c r="J2233">
        <v>30</v>
      </c>
      <c r="K2233">
        <v>5</v>
      </c>
      <c r="L2233">
        <v>9</v>
      </c>
      <c r="M2233">
        <v>474.97</v>
      </c>
      <c r="N2233">
        <v>4274.7299999999996</v>
      </c>
      <c r="O2233">
        <v>0.11</v>
      </c>
      <c r="P2233">
        <v>470.22</v>
      </c>
      <c r="Q2233">
        <v>3804.51</v>
      </c>
      <c r="R2233">
        <v>2821.32</v>
      </c>
      <c r="S2233">
        <v>983.19</v>
      </c>
    </row>
    <row r="2234" spans="1:19" x14ac:dyDescent="0.35">
      <c r="A2234">
        <v>200972</v>
      </c>
      <c r="B2234">
        <v>2952</v>
      </c>
      <c r="C2234" t="s">
        <v>19</v>
      </c>
      <c r="D2234" t="s">
        <v>31</v>
      </c>
      <c r="E2234" t="s">
        <v>24</v>
      </c>
      <c r="F2234" t="s">
        <v>25</v>
      </c>
      <c r="G2234" s="1">
        <v>45354</v>
      </c>
      <c r="H2234" s="1">
        <v>45359</v>
      </c>
      <c r="I2234" s="1">
        <v>45382</v>
      </c>
      <c r="J2234">
        <v>28</v>
      </c>
      <c r="K2234">
        <v>5</v>
      </c>
      <c r="L2234">
        <v>13</v>
      </c>
      <c r="M2234">
        <v>555.89</v>
      </c>
      <c r="N2234">
        <v>7226.57</v>
      </c>
      <c r="O2234">
        <v>7.0000000000000007E-2</v>
      </c>
      <c r="P2234">
        <v>505.86</v>
      </c>
      <c r="Q2234">
        <v>6720.71</v>
      </c>
      <c r="R2234">
        <v>4841.8</v>
      </c>
      <c r="S2234">
        <v>1878.91</v>
      </c>
    </row>
    <row r="2235" spans="1:19" x14ac:dyDescent="0.35">
      <c r="A2235">
        <v>200973</v>
      </c>
      <c r="B2235">
        <v>1334</v>
      </c>
      <c r="C2235" t="s">
        <v>19</v>
      </c>
      <c r="D2235" t="s">
        <v>31</v>
      </c>
      <c r="E2235" t="s">
        <v>24</v>
      </c>
      <c r="F2235" t="s">
        <v>42</v>
      </c>
      <c r="G2235" s="1">
        <v>45549</v>
      </c>
      <c r="H2235" s="1">
        <v>45551</v>
      </c>
      <c r="I2235" s="1">
        <v>45553</v>
      </c>
      <c r="J2235">
        <v>4</v>
      </c>
      <c r="K2235">
        <v>2</v>
      </c>
      <c r="L2235">
        <v>2</v>
      </c>
      <c r="M2235">
        <v>626.16999999999996</v>
      </c>
      <c r="N2235">
        <v>1252.3399999999999</v>
      </c>
      <c r="O2235">
        <v>0.12</v>
      </c>
      <c r="P2235">
        <v>150.28</v>
      </c>
      <c r="Q2235">
        <v>1102.06</v>
      </c>
      <c r="R2235">
        <v>788.97</v>
      </c>
      <c r="S2235">
        <v>313.08999999999997</v>
      </c>
    </row>
    <row r="2236" spans="1:19" x14ac:dyDescent="0.35">
      <c r="A2236">
        <v>200974</v>
      </c>
      <c r="B2236">
        <v>1243</v>
      </c>
      <c r="C2236" t="s">
        <v>33</v>
      </c>
      <c r="D2236" t="s">
        <v>31</v>
      </c>
      <c r="E2236" t="s">
        <v>24</v>
      </c>
      <c r="F2236" t="s">
        <v>30</v>
      </c>
      <c r="G2236" s="1">
        <v>45468</v>
      </c>
      <c r="H2236" s="1">
        <v>45469</v>
      </c>
      <c r="I2236" s="1">
        <v>45478</v>
      </c>
      <c r="J2236">
        <v>10</v>
      </c>
      <c r="K2236">
        <v>1</v>
      </c>
      <c r="L2236">
        <v>8</v>
      </c>
      <c r="M2236">
        <v>342.85</v>
      </c>
      <c r="N2236">
        <v>2742.8</v>
      </c>
      <c r="O2236">
        <v>0.1</v>
      </c>
      <c r="P2236">
        <v>274.27999999999997</v>
      </c>
      <c r="Q2236">
        <v>2468.52</v>
      </c>
      <c r="R2236">
        <v>1755.39</v>
      </c>
      <c r="S2236">
        <v>713.13</v>
      </c>
    </row>
    <row r="2237" spans="1:19" x14ac:dyDescent="0.35">
      <c r="A2237">
        <v>200975</v>
      </c>
      <c r="B2237">
        <v>4414</v>
      </c>
      <c r="C2237" t="s">
        <v>23</v>
      </c>
      <c r="D2237" t="s">
        <v>20</v>
      </c>
      <c r="E2237" t="s">
        <v>34</v>
      </c>
      <c r="F2237" t="s">
        <v>40</v>
      </c>
      <c r="G2237" s="1">
        <v>45502</v>
      </c>
      <c r="H2237" s="1">
        <v>45505</v>
      </c>
      <c r="I2237" s="1">
        <v>45526</v>
      </c>
      <c r="J2237">
        <v>24</v>
      </c>
      <c r="K2237">
        <v>3</v>
      </c>
      <c r="L2237">
        <v>5</v>
      </c>
      <c r="M2237">
        <v>312.79000000000002</v>
      </c>
      <c r="N2237">
        <v>1563.95</v>
      </c>
      <c r="O2237">
        <v>0.1</v>
      </c>
      <c r="P2237">
        <v>156.4</v>
      </c>
      <c r="Q2237">
        <v>1407.56</v>
      </c>
      <c r="R2237">
        <v>969.65</v>
      </c>
      <c r="S2237">
        <v>437.91</v>
      </c>
    </row>
    <row r="2238" spans="1:19" x14ac:dyDescent="0.35">
      <c r="A2238">
        <v>200976</v>
      </c>
      <c r="B2238">
        <v>2119</v>
      </c>
      <c r="C2238" t="s">
        <v>33</v>
      </c>
      <c r="D2238" t="s">
        <v>20</v>
      </c>
      <c r="E2238" t="s">
        <v>24</v>
      </c>
      <c r="F2238" t="s">
        <v>25</v>
      </c>
      <c r="G2238" s="1">
        <v>45579</v>
      </c>
      <c r="H2238" s="1">
        <v>45584</v>
      </c>
      <c r="I2238" s="1">
        <v>45609</v>
      </c>
      <c r="J2238">
        <v>30</v>
      </c>
      <c r="K2238">
        <v>5</v>
      </c>
      <c r="L2238">
        <v>11</v>
      </c>
      <c r="M2238">
        <v>460.82</v>
      </c>
      <c r="N2238">
        <v>5069.0200000000004</v>
      </c>
      <c r="O2238">
        <v>0.06</v>
      </c>
      <c r="P2238">
        <v>304.14</v>
      </c>
      <c r="Q2238">
        <v>4764.88</v>
      </c>
      <c r="R2238">
        <v>3142.79</v>
      </c>
      <c r="S2238">
        <v>1622.09</v>
      </c>
    </row>
    <row r="2239" spans="1:19" x14ac:dyDescent="0.35">
      <c r="A2239">
        <v>200977</v>
      </c>
      <c r="B2239">
        <v>3176</v>
      </c>
      <c r="C2239" t="s">
        <v>23</v>
      </c>
      <c r="D2239" t="s">
        <v>31</v>
      </c>
      <c r="E2239" t="s">
        <v>21</v>
      </c>
      <c r="F2239" t="s">
        <v>22</v>
      </c>
      <c r="G2239" s="1">
        <v>45508</v>
      </c>
      <c r="H2239" s="1">
        <v>45509</v>
      </c>
      <c r="I2239" s="1">
        <v>45520</v>
      </c>
      <c r="J2239">
        <v>12</v>
      </c>
      <c r="K2239">
        <v>1</v>
      </c>
      <c r="L2239">
        <v>14</v>
      </c>
      <c r="M2239">
        <v>43.84</v>
      </c>
      <c r="N2239">
        <v>613.76</v>
      </c>
      <c r="O2239">
        <v>0.22</v>
      </c>
      <c r="P2239">
        <v>135.03</v>
      </c>
      <c r="Q2239">
        <v>478.73</v>
      </c>
      <c r="R2239">
        <v>417.36</v>
      </c>
      <c r="S2239">
        <v>61.37</v>
      </c>
    </row>
    <row r="2240" spans="1:19" x14ac:dyDescent="0.35">
      <c r="A2240">
        <v>200978</v>
      </c>
      <c r="B2240">
        <v>3204</v>
      </c>
      <c r="C2240" t="s">
        <v>23</v>
      </c>
      <c r="D2240" t="s">
        <v>20</v>
      </c>
      <c r="E2240" t="s">
        <v>34</v>
      </c>
      <c r="F2240" t="s">
        <v>45</v>
      </c>
      <c r="G2240" s="1">
        <v>45536</v>
      </c>
      <c r="H2240" s="1">
        <v>45538</v>
      </c>
      <c r="I2240" s="1">
        <v>45539</v>
      </c>
      <c r="J2240">
        <v>3</v>
      </c>
      <c r="K2240">
        <v>2</v>
      </c>
      <c r="L2240">
        <v>8</v>
      </c>
      <c r="M2240">
        <v>550.99</v>
      </c>
      <c r="N2240">
        <v>4407.92</v>
      </c>
      <c r="O2240">
        <v>0.13</v>
      </c>
      <c r="P2240">
        <v>573.03</v>
      </c>
      <c r="Q2240">
        <v>3834.89</v>
      </c>
      <c r="R2240">
        <v>2909.23</v>
      </c>
      <c r="S2240">
        <v>925.66</v>
      </c>
    </row>
    <row r="2241" spans="1:19" x14ac:dyDescent="0.35">
      <c r="A2241">
        <v>200979</v>
      </c>
      <c r="B2241">
        <v>4296</v>
      </c>
      <c r="C2241" t="s">
        <v>23</v>
      </c>
      <c r="D2241" t="s">
        <v>29</v>
      </c>
      <c r="E2241" t="s">
        <v>21</v>
      </c>
      <c r="F2241" t="s">
        <v>41</v>
      </c>
      <c r="G2241" s="1">
        <v>45625</v>
      </c>
      <c r="H2241" s="1">
        <v>45630</v>
      </c>
      <c r="I2241" s="1">
        <v>45638</v>
      </c>
      <c r="J2241">
        <v>13</v>
      </c>
      <c r="K2241">
        <v>5</v>
      </c>
      <c r="L2241">
        <v>5</v>
      </c>
      <c r="M2241">
        <v>573.4</v>
      </c>
      <c r="N2241">
        <v>2867</v>
      </c>
      <c r="O2241">
        <v>7.0000000000000007E-2</v>
      </c>
      <c r="P2241">
        <v>200.69</v>
      </c>
      <c r="Q2241">
        <v>2666.31</v>
      </c>
      <c r="R2241">
        <v>1634.19</v>
      </c>
      <c r="S2241">
        <v>1032.1199999999999</v>
      </c>
    </row>
    <row r="2242" spans="1:19" x14ac:dyDescent="0.35">
      <c r="A2242">
        <v>200980</v>
      </c>
      <c r="B2242">
        <v>2613</v>
      </c>
      <c r="C2242" t="s">
        <v>33</v>
      </c>
      <c r="D2242" t="s">
        <v>29</v>
      </c>
      <c r="E2242" t="s">
        <v>34</v>
      </c>
      <c r="F2242" t="s">
        <v>35</v>
      </c>
      <c r="G2242" s="1">
        <v>45518</v>
      </c>
      <c r="H2242" s="1">
        <v>45521</v>
      </c>
      <c r="I2242" s="1">
        <v>45535</v>
      </c>
      <c r="J2242">
        <v>17</v>
      </c>
      <c r="K2242">
        <v>3</v>
      </c>
      <c r="L2242">
        <v>8</v>
      </c>
      <c r="M2242">
        <v>384.46</v>
      </c>
      <c r="N2242">
        <v>3075.68</v>
      </c>
      <c r="O2242">
        <v>0.08</v>
      </c>
      <c r="P2242">
        <v>246.05</v>
      </c>
      <c r="Q2242">
        <v>2829.63</v>
      </c>
      <c r="R2242">
        <v>1845.41</v>
      </c>
      <c r="S2242">
        <v>984.22</v>
      </c>
    </row>
    <row r="2243" spans="1:19" x14ac:dyDescent="0.35">
      <c r="A2243">
        <v>200981</v>
      </c>
      <c r="B2243">
        <v>4760</v>
      </c>
      <c r="C2243" t="s">
        <v>28</v>
      </c>
      <c r="D2243" t="s">
        <v>31</v>
      </c>
      <c r="E2243" t="s">
        <v>21</v>
      </c>
      <c r="F2243" t="s">
        <v>22</v>
      </c>
      <c r="G2243" s="1">
        <v>45569</v>
      </c>
      <c r="H2243" s="1">
        <v>45572</v>
      </c>
      <c r="I2243" s="1">
        <v>45593</v>
      </c>
      <c r="J2243">
        <v>24</v>
      </c>
      <c r="K2243">
        <v>3</v>
      </c>
      <c r="L2243">
        <v>9</v>
      </c>
      <c r="M2243">
        <v>465.55</v>
      </c>
      <c r="N2243">
        <v>4189.95</v>
      </c>
      <c r="O2243">
        <v>7.0000000000000007E-2</v>
      </c>
      <c r="P2243">
        <v>293.3</v>
      </c>
      <c r="Q2243">
        <v>3896.65</v>
      </c>
      <c r="R2243">
        <v>2513.9699999999998</v>
      </c>
      <c r="S2243">
        <v>1382.68</v>
      </c>
    </row>
    <row r="2244" spans="1:19" x14ac:dyDescent="0.35">
      <c r="A2244">
        <v>200982</v>
      </c>
      <c r="B2244">
        <v>4544</v>
      </c>
      <c r="C2244" t="s">
        <v>28</v>
      </c>
      <c r="D2244" t="s">
        <v>20</v>
      </c>
      <c r="E2244" t="s">
        <v>24</v>
      </c>
      <c r="F2244" t="s">
        <v>32</v>
      </c>
      <c r="G2244" s="1">
        <v>45574</v>
      </c>
      <c r="H2244" s="1">
        <v>45576</v>
      </c>
      <c r="I2244" s="1">
        <v>45588</v>
      </c>
      <c r="J2244">
        <v>14</v>
      </c>
      <c r="K2244">
        <v>2</v>
      </c>
      <c r="L2244">
        <v>13</v>
      </c>
      <c r="M2244">
        <v>438.45</v>
      </c>
      <c r="N2244">
        <v>5699.85</v>
      </c>
      <c r="O2244">
        <v>0.14000000000000001</v>
      </c>
      <c r="P2244">
        <v>797.98</v>
      </c>
      <c r="Q2244">
        <v>4901.87</v>
      </c>
      <c r="R2244">
        <v>3476.91</v>
      </c>
      <c r="S2244">
        <v>1424.96</v>
      </c>
    </row>
    <row r="2245" spans="1:19" x14ac:dyDescent="0.35">
      <c r="A2245">
        <v>200983</v>
      </c>
      <c r="B2245">
        <v>4742</v>
      </c>
      <c r="C2245" t="s">
        <v>23</v>
      </c>
      <c r="D2245" t="s">
        <v>20</v>
      </c>
      <c r="E2245" t="s">
        <v>24</v>
      </c>
      <c r="F2245" t="s">
        <v>30</v>
      </c>
      <c r="G2245" s="1">
        <v>45344</v>
      </c>
      <c r="H2245" s="1">
        <v>45348</v>
      </c>
      <c r="I2245" s="1">
        <v>45358</v>
      </c>
      <c r="J2245">
        <v>14</v>
      </c>
      <c r="K2245">
        <v>4</v>
      </c>
      <c r="L2245">
        <v>11</v>
      </c>
      <c r="M2245">
        <v>74.680000000000007</v>
      </c>
      <c r="N2245">
        <v>821.48</v>
      </c>
      <c r="O2245">
        <v>0.1</v>
      </c>
      <c r="P2245">
        <v>82.15</v>
      </c>
      <c r="Q2245">
        <v>739.33</v>
      </c>
      <c r="R2245">
        <v>550.39</v>
      </c>
      <c r="S2245">
        <v>188.94</v>
      </c>
    </row>
    <row r="2246" spans="1:19" x14ac:dyDescent="0.35">
      <c r="A2246">
        <v>200984</v>
      </c>
      <c r="B2246">
        <v>3597</v>
      </c>
      <c r="C2246" t="s">
        <v>23</v>
      </c>
      <c r="D2246" t="s">
        <v>29</v>
      </c>
      <c r="E2246" t="s">
        <v>24</v>
      </c>
      <c r="F2246" t="s">
        <v>25</v>
      </c>
      <c r="G2246" s="1">
        <v>45376</v>
      </c>
      <c r="H2246" s="1">
        <v>45378</v>
      </c>
      <c r="I2246" s="1">
        <v>45390</v>
      </c>
      <c r="J2246">
        <v>14</v>
      </c>
      <c r="K2246">
        <v>2</v>
      </c>
      <c r="L2246">
        <v>7</v>
      </c>
      <c r="M2246">
        <v>97.48</v>
      </c>
      <c r="N2246">
        <v>682.36</v>
      </c>
      <c r="O2246">
        <v>0.14000000000000001</v>
      </c>
      <c r="P2246">
        <v>95.53</v>
      </c>
      <c r="Q2246">
        <v>586.83000000000004</v>
      </c>
      <c r="R2246">
        <v>443.53</v>
      </c>
      <c r="S2246">
        <v>143.30000000000001</v>
      </c>
    </row>
    <row r="2247" spans="1:19" x14ac:dyDescent="0.35">
      <c r="A2247">
        <v>200985</v>
      </c>
      <c r="B2247">
        <v>3040</v>
      </c>
      <c r="C2247" t="s">
        <v>23</v>
      </c>
      <c r="D2247" t="s">
        <v>20</v>
      </c>
      <c r="E2247" t="s">
        <v>24</v>
      </c>
      <c r="F2247" t="s">
        <v>42</v>
      </c>
      <c r="G2247" s="1">
        <v>45453</v>
      </c>
      <c r="H2247" s="1">
        <v>45457</v>
      </c>
      <c r="I2247" s="1">
        <v>45456</v>
      </c>
      <c r="J2247">
        <v>3</v>
      </c>
      <c r="K2247">
        <v>4</v>
      </c>
      <c r="L2247">
        <v>3</v>
      </c>
      <c r="M2247">
        <v>417.77</v>
      </c>
      <c r="N2247">
        <v>1253.31</v>
      </c>
      <c r="O2247">
        <v>0.19</v>
      </c>
      <c r="P2247">
        <v>238.13</v>
      </c>
      <c r="Q2247">
        <v>1015.18</v>
      </c>
      <c r="R2247">
        <v>751.99</v>
      </c>
      <c r="S2247">
        <v>263.19</v>
      </c>
    </row>
    <row r="2248" spans="1:19" x14ac:dyDescent="0.35">
      <c r="A2248">
        <v>200986</v>
      </c>
      <c r="B2248">
        <v>2300</v>
      </c>
      <c r="C2248" t="s">
        <v>33</v>
      </c>
      <c r="D2248" t="s">
        <v>29</v>
      </c>
      <c r="E2248" t="s">
        <v>34</v>
      </c>
      <c r="F2248" t="s">
        <v>40</v>
      </c>
      <c r="G2248" s="1">
        <v>45352</v>
      </c>
      <c r="H2248" s="1">
        <v>45355</v>
      </c>
      <c r="I2248" s="1">
        <v>45361</v>
      </c>
      <c r="J2248">
        <v>9</v>
      </c>
      <c r="K2248">
        <v>3</v>
      </c>
      <c r="L2248">
        <v>11</v>
      </c>
      <c r="M2248">
        <v>699.07</v>
      </c>
      <c r="N2248">
        <v>7689.77</v>
      </c>
      <c r="O2248">
        <v>0</v>
      </c>
      <c r="P2248">
        <v>0</v>
      </c>
      <c r="Q2248">
        <v>7689.77</v>
      </c>
      <c r="R2248">
        <v>4767.66</v>
      </c>
      <c r="S2248">
        <v>2922.11</v>
      </c>
    </row>
    <row r="2249" spans="1:19" x14ac:dyDescent="0.35">
      <c r="A2249">
        <v>200987</v>
      </c>
      <c r="B2249">
        <v>4161</v>
      </c>
      <c r="C2249" t="s">
        <v>23</v>
      </c>
      <c r="D2249" t="s">
        <v>20</v>
      </c>
      <c r="E2249" t="s">
        <v>26</v>
      </c>
      <c r="F2249" t="s">
        <v>37</v>
      </c>
      <c r="G2249" s="1">
        <v>45476</v>
      </c>
      <c r="H2249" s="1">
        <v>45478</v>
      </c>
      <c r="I2249" s="1">
        <v>45506</v>
      </c>
      <c r="J2249">
        <v>30</v>
      </c>
      <c r="K2249">
        <v>2</v>
      </c>
      <c r="L2249">
        <v>4</v>
      </c>
      <c r="M2249">
        <v>608.25</v>
      </c>
      <c r="N2249">
        <v>2433</v>
      </c>
      <c r="O2249">
        <v>0.18</v>
      </c>
      <c r="P2249">
        <v>437.94</v>
      </c>
      <c r="Q2249">
        <v>1995.06</v>
      </c>
      <c r="R2249">
        <v>1459.8</v>
      </c>
      <c r="S2249">
        <v>535.26</v>
      </c>
    </row>
    <row r="2250" spans="1:19" x14ac:dyDescent="0.35">
      <c r="A2250">
        <v>200988</v>
      </c>
      <c r="B2250">
        <v>1714</v>
      </c>
      <c r="C2250" t="s">
        <v>28</v>
      </c>
      <c r="D2250" t="s">
        <v>29</v>
      </c>
      <c r="E2250" t="s">
        <v>24</v>
      </c>
      <c r="F2250" t="s">
        <v>42</v>
      </c>
      <c r="G2250" s="1">
        <v>45303</v>
      </c>
      <c r="H2250" s="1">
        <v>45308</v>
      </c>
      <c r="I2250" s="1">
        <v>45318</v>
      </c>
      <c r="J2250">
        <v>15</v>
      </c>
      <c r="K2250">
        <v>5</v>
      </c>
      <c r="L2250">
        <v>8</v>
      </c>
      <c r="M2250">
        <v>154.52000000000001</v>
      </c>
      <c r="N2250">
        <v>1236.1600000000001</v>
      </c>
      <c r="O2250">
        <v>0.09</v>
      </c>
      <c r="P2250">
        <v>111.25</v>
      </c>
      <c r="Q2250">
        <v>1124.9100000000001</v>
      </c>
      <c r="R2250">
        <v>741.7</v>
      </c>
      <c r="S2250">
        <v>383.21</v>
      </c>
    </row>
    <row r="2251" spans="1:19" x14ac:dyDescent="0.35">
      <c r="A2251">
        <v>200989</v>
      </c>
      <c r="B2251">
        <v>3317</v>
      </c>
      <c r="C2251" t="s">
        <v>19</v>
      </c>
      <c r="D2251" t="s">
        <v>29</v>
      </c>
      <c r="E2251" t="s">
        <v>21</v>
      </c>
      <c r="F2251" t="s">
        <v>39</v>
      </c>
      <c r="G2251" s="1">
        <v>45609</v>
      </c>
      <c r="H2251" s="1">
        <v>45614</v>
      </c>
      <c r="I2251" s="1">
        <v>45616</v>
      </c>
      <c r="J2251">
        <v>7</v>
      </c>
      <c r="K2251">
        <v>5</v>
      </c>
      <c r="L2251">
        <v>2</v>
      </c>
      <c r="M2251">
        <v>348.46</v>
      </c>
      <c r="N2251">
        <v>696.92</v>
      </c>
      <c r="O2251">
        <v>0.08</v>
      </c>
      <c r="P2251">
        <v>55.75</v>
      </c>
      <c r="Q2251">
        <v>641.16999999999996</v>
      </c>
      <c r="R2251">
        <v>411.18</v>
      </c>
      <c r="S2251">
        <v>229.99</v>
      </c>
    </row>
    <row r="2252" spans="1:19" x14ac:dyDescent="0.35">
      <c r="A2252">
        <v>200990</v>
      </c>
      <c r="B2252">
        <v>1069</v>
      </c>
      <c r="C2252" t="s">
        <v>23</v>
      </c>
      <c r="D2252" t="s">
        <v>20</v>
      </c>
      <c r="E2252" t="s">
        <v>26</v>
      </c>
      <c r="F2252" t="s">
        <v>36</v>
      </c>
      <c r="G2252" s="1">
        <v>45420</v>
      </c>
      <c r="H2252" s="1">
        <v>45423</v>
      </c>
      <c r="I2252" s="1">
        <v>45443</v>
      </c>
      <c r="J2252">
        <v>23</v>
      </c>
      <c r="K2252">
        <v>3</v>
      </c>
      <c r="L2252">
        <v>6</v>
      </c>
      <c r="M2252">
        <v>743.09</v>
      </c>
      <c r="N2252">
        <v>4458.54</v>
      </c>
      <c r="O2252">
        <v>0.12</v>
      </c>
      <c r="P2252">
        <v>535.02</v>
      </c>
      <c r="Q2252">
        <v>3923.52</v>
      </c>
      <c r="R2252">
        <v>2942.64</v>
      </c>
      <c r="S2252">
        <v>980.88</v>
      </c>
    </row>
    <row r="2253" spans="1:19" x14ac:dyDescent="0.35">
      <c r="A2253">
        <v>200991</v>
      </c>
      <c r="B2253">
        <v>4904</v>
      </c>
      <c r="C2253" t="s">
        <v>19</v>
      </c>
      <c r="D2253" t="s">
        <v>31</v>
      </c>
      <c r="E2253" t="s">
        <v>24</v>
      </c>
      <c r="F2253" t="s">
        <v>30</v>
      </c>
      <c r="G2253" s="1">
        <v>45561</v>
      </c>
      <c r="H2253" s="1">
        <v>45564</v>
      </c>
      <c r="I2253" s="1">
        <v>45578</v>
      </c>
      <c r="J2253">
        <v>17</v>
      </c>
      <c r="K2253">
        <v>3</v>
      </c>
      <c r="L2253">
        <v>8</v>
      </c>
      <c r="M2253">
        <v>696.17</v>
      </c>
      <c r="N2253">
        <v>5569.36</v>
      </c>
      <c r="O2253">
        <v>0.2</v>
      </c>
      <c r="P2253">
        <v>1113.8699999999999</v>
      </c>
      <c r="Q2253">
        <v>4455.49</v>
      </c>
      <c r="R2253">
        <v>3675.78</v>
      </c>
      <c r="S2253">
        <v>779.71</v>
      </c>
    </row>
    <row r="2254" spans="1:19" x14ac:dyDescent="0.35">
      <c r="A2254">
        <v>200992</v>
      </c>
      <c r="B2254">
        <v>3280</v>
      </c>
      <c r="C2254" t="s">
        <v>33</v>
      </c>
      <c r="D2254" t="s">
        <v>31</v>
      </c>
      <c r="E2254" t="s">
        <v>21</v>
      </c>
      <c r="F2254" t="s">
        <v>39</v>
      </c>
      <c r="G2254" s="1">
        <v>45338</v>
      </c>
      <c r="H2254" s="1">
        <v>45343</v>
      </c>
      <c r="I2254" s="1">
        <v>45348</v>
      </c>
      <c r="J2254">
        <v>10</v>
      </c>
      <c r="K2254">
        <v>5</v>
      </c>
      <c r="L2254">
        <v>8</v>
      </c>
      <c r="M2254">
        <v>282.95999999999998</v>
      </c>
      <c r="N2254">
        <v>2263.6799999999998</v>
      </c>
      <c r="O2254">
        <v>0.09</v>
      </c>
      <c r="P2254">
        <v>203.73</v>
      </c>
      <c r="Q2254">
        <v>2059.9499999999998</v>
      </c>
      <c r="R2254">
        <v>1403.48</v>
      </c>
      <c r="S2254">
        <v>656.47</v>
      </c>
    </row>
    <row r="2255" spans="1:19" x14ac:dyDescent="0.35">
      <c r="A2255">
        <v>200993</v>
      </c>
      <c r="B2255">
        <v>4582</v>
      </c>
      <c r="C2255" t="s">
        <v>33</v>
      </c>
      <c r="D2255" t="s">
        <v>20</v>
      </c>
      <c r="E2255" t="s">
        <v>26</v>
      </c>
      <c r="F2255" t="s">
        <v>36</v>
      </c>
      <c r="G2255" s="1">
        <v>45636</v>
      </c>
      <c r="H2255" s="1">
        <v>45638</v>
      </c>
      <c r="I2255" s="1">
        <v>45641</v>
      </c>
      <c r="J2255">
        <v>5</v>
      </c>
      <c r="K2255">
        <v>2</v>
      </c>
      <c r="L2255">
        <v>8</v>
      </c>
      <c r="M2255">
        <v>539.70000000000005</v>
      </c>
      <c r="N2255">
        <v>4317.6000000000004</v>
      </c>
      <c r="O2255">
        <v>0.17</v>
      </c>
      <c r="P2255">
        <v>733.99</v>
      </c>
      <c r="Q2255">
        <v>3583.61</v>
      </c>
      <c r="R2255">
        <v>2806.44</v>
      </c>
      <c r="S2255">
        <v>777.17</v>
      </c>
    </row>
    <row r="2256" spans="1:19" x14ac:dyDescent="0.35">
      <c r="A2256">
        <v>200994</v>
      </c>
      <c r="B2256">
        <v>4496</v>
      </c>
      <c r="C2256" t="s">
        <v>19</v>
      </c>
      <c r="D2256" t="s">
        <v>29</v>
      </c>
      <c r="E2256" t="s">
        <v>24</v>
      </c>
      <c r="F2256" t="s">
        <v>25</v>
      </c>
      <c r="G2256" s="1">
        <v>45601</v>
      </c>
      <c r="H2256" s="1">
        <v>45602</v>
      </c>
      <c r="I2256" s="1">
        <v>45621</v>
      </c>
      <c r="J2256">
        <v>20</v>
      </c>
      <c r="K2256">
        <v>1</v>
      </c>
      <c r="L2256">
        <v>8</v>
      </c>
      <c r="M2256">
        <v>415.29</v>
      </c>
      <c r="N2256">
        <v>3322.32</v>
      </c>
      <c r="O2256">
        <v>0.12</v>
      </c>
      <c r="P2256">
        <v>398.68</v>
      </c>
      <c r="Q2256">
        <v>2923.64</v>
      </c>
      <c r="R2256">
        <v>2192.73</v>
      </c>
      <c r="S2256">
        <v>730.91</v>
      </c>
    </row>
    <row r="2257" spans="1:19" x14ac:dyDescent="0.35">
      <c r="A2257">
        <v>200995</v>
      </c>
      <c r="B2257">
        <v>4642</v>
      </c>
      <c r="C2257" t="s">
        <v>28</v>
      </c>
      <c r="D2257" t="s">
        <v>29</v>
      </c>
      <c r="E2257" t="s">
        <v>26</v>
      </c>
      <c r="F2257" t="s">
        <v>27</v>
      </c>
      <c r="G2257" s="1">
        <v>45612</v>
      </c>
      <c r="H2257" s="1">
        <v>45614</v>
      </c>
      <c r="I2257" s="1">
        <v>45616</v>
      </c>
      <c r="J2257">
        <v>4</v>
      </c>
      <c r="K2257">
        <v>2</v>
      </c>
      <c r="L2257">
        <v>5</v>
      </c>
      <c r="M2257">
        <v>687.01</v>
      </c>
      <c r="N2257">
        <v>3435.05</v>
      </c>
      <c r="O2257">
        <v>7.0000000000000007E-2</v>
      </c>
      <c r="P2257">
        <v>240.45</v>
      </c>
      <c r="Q2257">
        <v>3194.6</v>
      </c>
      <c r="R2257">
        <v>2129.73</v>
      </c>
      <c r="S2257">
        <v>1064.8699999999999</v>
      </c>
    </row>
    <row r="2258" spans="1:19" x14ac:dyDescent="0.35">
      <c r="A2258">
        <v>200996</v>
      </c>
      <c r="B2258">
        <v>4534</v>
      </c>
      <c r="C2258" t="s">
        <v>19</v>
      </c>
      <c r="D2258" t="s">
        <v>20</v>
      </c>
      <c r="E2258" t="s">
        <v>34</v>
      </c>
      <c r="F2258" t="s">
        <v>40</v>
      </c>
      <c r="G2258" s="1">
        <v>45487</v>
      </c>
      <c r="H2258" s="1">
        <v>45489</v>
      </c>
      <c r="I2258" s="1">
        <v>45503</v>
      </c>
      <c r="J2258">
        <v>16</v>
      </c>
      <c r="K2258">
        <v>2</v>
      </c>
      <c r="L2258">
        <v>13</v>
      </c>
      <c r="M2258">
        <v>230.78</v>
      </c>
      <c r="N2258">
        <v>3000.14</v>
      </c>
      <c r="O2258">
        <v>0.15</v>
      </c>
      <c r="P2258">
        <v>450.02</v>
      </c>
      <c r="Q2258">
        <v>2550.12</v>
      </c>
      <c r="R2258">
        <v>2010.09</v>
      </c>
      <c r="S2258">
        <v>540.03</v>
      </c>
    </row>
    <row r="2259" spans="1:19" x14ac:dyDescent="0.35">
      <c r="A2259">
        <v>200997</v>
      </c>
      <c r="B2259">
        <v>4048</v>
      </c>
      <c r="C2259" t="s">
        <v>28</v>
      </c>
      <c r="D2259" t="s">
        <v>20</v>
      </c>
      <c r="E2259" t="s">
        <v>34</v>
      </c>
      <c r="F2259" t="s">
        <v>45</v>
      </c>
      <c r="G2259" s="1">
        <v>45617</v>
      </c>
      <c r="H2259" s="1">
        <v>45621</v>
      </c>
      <c r="I2259" s="1">
        <v>45637</v>
      </c>
      <c r="J2259">
        <v>20</v>
      </c>
      <c r="K2259">
        <v>4</v>
      </c>
      <c r="L2259">
        <v>4</v>
      </c>
      <c r="M2259">
        <v>716.41</v>
      </c>
      <c r="N2259">
        <v>2865.64</v>
      </c>
      <c r="O2259">
        <v>0.15</v>
      </c>
      <c r="P2259">
        <v>429.85</v>
      </c>
      <c r="Q2259">
        <v>2435.79</v>
      </c>
      <c r="R2259">
        <v>1891.32</v>
      </c>
      <c r="S2259">
        <v>544.47</v>
      </c>
    </row>
    <row r="2260" spans="1:19" x14ac:dyDescent="0.35">
      <c r="A2260">
        <v>200998</v>
      </c>
      <c r="B2260">
        <v>3764</v>
      </c>
      <c r="C2260" t="s">
        <v>19</v>
      </c>
      <c r="D2260" t="s">
        <v>29</v>
      </c>
      <c r="E2260" t="s">
        <v>34</v>
      </c>
      <c r="F2260" t="s">
        <v>45</v>
      </c>
      <c r="G2260" s="1">
        <v>45589</v>
      </c>
      <c r="H2260" s="1">
        <v>45593</v>
      </c>
      <c r="I2260" s="1">
        <v>45602</v>
      </c>
      <c r="J2260">
        <v>13</v>
      </c>
      <c r="K2260">
        <v>4</v>
      </c>
      <c r="L2260">
        <v>6</v>
      </c>
      <c r="M2260">
        <v>104.82</v>
      </c>
      <c r="N2260">
        <v>628.91999999999996</v>
      </c>
      <c r="O2260">
        <v>0.1</v>
      </c>
      <c r="P2260">
        <v>62.89</v>
      </c>
      <c r="Q2260">
        <v>566.03</v>
      </c>
      <c r="R2260">
        <v>364.77</v>
      </c>
      <c r="S2260">
        <v>201.26</v>
      </c>
    </row>
    <row r="2261" spans="1:19" x14ac:dyDescent="0.35">
      <c r="A2261">
        <v>200999</v>
      </c>
      <c r="B2261">
        <v>4954</v>
      </c>
      <c r="C2261" t="s">
        <v>19</v>
      </c>
      <c r="D2261" t="s">
        <v>20</v>
      </c>
      <c r="E2261" t="s">
        <v>26</v>
      </c>
      <c r="F2261" t="s">
        <v>36</v>
      </c>
      <c r="G2261" s="1">
        <v>45328</v>
      </c>
      <c r="H2261" s="1">
        <v>45333</v>
      </c>
      <c r="I2261" s="1">
        <v>45357</v>
      </c>
      <c r="J2261">
        <v>29</v>
      </c>
      <c r="K2261">
        <v>5</v>
      </c>
      <c r="L2261">
        <v>2</v>
      </c>
      <c r="M2261">
        <v>55.49</v>
      </c>
      <c r="N2261">
        <v>110.98</v>
      </c>
      <c r="O2261">
        <v>7.0000000000000007E-2</v>
      </c>
      <c r="P2261">
        <v>7.77</v>
      </c>
      <c r="Q2261">
        <v>103.21</v>
      </c>
      <c r="R2261">
        <v>73.25</v>
      </c>
      <c r="S2261">
        <v>29.96</v>
      </c>
    </row>
    <row r="2262" spans="1:19" x14ac:dyDescent="0.35">
      <c r="A2262">
        <v>201000</v>
      </c>
      <c r="B2262">
        <v>4897</v>
      </c>
      <c r="C2262" t="s">
        <v>23</v>
      </c>
      <c r="D2262" t="s">
        <v>20</v>
      </c>
      <c r="E2262" t="s">
        <v>26</v>
      </c>
      <c r="F2262" t="s">
        <v>44</v>
      </c>
      <c r="G2262" s="1">
        <v>45320</v>
      </c>
      <c r="H2262" s="1">
        <v>45325</v>
      </c>
      <c r="I2262" s="1">
        <v>45336</v>
      </c>
      <c r="J2262">
        <v>16</v>
      </c>
      <c r="K2262">
        <v>5</v>
      </c>
      <c r="L2262">
        <v>10</v>
      </c>
      <c r="M2262">
        <v>67.260000000000005</v>
      </c>
      <c r="N2262">
        <v>672.6</v>
      </c>
      <c r="O2262">
        <v>0.11</v>
      </c>
      <c r="P2262">
        <v>73.989999999999995</v>
      </c>
      <c r="Q2262">
        <v>598.61</v>
      </c>
      <c r="R2262">
        <v>403.56</v>
      </c>
      <c r="S2262">
        <v>195.05</v>
      </c>
    </row>
    <row r="2263" spans="1:19" x14ac:dyDescent="0.35">
      <c r="A2263">
        <v>201001</v>
      </c>
      <c r="B2263">
        <v>3179</v>
      </c>
      <c r="C2263" t="s">
        <v>28</v>
      </c>
      <c r="D2263" t="s">
        <v>31</v>
      </c>
      <c r="E2263" t="s">
        <v>24</v>
      </c>
      <c r="F2263" t="s">
        <v>25</v>
      </c>
      <c r="G2263" s="1">
        <v>45345</v>
      </c>
      <c r="H2263" s="1">
        <v>45346</v>
      </c>
      <c r="I2263" s="1">
        <v>45358</v>
      </c>
      <c r="J2263">
        <v>13</v>
      </c>
      <c r="K2263">
        <v>1</v>
      </c>
      <c r="L2263">
        <v>8</v>
      </c>
      <c r="M2263">
        <v>483.16</v>
      </c>
      <c r="N2263">
        <v>3865.28</v>
      </c>
      <c r="O2263">
        <v>7.0000000000000007E-2</v>
      </c>
      <c r="P2263">
        <v>270.57</v>
      </c>
      <c r="Q2263">
        <v>3594.71</v>
      </c>
      <c r="R2263">
        <v>2473.7800000000002</v>
      </c>
      <c r="S2263">
        <v>1120.93</v>
      </c>
    </row>
    <row r="2264" spans="1:19" x14ac:dyDescent="0.35">
      <c r="A2264">
        <v>201002</v>
      </c>
      <c r="B2264">
        <v>1267</v>
      </c>
      <c r="C2264" t="s">
        <v>19</v>
      </c>
      <c r="D2264" t="s">
        <v>20</v>
      </c>
      <c r="E2264" t="s">
        <v>24</v>
      </c>
      <c r="F2264" t="s">
        <v>42</v>
      </c>
      <c r="G2264" s="1">
        <v>45474</v>
      </c>
      <c r="H2264" s="1">
        <v>45477</v>
      </c>
      <c r="I2264" s="1">
        <v>45501</v>
      </c>
      <c r="J2264">
        <v>27</v>
      </c>
      <c r="K2264">
        <v>3</v>
      </c>
      <c r="L2264">
        <v>4</v>
      </c>
      <c r="M2264">
        <v>416.2</v>
      </c>
      <c r="N2264">
        <v>1664.8</v>
      </c>
      <c r="O2264">
        <v>0.13</v>
      </c>
      <c r="P2264">
        <v>216.42</v>
      </c>
      <c r="Q2264">
        <v>1448.38</v>
      </c>
      <c r="R2264">
        <v>1098.77</v>
      </c>
      <c r="S2264">
        <v>349.61</v>
      </c>
    </row>
    <row r="2265" spans="1:19" x14ac:dyDescent="0.35">
      <c r="A2265">
        <v>201003</v>
      </c>
      <c r="B2265">
        <v>3045</v>
      </c>
      <c r="C2265" t="s">
        <v>19</v>
      </c>
      <c r="D2265" t="s">
        <v>20</v>
      </c>
      <c r="E2265" t="s">
        <v>21</v>
      </c>
      <c r="F2265" t="s">
        <v>22</v>
      </c>
      <c r="G2265" s="1">
        <v>45294</v>
      </c>
      <c r="H2265" s="1">
        <v>45298</v>
      </c>
      <c r="I2265" s="1">
        <v>45314</v>
      </c>
      <c r="J2265">
        <v>20</v>
      </c>
      <c r="K2265">
        <v>4</v>
      </c>
      <c r="L2265">
        <v>13</v>
      </c>
      <c r="M2265">
        <v>759.67</v>
      </c>
      <c r="N2265">
        <v>9875.7099999999991</v>
      </c>
      <c r="O2265">
        <v>0.18</v>
      </c>
      <c r="P2265">
        <v>1777.63</v>
      </c>
      <c r="Q2265">
        <v>8098.08</v>
      </c>
      <c r="R2265">
        <v>5431.64</v>
      </c>
      <c r="S2265">
        <v>2666.44</v>
      </c>
    </row>
    <row r="2266" spans="1:19" x14ac:dyDescent="0.35">
      <c r="A2266">
        <v>201004</v>
      </c>
      <c r="B2266">
        <v>3963</v>
      </c>
      <c r="C2266" t="s">
        <v>23</v>
      </c>
      <c r="D2266" t="s">
        <v>20</v>
      </c>
      <c r="E2266" t="s">
        <v>26</v>
      </c>
      <c r="F2266" t="s">
        <v>44</v>
      </c>
      <c r="G2266" s="1">
        <v>45472</v>
      </c>
      <c r="H2266" s="1">
        <v>45476</v>
      </c>
      <c r="I2266" s="1">
        <v>45491</v>
      </c>
      <c r="J2266">
        <v>19</v>
      </c>
      <c r="K2266">
        <v>4</v>
      </c>
      <c r="L2266">
        <v>4</v>
      </c>
      <c r="M2266">
        <v>675.1</v>
      </c>
      <c r="N2266">
        <v>2700.4</v>
      </c>
      <c r="O2266">
        <v>0.13</v>
      </c>
      <c r="P2266">
        <v>351.05</v>
      </c>
      <c r="Q2266">
        <v>2349.35</v>
      </c>
      <c r="R2266">
        <v>1620.24</v>
      </c>
      <c r="S2266">
        <v>729.11</v>
      </c>
    </row>
    <row r="2267" spans="1:19" x14ac:dyDescent="0.35">
      <c r="A2267">
        <v>201005</v>
      </c>
      <c r="B2267">
        <v>2121</v>
      </c>
      <c r="C2267" t="s">
        <v>23</v>
      </c>
      <c r="D2267" t="s">
        <v>20</v>
      </c>
      <c r="E2267" t="s">
        <v>34</v>
      </c>
      <c r="F2267" t="s">
        <v>40</v>
      </c>
      <c r="G2267" s="1">
        <v>45554</v>
      </c>
      <c r="H2267" s="1">
        <v>45555</v>
      </c>
      <c r="I2267" s="1">
        <v>45563</v>
      </c>
      <c r="J2267">
        <v>9</v>
      </c>
      <c r="K2267">
        <v>1</v>
      </c>
      <c r="L2267">
        <v>14</v>
      </c>
      <c r="M2267">
        <v>40.090000000000003</v>
      </c>
      <c r="N2267">
        <v>561.26</v>
      </c>
      <c r="O2267">
        <v>0.11</v>
      </c>
      <c r="P2267">
        <v>61.74</v>
      </c>
      <c r="Q2267">
        <v>499.52</v>
      </c>
      <c r="R2267">
        <v>336.76</v>
      </c>
      <c r="S2267">
        <v>162.76</v>
      </c>
    </row>
    <row r="2268" spans="1:19" x14ac:dyDescent="0.35">
      <c r="A2268">
        <v>201006</v>
      </c>
      <c r="B2268">
        <v>4143</v>
      </c>
      <c r="C2268" t="s">
        <v>23</v>
      </c>
      <c r="D2268" t="s">
        <v>29</v>
      </c>
      <c r="E2268" t="s">
        <v>21</v>
      </c>
      <c r="F2268" t="s">
        <v>39</v>
      </c>
      <c r="G2268" s="1">
        <v>45361</v>
      </c>
      <c r="H2268" s="1">
        <v>45366</v>
      </c>
      <c r="I2268" s="1">
        <v>45373</v>
      </c>
      <c r="J2268">
        <v>12</v>
      </c>
      <c r="K2268">
        <v>5</v>
      </c>
      <c r="L2268">
        <v>3</v>
      </c>
      <c r="M2268">
        <v>309.19</v>
      </c>
      <c r="N2268">
        <v>927.57</v>
      </c>
      <c r="O2268">
        <v>0.15</v>
      </c>
      <c r="P2268">
        <v>139.13999999999999</v>
      </c>
      <c r="Q2268">
        <v>788.43</v>
      </c>
      <c r="R2268">
        <v>528.71</v>
      </c>
      <c r="S2268">
        <v>259.72000000000003</v>
      </c>
    </row>
    <row r="2269" spans="1:19" x14ac:dyDescent="0.35">
      <c r="A2269">
        <v>201007</v>
      </c>
      <c r="B2269">
        <v>1157</v>
      </c>
      <c r="C2269" t="s">
        <v>33</v>
      </c>
      <c r="D2269" t="s">
        <v>31</v>
      </c>
      <c r="E2269" t="s">
        <v>34</v>
      </c>
      <c r="F2269" t="s">
        <v>43</v>
      </c>
      <c r="G2269" s="1">
        <v>45307</v>
      </c>
      <c r="H2269" s="1">
        <v>45308</v>
      </c>
      <c r="I2269" s="1">
        <v>45334</v>
      </c>
      <c r="J2269">
        <v>27</v>
      </c>
      <c r="K2269">
        <v>1</v>
      </c>
      <c r="L2269">
        <v>7</v>
      </c>
      <c r="M2269">
        <v>243.17</v>
      </c>
      <c r="N2269">
        <v>1702.19</v>
      </c>
      <c r="O2269">
        <v>7.0000000000000007E-2</v>
      </c>
      <c r="P2269">
        <v>119.15</v>
      </c>
      <c r="Q2269">
        <v>1583.04</v>
      </c>
      <c r="R2269">
        <v>1208.55</v>
      </c>
      <c r="S2269">
        <v>374.49</v>
      </c>
    </row>
    <row r="2270" spans="1:19" x14ac:dyDescent="0.35">
      <c r="A2270">
        <v>201008</v>
      </c>
      <c r="B2270">
        <v>3176</v>
      </c>
      <c r="C2270" t="s">
        <v>33</v>
      </c>
      <c r="D2270" t="s">
        <v>29</v>
      </c>
      <c r="E2270" t="s">
        <v>24</v>
      </c>
      <c r="F2270" t="s">
        <v>25</v>
      </c>
      <c r="G2270" s="1">
        <v>45554</v>
      </c>
      <c r="H2270" s="1">
        <v>45557</v>
      </c>
      <c r="I2270" s="1">
        <v>45556</v>
      </c>
      <c r="J2270">
        <v>2</v>
      </c>
      <c r="K2270">
        <v>3</v>
      </c>
      <c r="L2270">
        <v>9</v>
      </c>
      <c r="M2270">
        <v>750.83</v>
      </c>
      <c r="N2270">
        <v>6757.47</v>
      </c>
      <c r="O2270">
        <v>0.12</v>
      </c>
      <c r="P2270">
        <v>810.9</v>
      </c>
      <c r="Q2270">
        <v>5946.57</v>
      </c>
      <c r="R2270">
        <v>4527.5</v>
      </c>
      <c r="S2270">
        <v>1419.07</v>
      </c>
    </row>
    <row r="2271" spans="1:19" x14ac:dyDescent="0.35">
      <c r="A2271">
        <v>201009</v>
      </c>
      <c r="B2271">
        <v>1821</v>
      </c>
      <c r="C2271" t="s">
        <v>19</v>
      </c>
      <c r="D2271" t="s">
        <v>31</v>
      </c>
      <c r="E2271" t="s">
        <v>34</v>
      </c>
      <c r="F2271" t="s">
        <v>43</v>
      </c>
      <c r="G2271" s="1">
        <v>45500</v>
      </c>
      <c r="H2271" s="1">
        <v>45503</v>
      </c>
      <c r="I2271" s="1">
        <v>45502</v>
      </c>
      <c r="J2271">
        <v>2</v>
      </c>
      <c r="K2271">
        <v>3</v>
      </c>
      <c r="L2271">
        <v>12</v>
      </c>
      <c r="M2271">
        <v>501.47</v>
      </c>
      <c r="N2271">
        <v>6017.64</v>
      </c>
      <c r="O2271">
        <v>0.06</v>
      </c>
      <c r="P2271">
        <v>361.06</v>
      </c>
      <c r="Q2271">
        <v>5656.58</v>
      </c>
      <c r="R2271">
        <v>4031.82</v>
      </c>
      <c r="S2271">
        <v>1624.76</v>
      </c>
    </row>
    <row r="2272" spans="1:19" x14ac:dyDescent="0.35">
      <c r="A2272">
        <v>201010</v>
      </c>
      <c r="B2272">
        <v>1076</v>
      </c>
      <c r="C2272" t="s">
        <v>33</v>
      </c>
      <c r="D2272" t="s">
        <v>29</v>
      </c>
      <c r="E2272" t="s">
        <v>24</v>
      </c>
      <c r="F2272" t="s">
        <v>32</v>
      </c>
      <c r="G2272" s="1">
        <v>45431</v>
      </c>
      <c r="H2272" s="1">
        <v>45434</v>
      </c>
      <c r="I2272" s="1">
        <v>45453</v>
      </c>
      <c r="J2272">
        <v>22</v>
      </c>
      <c r="K2272">
        <v>3</v>
      </c>
      <c r="L2272">
        <v>12</v>
      </c>
      <c r="M2272">
        <v>548.45000000000005</v>
      </c>
      <c r="N2272">
        <v>6581.4</v>
      </c>
      <c r="O2272">
        <v>7.0000000000000007E-2</v>
      </c>
      <c r="P2272">
        <v>460.7</v>
      </c>
      <c r="Q2272">
        <v>6120.7</v>
      </c>
      <c r="R2272">
        <v>4672.79</v>
      </c>
      <c r="S2272">
        <v>1447.91</v>
      </c>
    </row>
    <row r="2273" spans="1:19" x14ac:dyDescent="0.35">
      <c r="A2273">
        <v>201011</v>
      </c>
      <c r="B2273">
        <v>2004</v>
      </c>
      <c r="C2273" t="s">
        <v>33</v>
      </c>
      <c r="D2273" t="s">
        <v>29</v>
      </c>
      <c r="E2273" t="s">
        <v>26</v>
      </c>
      <c r="F2273" t="s">
        <v>36</v>
      </c>
      <c r="G2273" s="1">
        <v>45413</v>
      </c>
      <c r="H2273" s="1">
        <v>45416</v>
      </c>
      <c r="I2273" s="1">
        <v>45434</v>
      </c>
      <c r="J2273">
        <v>21</v>
      </c>
      <c r="K2273">
        <v>3</v>
      </c>
      <c r="L2273">
        <v>1</v>
      </c>
      <c r="M2273">
        <v>795.64</v>
      </c>
      <c r="N2273">
        <v>795.64</v>
      </c>
      <c r="O2273">
        <v>0.16</v>
      </c>
      <c r="P2273">
        <v>127.3</v>
      </c>
      <c r="Q2273">
        <v>668.34</v>
      </c>
      <c r="R2273">
        <v>469.43</v>
      </c>
      <c r="S2273">
        <v>198.91</v>
      </c>
    </row>
    <row r="2274" spans="1:19" x14ac:dyDescent="0.35">
      <c r="A2274">
        <v>201012</v>
      </c>
      <c r="B2274">
        <v>1993</v>
      </c>
      <c r="C2274" t="s">
        <v>33</v>
      </c>
      <c r="D2274" t="s">
        <v>29</v>
      </c>
      <c r="E2274" t="s">
        <v>26</v>
      </c>
      <c r="F2274" t="s">
        <v>37</v>
      </c>
      <c r="G2274" s="1">
        <v>45444</v>
      </c>
      <c r="H2274" s="1">
        <v>45446</v>
      </c>
      <c r="I2274" s="1">
        <v>45451</v>
      </c>
      <c r="J2274">
        <v>7</v>
      </c>
      <c r="K2274">
        <v>2</v>
      </c>
      <c r="L2274">
        <v>6</v>
      </c>
      <c r="M2274">
        <v>248.36</v>
      </c>
      <c r="N2274">
        <v>1490.16</v>
      </c>
      <c r="O2274">
        <v>0.02</v>
      </c>
      <c r="P2274">
        <v>29.8</v>
      </c>
      <c r="Q2274">
        <v>1460.36</v>
      </c>
      <c r="R2274">
        <v>938.8</v>
      </c>
      <c r="S2274">
        <v>521.55999999999995</v>
      </c>
    </row>
    <row r="2275" spans="1:19" x14ac:dyDescent="0.35">
      <c r="A2275">
        <v>201013</v>
      </c>
      <c r="B2275">
        <v>4340</v>
      </c>
      <c r="C2275" t="s">
        <v>23</v>
      </c>
      <c r="D2275" t="s">
        <v>29</v>
      </c>
      <c r="E2275" t="s">
        <v>21</v>
      </c>
      <c r="F2275" t="s">
        <v>41</v>
      </c>
      <c r="G2275" s="1">
        <v>45532</v>
      </c>
      <c r="H2275" s="1">
        <v>45536</v>
      </c>
      <c r="I2275" s="1">
        <v>45539</v>
      </c>
      <c r="J2275">
        <v>7</v>
      </c>
      <c r="K2275">
        <v>4</v>
      </c>
      <c r="L2275">
        <v>5</v>
      </c>
      <c r="M2275">
        <v>457.63</v>
      </c>
      <c r="N2275">
        <v>2288.15</v>
      </c>
      <c r="O2275">
        <v>0.04</v>
      </c>
      <c r="P2275">
        <v>91.53</v>
      </c>
      <c r="Q2275">
        <v>2196.62</v>
      </c>
      <c r="R2275">
        <v>1372.89</v>
      </c>
      <c r="S2275">
        <v>823.73</v>
      </c>
    </row>
    <row r="2276" spans="1:19" x14ac:dyDescent="0.35">
      <c r="A2276">
        <v>201014</v>
      </c>
      <c r="B2276">
        <v>4882</v>
      </c>
      <c r="C2276" t="s">
        <v>23</v>
      </c>
      <c r="D2276" t="s">
        <v>20</v>
      </c>
      <c r="E2276" t="s">
        <v>24</v>
      </c>
      <c r="F2276" t="s">
        <v>25</v>
      </c>
      <c r="G2276" s="1">
        <v>45408</v>
      </c>
      <c r="H2276" s="1">
        <v>45412</v>
      </c>
      <c r="I2276" s="1">
        <v>45411</v>
      </c>
      <c r="J2276">
        <v>3</v>
      </c>
      <c r="K2276">
        <v>4</v>
      </c>
      <c r="L2276">
        <v>4</v>
      </c>
      <c r="M2276">
        <v>767.09</v>
      </c>
      <c r="N2276">
        <v>3068.36</v>
      </c>
      <c r="O2276">
        <v>0.12</v>
      </c>
      <c r="P2276">
        <v>368.2</v>
      </c>
      <c r="Q2276">
        <v>2700.16</v>
      </c>
      <c r="R2276">
        <v>1902.38</v>
      </c>
      <c r="S2276">
        <v>797.78</v>
      </c>
    </row>
    <row r="2277" spans="1:19" x14ac:dyDescent="0.35">
      <c r="A2277">
        <v>201015</v>
      </c>
      <c r="B2277">
        <v>4729</v>
      </c>
      <c r="C2277" t="s">
        <v>23</v>
      </c>
      <c r="D2277" t="s">
        <v>31</v>
      </c>
      <c r="E2277" t="s">
        <v>34</v>
      </c>
      <c r="F2277" t="s">
        <v>43</v>
      </c>
      <c r="G2277" s="1">
        <v>45462</v>
      </c>
      <c r="H2277" s="1">
        <v>45464</v>
      </c>
      <c r="I2277" s="1">
        <v>45468</v>
      </c>
      <c r="J2277">
        <v>6</v>
      </c>
      <c r="K2277">
        <v>2</v>
      </c>
      <c r="L2277">
        <v>3</v>
      </c>
      <c r="M2277">
        <v>367.07</v>
      </c>
      <c r="N2277">
        <v>1101.21</v>
      </c>
      <c r="O2277">
        <v>0.1</v>
      </c>
      <c r="P2277">
        <v>110.12</v>
      </c>
      <c r="Q2277">
        <v>991.09</v>
      </c>
      <c r="R2277">
        <v>682.75</v>
      </c>
      <c r="S2277">
        <v>308.33999999999997</v>
      </c>
    </row>
    <row r="2278" spans="1:19" x14ac:dyDescent="0.35">
      <c r="A2278">
        <v>201016</v>
      </c>
      <c r="B2278">
        <v>3305</v>
      </c>
      <c r="C2278" t="s">
        <v>28</v>
      </c>
      <c r="D2278" t="s">
        <v>31</v>
      </c>
      <c r="E2278" t="s">
        <v>34</v>
      </c>
      <c r="F2278" t="s">
        <v>43</v>
      </c>
      <c r="G2278" s="1">
        <v>45331</v>
      </c>
      <c r="H2278" s="1">
        <v>45333</v>
      </c>
      <c r="I2278" s="1">
        <v>45336</v>
      </c>
      <c r="J2278">
        <v>5</v>
      </c>
      <c r="K2278">
        <v>2</v>
      </c>
      <c r="L2278">
        <v>3</v>
      </c>
      <c r="M2278">
        <v>330.6</v>
      </c>
      <c r="N2278">
        <v>991.8</v>
      </c>
      <c r="O2278">
        <v>0.02</v>
      </c>
      <c r="P2278">
        <v>19.84</v>
      </c>
      <c r="Q2278">
        <v>971.96</v>
      </c>
      <c r="R2278">
        <v>644.66999999999996</v>
      </c>
      <c r="S2278">
        <v>327.29000000000002</v>
      </c>
    </row>
    <row r="2279" spans="1:19" x14ac:dyDescent="0.35">
      <c r="A2279">
        <v>201017</v>
      </c>
      <c r="B2279">
        <v>1297</v>
      </c>
      <c r="C2279" t="s">
        <v>23</v>
      </c>
      <c r="D2279" t="s">
        <v>29</v>
      </c>
      <c r="E2279" t="s">
        <v>34</v>
      </c>
      <c r="F2279" t="s">
        <v>45</v>
      </c>
      <c r="G2279" s="1">
        <v>45632</v>
      </c>
      <c r="H2279" s="1">
        <v>45636</v>
      </c>
      <c r="I2279" s="1">
        <v>45642</v>
      </c>
      <c r="J2279">
        <v>10</v>
      </c>
      <c r="K2279">
        <v>4</v>
      </c>
      <c r="L2279">
        <v>13</v>
      </c>
      <c r="M2279">
        <v>128.38</v>
      </c>
      <c r="N2279">
        <v>1668.94</v>
      </c>
      <c r="O2279">
        <v>0.1</v>
      </c>
      <c r="P2279">
        <v>166.89</v>
      </c>
      <c r="Q2279">
        <v>1502.05</v>
      </c>
      <c r="R2279">
        <v>1235.02</v>
      </c>
      <c r="S2279">
        <v>267.02999999999997</v>
      </c>
    </row>
    <row r="2280" spans="1:19" x14ac:dyDescent="0.35">
      <c r="A2280">
        <v>201018</v>
      </c>
      <c r="B2280">
        <v>4361</v>
      </c>
      <c r="C2280" t="s">
        <v>19</v>
      </c>
      <c r="D2280" t="s">
        <v>20</v>
      </c>
      <c r="E2280" t="s">
        <v>21</v>
      </c>
      <c r="F2280" t="s">
        <v>38</v>
      </c>
      <c r="G2280" s="1">
        <v>45623</v>
      </c>
      <c r="H2280" s="1">
        <v>45627</v>
      </c>
      <c r="I2280" s="1">
        <v>45653</v>
      </c>
      <c r="J2280">
        <v>30</v>
      </c>
      <c r="K2280">
        <v>4</v>
      </c>
      <c r="L2280">
        <v>4</v>
      </c>
      <c r="M2280">
        <v>282.26</v>
      </c>
      <c r="N2280">
        <v>1129.04</v>
      </c>
      <c r="O2280">
        <v>0.08</v>
      </c>
      <c r="P2280">
        <v>90.32</v>
      </c>
      <c r="Q2280">
        <v>1038.72</v>
      </c>
      <c r="R2280">
        <v>779.04</v>
      </c>
      <c r="S2280">
        <v>259.68</v>
      </c>
    </row>
    <row r="2281" spans="1:19" x14ac:dyDescent="0.35">
      <c r="A2281">
        <v>201019</v>
      </c>
      <c r="B2281">
        <v>1881</v>
      </c>
      <c r="C2281" t="s">
        <v>23</v>
      </c>
      <c r="D2281" t="s">
        <v>20</v>
      </c>
      <c r="E2281" t="s">
        <v>26</v>
      </c>
      <c r="F2281" t="s">
        <v>27</v>
      </c>
      <c r="G2281" s="1">
        <v>45532</v>
      </c>
      <c r="H2281" s="1">
        <v>45535</v>
      </c>
      <c r="I2281" s="1">
        <v>45561</v>
      </c>
      <c r="J2281">
        <v>29</v>
      </c>
      <c r="K2281">
        <v>3</v>
      </c>
      <c r="L2281">
        <v>3</v>
      </c>
      <c r="M2281">
        <v>28.2</v>
      </c>
      <c r="N2281">
        <v>84.6</v>
      </c>
      <c r="O2281">
        <v>0.1</v>
      </c>
      <c r="P2281">
        <v>8.4600000000000009</v>
      </c>
      <c r="Q2281">
        <v>76.14</v>
      </c>
      <c r="R2281">
        <v>53.3</v>
      </c>
      <c r="S2281">
        <v>22.84</v>
      </c>
    </row>
    <row r="2282" spans="1:19" x14ac:dyDescent="0.35">
      <c r="A2282">
        <v>201020</v>
      </c>
      <c r="B2282">
        <v>2360</v>
      </c>
      <c r="C2282" t="s">
        <v>23</v>
      </c>
      <c r="D2282" t="s">
        <v>29</v>
      </c>
      <c r="E2282" t="s">
        <v>21</v>
      </c>
      <c r="F2282" t="s">
        <v>22</v>
      </c>
      <c r="G2282" s="1">
        <v>45603</v>
      </c>
      <c r="H2282" s="1">
        <v>45606</v>
      </c>
      <c r="I2282" s="1">
        <v>45620</v>
      </c>
      <c r="J2282">
        <v>17</v>
      </c>
      <c r="K2282">
        <v>3</v>
      </c>
      <c r="L2282">
        <v>5</v>
      </c>
      <c r="M2282">
        <v>113.03</v>
      </c>
      <c r="N2282">
        <v>565.15</v>
      </c>
      <c r="O2282">
        <v>0</v>
      </c>
      <c r="P2282">
        <v>0</v>
      </c>
      <c r="Q2282">
        <v>565.15</v>
      </c>
      <c r="R2282">
        <v>333.44</v>
      </c>
      <c r="S2282">
        <v>231.71</v>
      </c>
    </row>
    <row r="2283" spans="1:19" x14ac:dyDescent="0.35">
      <c r="A2283">
        <v>201021</v>
      </c>
      <c r="B2283">
        <v>1280</v>
      </c>
      <c r="C2283" t="s">
        <v>28</v>
      </c>
      <c r="D2283" t="s">
        <v>31</v>
      </c>
      <c r="E2283" t="s">
        <v>21</v>
      </c>
      <c r="F2283" t="s">
        <v>39</v>
      </c>
      <c r="G2283" s="1">
        <v>45492</v>
      </c>
      <c r="H2283" s="1">
        <v>45494</v>
      </c>
      <c r="I2283" s="1">
        <v>45508</v>
      </c>
      <c r="J2283">
        <v>16</v>
      </c>
      <c r="K2283">
        <v>2</v>
      </c>
      <c r="L2283">
        <v>6</v>
      </c>
      <c r="M2283">
        <v>538.24</v>
      </c>
      <c r="N2283">
        <v>3229.44</v>
      </c>
      <c r="O2283">
        <v>0.09</v>
      </c>
      <c r="P2283">
        <v>290.64999999999998</v>
      </c>
      <c r="Q2283">
        <v>2938.79</v>
      </c>
      <c r="R2283">
        <v>2260.61</v>
      </c>
      <c r="S2283">
        <v>678.18</v>
      </c>
    </row>
    <row r="2284" spans="1:19" x14ac:dyDescent="0.35">
      <c r="A2284">
        <v>201022</v>
      </c>
      <c r="B2284">
        <v>3072</v>
      </c>
      <c r="C2284" t="s">
        <v>28</v>
      </c>
      <c r="D2284" t="s">
        <v>20</v>
      </c>
      <c r="E2284" t="s">
        <v>24</v>
      </c>
      <c r="F2284" t="s">
        <v>30</v>
      </c>
      <c r="G2284" s="1">
        <v>45391</v>
      </c>
      <c r="H2284" s="1">
        <v>45392</v>
      </c>
      <c r="I2284" s="1">
        <v>45412</v>
      </c>
      <c r="J2284">
        <v>21</v>
      </c>
      <c r="K2284">
        <v>1</v>
      </c>
      <c r="L2284">
        <v>12</v>
      </c>
      <c r="M2284">
        <v>464.87</v>
      </c>
      <c r="N2284">
        <v>5578.44</v>
      </c>
      <c r="O2284">
        <v>7.0000000000000007E-2</v>
      </c>
      <c r="P2284">
        <v>390.49</v>
      </c>
      <c r="Q2284">
        <v>5187.95</v>
      </c>
      <c r="R2284">
        <v>3347.06</v>
      </c>
      <c r="S2284">
        <v>1840.89</v>
      </c>
    </row>
    <row r="2285" spans="1:19" x14ac:dyDescent="0.35">
      <c r="A2285">
        <v>201023</v>
      </c>
      <c r="B2285">
        <v>3032</v>
      </c>
      <c r="C2285" t="s">
        <v>19</v>
      </c>
      <c r="D2285" t="s">
        <v>20</v>
      </c>
      <c r="E2285" t="s">
        <v>34</v>
      </c>
      <c r="F2285" t="s">
        <v>43</v>
      </c>
      <c r="G2285" s="1">
        <v>45394</v>
      </c>
      <c r="H2285" s="1">
        <v>45396</v>
      </c>
      <c r="I2285" s="1">
        <v>45424</v>
      </c>
      <c r="J2285">
        <v>30</v>
      </c>
      <c r="K2285">
        <v>2</v>
      </c>
      <c r="L2285">
        <v>4</v>
      </c>
      <c r="M2285">
        <v>618.1</v>
      </c>
      <c r="N2285">
        <v>2472.4</v>
      </c>
      <c r="O2285">
        <v>0.11</v>
      </c>
      <c r="P2285">
        <v>271.95999999999998</v>
      </c>
      <c r="Q2285">
        <v>2200.44</v>
      </c>
      <c r="R2285">
        <v>1755.4</v>
      </c>
      <c r="S2285">
        <v>445.04</v>
      </c>
    </row>
    <row r="2286" spans="1:19" x14ac:dyDescent="0.35">
      <c r="A2286">
        <v>201024</v>
      </c>
      <c r="B2286">
        <v>4263</v>
      </c>
      <c r="C2286" t="s">
        <v>33</v>
      </c>
      <c r="D2286" t="s">
        <v>31</v>
      </c>
      <c r="E2286" t="s">
        <v>26</v>
      </c>
      <c r="F2286" t="s">
        <v>27</v>
      </c>
      <c r="G2286" s="1">
        <v>45627</v>
      </c>
      <c r="H2286" s="1">
        <v>45630</v>
      </c>
      <c r="I2286" s="1">
        <v>45656</v>
      </c>
      <c r="J2286">
        <v>29</v>
      </c>
      <c r="K2286">
        <v>3</v>
      </c>
      <c r="L2286">
        <v>14</v>
      </c>
      <c r="M2286">
        <v>754.98</v>
      </c>
      <c r="N2286">
        <v>10569.72</v>
      </c>
      <c r="O2286">
        <v>0.13</v>
      </c>
      <c r="P2286">
        <v>1374.06</v>
      </c>
      <c r="Q2286">
        <v>9195.66</v>
      </c>
      <c r="R2286">
        <v>5813.35</v>
      </c>
      <c r="S2286">
        <v>3382.31</v>
      </c>
    </row>
    <row r="2287" spans="1:19" x14ac:dyDescent="0.35">
      <c r="A2287">
        <v>201025</v>
      </c>
      <c r="B2287">
        <v>1287</v>
      </c>
      <c r="C2287" t="s">
        <v>28</v>
      </c>
      <c r="D2287" t="s">
        <v>20</v>
      </c>
      <c r="E2287" t="s">
        <v>21</v>
      </c>
      <c r="F2287" t="s">
        <v>39</v>
      </c>
      <c r="G2287" s="1">
        <v>45336</v>
      </c>
      <c r="H2287" s="1">
        <v>45337</v>
      </c>
      <c r="I2287" s="1">
        <v>45345</v>
      </c>
      <c r="J2287">
        <v>9</v>
      </c>
      <c r="K2287">
        <v>1</v>
      </c>
      <c r="L2287">
        <v>3</v>
      </c>
      <c r="M2287">
        <v>680.28</v>
      </c>
      <c r="N2287">
        <v>2040.84</v>
      </c>
      <c r="O2287">
        <v>0.11</v>
      </c>
      <c r="P2287">
        <v>224.49</v>
      </c>
      <c r="Q2287">
        <v>1816.35</v>
      </c>
      <c r="R2287">
        <v>1244.9100000000001</v>
      </c>
      <c r="S2287">
        <v>571.44000000000005</v>
      </c>
    </row>
    <row r="2288" spans="1:19" x14ac:dyDescent="0.35">
      <c r="A2288">
        <v>201026</v>
      </c>
      <c r="B2288">
        <v>4707</v>
      </c>
      <c r="C2288" t="s">
        <v>28</v>
      </c>
      <c r="D2288" t="s">
        <v>20</v>
      </c>
      <c r="E2288" t="s">
        <v>34</v>
      </c>
      <c r="F2288" t="s">
        <v>35</v>
      </c>
      <c r="G2288" s="1">
        <v>45364</v>
      </c>
      <c r="H2288" s="1">
        <v>45369</v>
      </c>
      <c r="I2288" s="1">
        <v>45387</v>
      </c>
      <c r="J2288">
        <v>23</v>
      </c>
      <c r="K2288">
        <v>5</v>
      </c>
      <c r="L2288">
        <v>14</v>
      </c>
      <c r="M2288">
        <v>72.67</v>
      </c>
      <c r="N2288">
        <v>1017.38</v>
      </c>
      <c r="O2288">
        <v>0.13</v>
      </c>
      <c r="P2288">
        <v>132.26</v>
      </c>
      <c r="Q2288">
        <v>885.12</v>
      </c>
      <c r="R2288">
        <v>579.91</v>
      </c>
      <c r="S2288">
        <v>305.20999999999998</v>
      </c>
    </row>
    <row r="2289" spans="1:19" x14ac:dyDescent="0.35">
      <c r="A2289">
        <v>201027</v>
      </c>
      <c r="B2289">
        <v>4650</v>
      </c>
      <c r="C2289" t="s">
        <v>28</v>
      </c>
      <c r="D2289" t="s">
        <v>20</v>
      </c>
      <c r="E2289" t="s">
        <v>34</v>
      </c>
      <c r="F2289" t="s">
        <v>40</v>
      </c>
      <c r="G2289" s="1">
        <v>45303</v>
      </c>
      <c r="H2289" s="1">
        <v>45304</v>
      </c>
      <c r="I2289" s="1">
        <v>45333</v>
      </c>
      <c r="J2289">
        <v>30</v>
      </c>
      <c r="K2289">
        <v>1</v>
      </c>
      <c r="L2289">
        <v>10</v>
      </c>
      <c r="M2289">
        <v>148.03</v>
      </c>
      <c r="N2289">
        <v>1480.3</v>
      </c>
      <c r="O2289">
        <v>0.04</v>
      </c>
      <c r="P2289">
        <v>59.21</v>
      </c>
      <c r="Q2289">
        <v>1421.09</v>
      </c>
      <c r="R2289">
        <v>932.59</v>
      </c>
      <c r="S2289">
        <v>488.5</v>
      </c>
    </row>
    <row r="2290" spans="1:19" x14ac:dyDescent="0.35">
      <c r="A2290">
        <v>201028</v>
      </c>
      <c r="B2290">
        <v>4253</v>
      </c>
      <c r="C2290" t="s">
        <v>23</v>
      </c>
      <c r="D2290" t="s">
        <v>29</v>
      </c>
      <c r="E2290" t="s">
        <v>24</v>
      </c>
      <c r="F2290" t="s">
        <v>30</v>
      </c>
      <c r="G2290" s="1">
        <v>45560</v>
      </c>
      <c r="H2290" s="1">
        <v>45562</v>
      </c>
      <c r="I2290" s="1">
        <v>45585</v>
      </c>
      <c r="J2290">
        <v>25</v>
      </c>
      <c r="K2290">
        <v>2</v>
      </c>
      <c r="L2290">
        <v>11</v>
      </c>
      <c r="M2290">
        <v>267.26</v>
      </c>
      <c r="N2290">
        <v>2939.86</v>
      </c>
      <c r="O2290">
        <v>0.13</v>
      </c>
      <c r="P2290">
        <v>382.18</v>
      </c>
      <c r="Q2290">
        <v>2557.6799999999998</v>
      </c>
      <c r="R2290">
        <v>1910.91</v>
      </c>
      <c r="S2290">
        <v>646.77</v>
      </c>
    </row>
    <row r="2291" spans="1:19" x14ac:dyDescent="0.35">
      <c r="A2291">
        <v>201029</v>
      </c>
      <c r="B2291">
        <v>3802</v>
      </c>
      <c r="C2291" t="s">
        <v>19</v>
      </c>
      <c r="D2291" t="s">
        <v>31</v>
      </c>
      <c r="E2291" t="s">
        <v>26</v>
      </c>
      <c r="F2291" t="s">
        <v>27</v>
      </c>
      <c r="G2291" s="1">
        <v>45652</v>
      </c>
      <c r="H2291" s="1">
        <v>45657</v>
      </c>
      <c r="I2291" s="1">
        <v>45665</v>
      </c>
      <c r="J2291">
        <v>13</v>
      </c>
      <c r="K2291">
        <v>5</v>
      </c>
      <c r="L2291">
        <v>11</v>
      </c>
      <c r="M2291">
        <v>579.27</v>
      </c>
      <c r="N2291">
        <v>6371.97</v>
      </c>
      <c r="O2291">
        <v>0.13</v>
      </c>
      <c r="P2291">
        <v>828.36</v>
      </c>
      <c r="Q2291">
        <v>5543.61</v>
      </c>
      <c r="R2291">
        <v>4014.34</v>
      </c>
      <c r="S2291">
        <v>1529.27</v>
      </c>
    </row>
    <row r="2292" spans="1:19" x14ac:dyDescent="0.35">
      <c r="A2292">
        <v>201030</v>
      </c>
      <c r="B2292">
        <v>2221</v>
      </c>
      <c r="C2292" t="s">
        <v>28</v>
      </c>
      <c r="D2292" t="s">
        <v>29</v>
      </c>
      <c r="E2292" t="s">
        <v>26</v>
      </c>
      <c r="F2292" t="s">
        <v>44</v>
      </c>
      <c r="G2292" s="1">
        <v>45380</v>
      </c>
      <c r="H2292" s="1">
        <v>45385</v>
      </c>
      <c r="I2292" s="1">
        <v>45402</v>
      </c>
      <c r="J2292">
        <v>22</v>
      </c>
      <c r="K2292">
        <v>5</v>
      </c>
      <c r="L2292">
        <v>4</v>
      </c>
      <c r="M2292">
        <v>421.87</v>
      </c>
      <c r="N2292">
        <v>1687.48</v>
      </c>
      <c r="O2292">
        <v>0.13</v>
      </c>
      <c r="P2292">
        <v>219.37</v>
      </c>
      <c r="Q2292">
        <v>1468.11</v>
      </c>
      <c r="R2292">
        <v>1113.74</v>
      </c>
      <c r="S2292">
        <v>354.37</v>
      </c>
    </row>
    <row r="2293" spans="1:19" x14ac:dyDescent="0.35">
      <c r="A2293">
        <v>201031</v>
      </c>
      <c r="B2293">
        <v>2539</v>
      </c>
      <c r="C2293" t="s">
        <v>33</v>
      </c>
      <c r="D2293" t="s">
        <v>20</v>
      </c>
      <c r="E2293" t="s">
        <v>26</v>
      </c>
      <c r="F2293" t="s">
        <v>27</v>
      </c>
      <c r="G2293" s="1">
        <v>45329</v>
      </c>
      <c r="H2293" s="1">
        <v>45333</v>
      </c>
      <c r="I2293" s="1">
        <v>45332</v>
      </c>
      <c r="J2293">
        <v>3</v>
      </c>
      <c r="K2293">
        <v>4</v>
      </c>
      <c r="L2293">
        <v>13</v>
      </c>
      <c r="M2293">
        <v>68.64</v>
      </c>
      <c r="N2293">
        <v>892.32</v>
      </c>
      <c r="O2293">
        <v>0.08</v>
      </c>
      <c r="P2293">
        <v>71.39</v>
      </c>
      <c r="Q2293">
        <v>820.93</v>
      </c>
      <c r="R2293">
        <v>544.32000000000005</v>
      </c>
      <c r="S2293">
        <v>276.61</v>
      </c>
    </row>
    <row r="2294" spans="1:19" x14ac:dyDescent="0.35">
      <c r="A2294">
        <v>201032</v>
      </c>
      <c r="B2294">
        <v>1525</v>
      </c>
      <c r="C2294" t="s">
        <v>33</v>
      </c>
      <c r="D2294" t="s">
        <v>29</v>
      </c>
      <c r="E2294" t="s">
        <v>26</v>
      </c>
      <c r="F2294" t="s">
        <v>36</v>
      </c>
      <c r="G2294" s="1">
        <v>45375</v>
      </c>
      <c r="H2294" s="1">
        <v>45378</v>
      </c>
      <c r="I2294" s="1">
        <v>45392</v>
      </c>
      <c r="J2294">
        <v>17</v>
      </c>
      <c r="K2294">
        <v>3</v>
      </c>
      <c r="L2294">
        <v>11</v>
      </c>
      <c r="M2294">
        <v>339.55</v>
      </c>
      <c r="N2294">
        <v>3735.05</v>
      </c>
      <c r="O2294">
        <v>0.17</v>
      </c>
      <c r="P2294">
        <v>634.96</v>
      </c>
      <c r="Q2294">
        <v>3100.09</v>
      </c>
      <c r="R2294">
        <v>2278.38</v>
      </c>
      <c r="S2294">
        <v>821.71</v>
      </c>
    </row>
    <row r="2295" spans="1:19" x14ac:dyDescent="0.35">
      <c r="A2295">
        <v>201033</v>
      </c>
      <c r="B2295">
        <v>4695</v>
      </c>
      <c r="C2295" t="s">
        <v>19</v>
      </c>
      <c r="D2295" t="s">
        <v>31</v>
      </c>
      <c r="E2295" t="s">
        <v>24</v>
      </c>
      <c r="F2295" t="s">
        <v>32</v>
      </c>
      <c r="G2295" s="1">
        <v>45320</v>
      </c>
      <c r="H2295" s="1">
        <v>45325</v>
      </c>
      <c r="I2295" s="1">
        <v>45336</v>
      </c>
      <c r="J2295">
        <v>16</v>
      </c>
      <c r="K2295">
        <v>5</v>
      </c>
      <c r="L2295">
        <v>6</v>
      </c>
      <c r="M2295">
        <v>170.88</v>
      </c>
      <c r="N2295">
        <v>1025.28</v>
      </c>
      <c r="O2295">
        <v>0.09</v>
      </c>
      <c r="P2295">
        <v>92.28</v>
      </c>
      <c r="Q2295">
        <v>933</v>
      </c>
      <c r="R2295">
        <v>584.41</v>
      </c>
      <c r="S2295">
        <v>348.59</v>
      </c>
    </row>
    <row r="2296" spans="1:19" x14ac:dyDescent="0.35">
      <c r="A2296">
        <v>201034</v>
      </c>
      <c r="B2296">
        <v>4991</v>
      </c>
      <c r="C2296" t="s">
        <v>33</v>
      </c>
      <c r="D2296" t="s">
        <v>29</v>
      </c>
      <c r="E2296" t="s">
        <v>26</v>
      </c>
      <c r="F2296" t="s">
        <v>36</v>
      </c>
      <c r="G2296" s="1">
        <v>45535</v>
      </c>
      <c r="H2296" s="1">
        <v>45538</v>
      </c>
      <c r="I2296" s="1">
        <v>45550</v>
      </c>
      <c r="J2296">
        <v>15</v>
      </c>
      <c r="K2296">
        <v>3</v>
      </c>
      <c r="L2296">
        <v>3</v>
      </c>
      <c r="M2296">
        <v>489.91</v>
      </c>
      <c r="N2296">
        <v>1469.73</v>
      </c>
      <c r="O2296">
        <v>7.0000000000000007E-2</v>
      </c>
      <c r="P2296">
        <v>102.88</v>
      </c>
      <c r="Q2296">
        <v>1366.85</v>
      </c>
      <c r="R2296">
        <v>896.54</v>
      </c>
      <c r="S2296">
        <v>470.31</v>
      </c>
    </row>
    <row r="2297" spans="1:19" x14ac:dyDescent="0.35">
      <c r="A2297">
        <v>201035</v>
      </c>
      <c r="B2297">
        <v>1083</v>
      </c>
      <c r="C2297" t="s">
        <v>19</v>
      </c>
      <c r="D2297" t="s">
        <v>31</v>
      </c>
      <c r="E2297" t="s">
        <v>21</v>
      </c>
      <c r="F2297" t="s">
        <v>22</v>
      </c>
      <c r="G2297" s="1">
        <v>45591</v>
      </c>
      <c r="H2297" s="1">
        <v>45594</v>
      </c>
      <c r="I2297" s="1">
        <v>45616</v>
      </c>
      <c r="J2297">
        <v>25</v>
      </c>
      <c r="K2297">
        <v>3</v>
      </c>
      <c r="L2297">
        <v>6</v>
      </c>
      <c r="M2297">
        <v>490.92</v>
      </c>
      <c r="N2297">
        <v>2945.52</v>
      </c>
      <c r="O2297">
        <v>0.11</v>
      </c>
      <c r="P2297">
        <v>324.01</v>
      </c>
      <c r="Q2297">
        <v>2621.51</v>
      </c>
      <c r="R2297">
        <v>2091.3200000000002</v>
      </c>
      <c r="S2297">
        <v>530.19000000000005</v>
      </c>
    </row>
    <row r="2298" spans="1:19" x14ac:dyDescent="0.35">
      <c r="A2298">
        <v>201036</v>
      </c>
      <c r="B2298">
        <v>1296</v>
      </c>
      <c r="C2298" t="s">
        <v>28</v>
      </c>
      <c r="D2298" t="s">
        <v>31</v>
      </c>
      <c r="E2298" t="s">
        <v>21</v>
      </c>
      <c r="F2298" t="s">
        <v>39</v>
      </c>
      <c r="G2298" s="1">
        <v>45587</v>
      </c>
      <c r="H2298" s="1">
        <v>45588</v>
      </c>
      <c r="I2298" s="1">
        <v>45592</v>
      </c>
      <c r="J2298">
        <v>5</v>
      </c>
      <c r="K2298">
        <v>1</v>
      </c>
      <c r="L2298">
        <v>14</v>
      </c>
      <c r="M2298">
        <v>122.95</v>
      </c>
      <c r="N2298">
        <v>1721.3</v>
      </c>
      <c r="O2298">
        <v>0.14000000000000001</v>
      </c>
      <c r="P2298">
        <v>240.98</v>
      </c>
      <c r="Q2298">
        <v>1480.32</v>
      </c>
      <c r="R2298">
        <v>998.35</v>
      </c>
      <c r="S2298">
        <v>481.97</v>
      </c>
    </row>
    <row r="2299" spans="1:19" x14ac:dyDescent="0.35">
      <c r="A2299">
        <v>201037</v>
      </c>
      <c r="B2299">
        <v>4265</v>
      </c>
      <c r="C2299" t="s">
        <v>28</v>
      </c>
      <c r="D2299" t="s">
        <v>20</v>
      </c>
      <c r="E2299" t="s">
        <v>24</v>
      </c>
      <c r="F2299" t="s">
        <v>32</v>
      </c>
      <c r="G2299" s="1">
        <v>45536</v>
      </c>
      <c r="H2299" s="1">
        <v>45538</v>
      </c>
      <c r="I2299" s="1">
        <v>45553</v>
      </c>
      <c r="J2299">
        <v>17</v>
      </c>
      <c r="K2299">
        <v>2</v>
      </c>
      <c r="L2299">
        <v>14</v>
      </c>
      <c r="M2299">
        <v>793.36</v>
      </c>
      <c r="N2299">
        <v>11107.04</v>
      </c>
      <c r="O2299">
        <v>0.06</v>
      </c>
      <c r="P2299">
        <v>666.42</v>
      </c>
      <c r="Q2299">
        <v>10440.620000000001</v>
      </c>
      <c r="R2299">
        <v>7219.58</v>
      </c>
      <c r="S2299">
        <v>3221.04</v>
      </c>
    </row>
    <row r="2300" spans="1:19" x14ac:dyDescent="0.35">
      <c r="A2300">
        <v>201038</v>
      </c>
      <c r="B2300">
        <v>3565</v>
      </c>
      <c r="C2300" t="s">
        <v>19</v>
      </c>
      <c r="D2300" t="s">
        <v>29</v>
      </c>
      <c r="E2300" t="s">
        <v>21</v>
      </c>
      <c r="F2300" t="s">
        <v>38</v>
      </c>
      <c r="G2300" s="1">
        <v>45604</v>
      </c>
      <c r="H2300" s="1">
        <v>45605</v>
      </c>
      <c r="I2300" s="1">
        <v>45607</v>
      </c>
      <c r="J2300">
        <v>3</v>
      </c>
      <c r="K2300">
        <v>1</v>
      </c>
      <c r="L2300">
        <v>2</v>
      </c>
      <c r="M2300">
        <v>230.79</v>
      </c>
      <c r="N2300">
        <v>461.58</v>
      </c>
      <c r="O2300">
        <v>0.12</v>
      </c>
      <c r="P2300">
        <v>55.39</v>
      </c>
      <c r="Q2300">
        <v>406.19</v>
      </c>
      <c r="R2300">
        <v>336.95</v>
      </c>
      <c r="S2300">
        <v>69.239999999999995</v>
      </c>
    </row>
    <row r="2301" spans="1:19" x14ac:dyDescent="0.35">
      <c r="A2301">
        <v>201039</v>
      </c>
      <c r="B2301">
        <v>3425</v>
      </c>
      <c r="C2301" t="s">
        <v>28</v>
      </c>
      <c r="D2301" t="s">
        <v>31</v>
      </c>
      <c r="E2301" t="s">
        <v>34</v>
      </c>
      <c r="F2301" t="s">
        <v>43</v>
      </c>
      <c r="G2301" s="1">
        <v>45590</v>
      </c>
      <c r="H2301" s="1">
        <v>45594</v>
      </c>
      <c r="I2301" s="1">
        <v>45592</v>
      </c>
      <c r="J2301">
        <v>2</v>
      </c>
      <c r="K2301">
        <v>4</v>
      </c>
      <c r="L2301">
        <v>10</v>
      </c>
      <c r="M2301">
        <v>385.93</v>
      </c>
      <c r="N2301">
        <v>3859.3</v>
      </c>
      <c r="O2301">
        <v>0.17</v>
      </c>
      <c r="P2301">
        <v>656.08</v>
      </c>
      <c r="Q2301">
        <v>3203.22</v>
      </c>
      <c r="R2301">
        <v>2006.84</v>
      </c>
      <c r="S2301">
        <v>1196.3800000000001</v>
      </c>
    </row>
    <row r="2302" spans="1:19" x14ac:dyDescent="0.35">
      <c r="A2302">
        <v>201040</v>
      </c>
      <c r="B2302">
        <v>3062</v>
      </c>
      <c r="C2302" t="s">
        <v>33</v>
      </c>
      <c r="D2302" t="s">
        <v>29</v>
      </c>
      <c r="E2302" t="s">
        <v>26</v>
      </c>
      <c r="F2302" t="s">
        <v>44</v>
      </c>
      <c r="G2302" s="1">
        <v>45444</v>
      </c>
      <c r="H2302" s="1">
        <v>45447</v>
      </c>
      <c r="I2302" s="1">
        <v>45461</v>
      </c>
      <c r="J2302">
        <v>17</v>
      </c>
      <c r="K2302">
        <v>3</v>
      </c>
      <c r="L2302">
        <v>8</v>
      </c>
      <c r="M2302">
        <v>115.93</v>
      </c>
      <c r="N2302">
        <v>927.44</v>
      </c>
      <c r="O2302">
        <v>0.16</v>
      </c>
      <c r="P2302">
        <v>148.38999999999999</v>
      </c>
      <c r="Q2302">
        <v>779.05</v>
      </c>
      <c r="R2302">
        <v>547.19000000000005</v>
      </c>
      <c r="S2302">
        <v>231.86</v>
      </c>
    </row>
    <row r="2303" spans="1:19" x14ac:dyDescent="0.35">
      <c r="A2303">
        <v>201041</v>
      </c>
      <c r="B2303">
        <v>4584</v>
      </c>
      <c r="C2303" t="s">
        <v>28</v>
      </c>
      <c r="D2303" t="s">
        <v>31</v>
      </c>
      <c r="E2303" t="s">
        <v>21</v>
      </c>
      <c r="F2303" t="s">
        <v>39</v>
      </c>
      <c r="G2303" s="1">
        <v>45517</v>
      </c>
      <c r="H2303" s="1">
        <v>45519</v>
      </c>
      <c r="I2303" s="1">
        <v>45526</v>
      </c>
      <c r="J2303">
        <v>9</v>
      </c>
      <c r="K2303">
        <v>2</v>
      </c>
      <c r="L2303">
        <v>9</v>
      </c>
      <c r="M2303">
        <v>121.2</v>
      </c>
      <c r="N2303">
        <v>1090.8</v>
      </c>
      <c r="O2303">
        <v>0.09</v>
      </c>
      <c r="P2303">
        <v>98.17</v>
      </c>
      <c r="Q2303">
        <v>992.63</v>
      </c>
      <c r="R2303">
        <v>850.82</v>
      </c>
      <c r="S2303">
        <v>141.81</v>
      </c>
    </row>
    <row r="2304" spans="1:19" x14ac:dyDescent="0.35">
      <c r="A2304">
        <v>201042</v>
      </c>
      <c r="B2304">
        <v>2536</v>
      </c>
      <c r="C2304" t="s">
        <v>23</v>
      </c>
      <c r="D2304" t="s">
        <v>31</v>
      </c>
      <c r="E2304" t="s">
        <v>21</v>
      </c>
      <c r="F2304" t="s">
        <v>38</v>
      </c>
      <c r="G2304" s="1">
        <v>45598</v>
      </c>
      <c r="H2304" s="1">
        <v>45601</v>
      </c>
      <c r="I2304" s="1">
        <v>45621</v>
      </c>
      <c r="J2304">
        <v>23</v>
      </c>
      <c r="K2304">
        <v>3</v>
      </c>
      <c r="L2304">
        <v>12</v>
      </c>
      <c r="M2304">
        <v>356.21</v>
      </c>
      <c r="N2304">
        <v>4274.5200000000004</v>
      </c>
      <c r="O2304">
        <v>0.08</v>
      </c>
      <c r="P2304">
        <v>341.96</v>
      </c>
      <c r="Q2304">
        <v>3932.56</v>
      </c>
      <c r="R2304">
        <v>2735.69</v>
      </c>
      <c r="S2304">
        <v>1196.8699999999999</v>
      </c>
    </row>
    <row r="2305" spans="1:19" x14ac:dyDescent="0.35">
      <c r="A2305">
        <v>201043</v>
      </c>
      <c r="B2305">
        <v>4502</v>
      </c>
      <c r="C2305" t="s">
        <v>23</v>
      </c>
      <c r="D2305" t="s">
        <v>31</v>
      </c>
      <c r="E2305" t="s">
        <v>24</v>
      </c>
      <c r="F2305" t="s">
        <v>42</v>
      </c>
      <c r="G2305" s="1">
        <v>45308</v>
      </c>
      <c r="H2305" s="1">
        <v>45311</v>
      </c>
      <c r="I2305" s="1">
        <v>45320</v>
      </c>
      <c r="J2305">
        <v>12</v>
      </c>
      <c r="K2305">
        <v>3</v>
      </c>
      <c r="L2305">
        <v>7</v>
      </c>
      <c r="M2305">
        <v>520.79999999999995</v>
      </c>
      <c r="N2305">
        <v>3645.6</v>
      </c>
      <c r="O2305">
        <v>0.15</v>
      </c>
      <c r="P2305">
        <v>546.84</v>
      </c>
      <c r="Q2305">
        <v>3098.76</v>
      </c>
      <c r="R2305">
        <v>2442.5500000000002</v>
      </c>
      <c r="S2305">
        <v>656.21</v>
      </c>
    </row>
    <row r="2306" spans="1:19" x14ac:dyDescent="0.35">
      <c r="A2306">
        <v>201044</v>
      </c>
      <c r="B2306">
        <v>4662</v>
      </c>
      <c r="C2306" t="s">
        <v>19</v>
      </c>
      <c r="D2306" t="s">
        <v>29</v>
      </c>
      <c r="E2306" t="s">
        <v>34</v>
      </c>
      <c r="F2306" t="s">
        <v>40</v>
      </c>
      <c r="G2306" s="1">
        <v>45435</v>
      </c>
      <c r="H2306" s="1">
        <v>45440</v>
      </c>
      <c r="I2306" s="1">
        <v>45464</v>
      </c>
      <c r="J2306">
        <v>29</v>
      </c>
      <c r="K2306">
        <v>5</v>
      </c>
      <c r="L2306">
        <v>11</v>
      </c>
      <c r="M2306">
        <v>436.13</v>
      </c>
      <c r="N2306">
        <v>4797.43</v>
      </c>
      <c r="O2306">
        <v>0.16</v>
      </c>
      <c r="P2306">
        <v>767.59</v>
      </c>
      <c r="Q2306">
        <v>4029.84</v>
      </c>
      <c r="R2306">
        <v>3310.23</v>
      </c>
      <c r="S2306">
        <v>719.61</v>
      </c>
    </row>
    <row r="2307" spans="1:19" x14ac:dyDescent="0.35">
      <c r="A2307">
        <v>201045</v>
      </c>
      <c r="B2307">
        <v>1419</v>
      </c>
      <c r="C2307" t="s">
        <v>19</v>
      </c>
      <c r="D2307" t="s">
        <v>20</v>
      </c>
      <c r="E2307" t="s">
        <v>21</v>
      </c>
      <c r="F2307" t="s">
        <v>39</v>
      </c>
      <c r="G2307" s="1">
        <v>45546</v>
      </c>
      <c r="H2307" s="1">
        <v>45548</v>
      </c>
      <c r="I2307" s="1">
        <v>45571</v>
      </c>
      <c r="J2307">
        <v>25</v>
      </c>
      <c r="K2307">
        <v>2</v>
      </c>
      <c r="L2307">
        <v>5</v>
      </c>
      <c r="M2307">
        <v>160.22999999999999</v>
      </c>
      <c r="N2307">
        <v>801.15</v>
      </c>
      <c r="O2307">
        <v>0.05</v>
      </c>
      <c r="P2307">
        <v>40.06</v>
      </c>
      <c r="Q2307">
        <v>761.09</v>
      </c>
      <c r="R2307">
        <v>488.7</v>
      </c>
      <c r="S2307">
        <v>272.39</v>
      </c>
    </row>
    <row r="2308" spans="1:19" x14ac:dyDescent="0.35">
      <c r="A2308">
        <v>201046</v>
      </c>
      <c r="B2308">
        <v>1964</v>
      </c>
      <c r="C2308" t="s">
        <v>33</v>
      </c>
      <c r="D2308" t="s">
        <v>20</v>
      </c>
      <c r="E2308" t="s">
        <v>26</v>
      </c>
      <c r="F2308" t="s">
        <v>27</v>
      </c>
      <c r="G2308" s="1">
        <v>45380</v>
      </c>
      <c r="H2308" s="1">
        <v>45385</v>
      </c>
      <c r="I2308" s="1">
        <v>45390</v>
      </c>
      <c r="J2308">
        <v>10</v>
      </c>
      <c r="K2308">
        <v>5</v>
      </c>
      <c r="L2308">
        <v>4</v>
      </c>
      <c r="M2308">
        <v>613.79999999999995</v>
      </c>
      <c r="N2308">
        <v>2455.1999999999998</v>
      </c>
      <c r="O2308">
        <v>7.0000000000000007E-2</v>
      </c>
      <c r="P2308">
        <v>171.86</v>
      </c>
      <c r="Q2308">
        <v>2283.34</v>
      </c>
      <c r="R2308">
        <v>1792.3</v>
      </c>
      <c r="S2308">
        <v>491.04</v>
      </c>
    </row>
    <row r="2309" spans="1:19" x14ac:dyDescent="0.35">
      <c r="A2309">
        <v>201047</v>
      </c>
      <c r="B2309">
        <v>3194</v>
      </c>
      <c r="C2309" t="s">
        <v>28</v>
      </c>
      <c r="D2309" t="s">
        <v>31</v>
      </c>
      <c r="E2309" t="s">
        <v>21</v>
      </c>
      <c r="F2309" t="s">
        <v>41</v>
      </c>
      <c r="G2309" s="1">
        <v>45485</v>
      </c>
      <c r="H2309" s="1">
        <v>45487</v>
      </c>
      <c r="I2309" s="1">
        <v>45508</v>
      </c>
      <c r="J2309">
        <v>23</v>
      </c>
      <c r="K2309">
        <v>2</v>
      </c>
      <c r="L2309">
        <v>13</v>
      </c>
      <c r="M2309">
        <v>693.75</v>
      </c>
      <c r="N2309">
        <v>9018.75</v>
      </c>
      <c r="O2309">
        <v>0.06</v>
      </c>
      <c r="P2309">
        <v>541.12</v>
      </c>
      <c r="Q2309">
        <v>8477.6200000000008</v>
      </c>
      <c r="R2309">
        <v>6132.75</v>
      </c>
      <c r="S2309">
        <v>2344.87</v>
      </c>
    </row>
    <row r="2310" spans="1:19" x14ac:dyDescent="0.35">
      <c r="A2310">
        <v>201048</v>
      </c>
      <c r="B2310">
        <v>4856</v>
      </c>
      <c r="C2310" t="s">
        <v>23</v>
      </c>
      <c r="D2310" t="s">
        <v>29</v>
      </c>
      <c r="E2310" t="s">
        <v>34</v>
      </c>
      <c r="F2310" t="s">
        <v>45</v>
      </c>
      <c r="G2310" s="1">
        <v>45313</v>
      </c>
      <c r="H2310" s="1">
        <v>45318</v>
      </c>
      <c r="I2310" s="1">
        <v>45326</v>
      </c>
      <c r="J2310">
        <v>13</v>
      </c>
      <c r="K2310">
        <v>5</v>
      </c>
      <c r="L2310">
        <v>1</v>
      </c>
      <c r="M2310">
        <v>219.9</v>
      </c>
      <c r="N2310">
        <v>219.9</v>
      </c>
      <c r="O2310">
        <v>0.13</v>
      </c>
      <c r="P2310">
        <v>28.59</v>
      </c>
      <c r="Q2310">
        <v>191.31</v>
      </c>
      <c r="R2310">
        <v>140.74</v>
      </c>
      <c r="S2310">
        <v>50.57</v>
      </c>
    </row>
    <row r="2311" spans="1:19" x14ac:dyDescent="0.35">
      <c r="A2311">
        <v>201049</v>
      </c>
      <c r="B2311">
        <v>3971</v>
      </c>
      <c r="C2311" t="s">
        <v>33</v>
      </c>
      <c r="D2311" t="s">
        <v>29</v>
      </c>
      <c r="E2311" t="s">
        <v>24</v>
      </c>
      <c r="F2311" t="s">
        <v>32</v>
      </c>
      <c r="G2311" s="1">
        <v>45310</v>
      </c>
      <c r="H2311" s="1">
        <v>45315</v>
      </c>
      <c r="I2311" s="1">
        <v>45329</v>
      </c>
      <c r="J2311">
        <v>19</v>
      </c>
      <c r="K2311">
        <v>5</v>
      </c>
      <c r="L2311">
        <v>3</v>
      </c>
      <c r="M2311">
        <v>40.44</v>
      </c>
      <c r="N2311">
        <v>121.32</v>
      </c>
      <c r="O2311">
        <v>0.08</v>
      </c>
      <c r="P2311">
        <v>9.7100000000000009</v>
      </c>
      <c r="Q2311">
        <v>111.61</v>
      </c>
      <c r="R2311">
        <v>77.64</v>
      </c>
      <c r="S2311">
        <v>33.97</v>
      </c>
    </row>
    <row r="2312" spans="1:19" x14ac:dyDescent="0.35">
      <c r="A2312">
        <v>201050</v>
      </c>
      <c r="B2312">
        <v>3195</v>
      </c>
      <c r="C2312" t="s">
        <v>33</v>
      </c>
      <c r="D2312" t="s">
        <v>31</v>
      </c>
      <c r="E2312" t="s">
        <v>26</v>
      </c>
      <c r="F2312" t="s">
        <v>36</v>
      </c>
      <c r="G2312" s="1">
        <v>45629</v>
      </c>
      <c r="H2312" s="1">
        <v>45634</v>
      </c>
      <c r="I2312" s="1">
        <v>45635</v>
      </c>
      <c r="J2312">
        <v>6</v>
      </c>
      <c r="K2312">
        <v>5</v>
      </c>
      <c r="L2312">
        <v>8</v>
      </c>
      <c r="M2312">
        <v>178.2</v>
      </c>
      <c r="N2312">
        <v>1425.6</v>
      </c>
      <c r="O2312">
        <v>7.0000000000000007E-2</v>
      </c>
      <c r="P2312">
        <v>99.79</v>
      </c>
      <c r="Q2312">
        <v>1325.81</v>
      </c>
      <c r="R2312">
        <v>955.15</v>
      </c>
      <c r="S2312">
        <v>370.66</v>
      </c>
    </row>
    <row r="2313" spans="1:19" x14ac:dyDescent="0.35">
      <c r="A2313">
        <v>201051</v>
      </c>
      <c r="B2313">
        <v>4059</v>
      </c>
      <c r="C2313" t="s">
        <v>33</v>
      </c>
      <c r="D2313" t="s">
        <v>29</v>
      </c>
      <c r="E2313" t="s">
        <v>34</v>
      </c>
      <c r="F2313" t="s">
        <v>45</v>
      </c>
      <c r="G2313" s="1">
        <v>45460</v>
      </c>
      <c r="H2313" s="1">
        <v>45461</v>
      </c>
      <c r="I2313" s="1">
        <v>45474</v>
      </c>
      <c r="J2313">
        <v>14</v>
      </c>
      <c r="K2313">
        <v>1</v>
      </c>
      <c r="L2313">
        <v>14</v>
      </c>
      <c r="M2313">
        <v>83.77</v>
      </c>
      <c r="N2313">
        <v>1172.78</v>
      </c>
      <c r="O2313">
        <v>0.13</v>
      </c>
      <c r="P2313">
        <v>152.46</v>
      </c>
      <c r="Q2313">
        <v>1020.32</v>
      </c>
      <c r="R2313">
        <v>832.67</v>
      </c>
      <c r="S2313">
        <v>187.65</v>
      </c>
    </row>
    <row r="2314" spans="1:19" x14ac:dyDescent="0.35">
      <c r="A2314">
        <v>201052</v>
      </c>
      <c r="B2314">
        <v>3124</v>
      </c>
      <c r="C2314" t="s">
        <v>28</v>
      </c>
      <c r="D2314" t="s">
        <v>20</v>
      </c>
      <c r="E2314" t="s">
        <v>24</v>
      </c>
      <c r="F2314" t="s">
        <v>32</v>
      </c>
      <c r="G2314" s="1">
        <v>45491</v>
      </c>
      <c r="H2314" s="1">
        <v>45494</v>
      </c>
      <c r="I2314" s="1">
        <v>45520</v>
      </c>
      <c r="J2314">
        <v>29</v>
      </c>
      <c r="K2314">
        <v>3</v>
      </c>
      <c r="L2314">
        <v>5</v>
      </c>
      <c r="M2314">
        <v>221.49</v>
      </c>
      <c r="N2314">
        <v>1107.45</v>
      </c>
      <c r="O2314">
        <v>0.09</v>
      </c>
      <c r="P2314">
        <v>99.67</v>
      </c>
      <c r="Q2314">
        <v>1007.78</v>
      </c>
      <c r="R2314">
        <v>786.29</v>
      </c>
      <c r="S2314">
        <v>221.49</v>
      </c>
    </row>
    <row r="2315" spans="1:19" x14ac:dyDescent="0.35">
      <c r="A2315">
        <v>201053</v>
      </c>
      <c r="B2315">
        <v>4823</v>
      </c>
      <c r="C2315" t="s">
        <v>28</v>
      </c>
      <c r="D2315" t="s">
        <v>29</v>
      </c>
      <c r="E2315" t="s">
        <v>26</v>
      </c>
      <c r="F2315" t="s">
        <v>37</v>
      </c>
      <c r="G2315" s="1">
        <v>45620</v>
      </c>
      <c r="H2315" s="1">
        <v>45625</v>
      </c>
      <c r="I2315" s="1">
        <v>45649</v>
      </c>
      <c r="J2315">
        <v>29</v>
      </c>
      <c r="K2315">
        <v>5</v>
      </c>
      <c r="L2315">
        <v>12</v>
      </c>
      <c r="M2315">
        <v>455.32</v>
      </c>
      <c r="N2315">
        <v>5463.84</v>
      </c>
      <c r="O2315">
        <v>0.16</v>
      </c>
      <c r="P2315">
        <v>874.21</v>
      </c>
      <c r="Q2315">
        <v>4589.63</v>
      </c>
      <c r="R2315">
        <v>3496.86</v>
      </c>
      <c r="S2315">
        <v>1092.77</v>
      </c>
    </row>
    <row r="2316" spans="1:19" x14ac:dyDescent="0.35">
      <c r="A2316">
        <v>201054</v>
      </c>
      <c r="B2316">
        <v>1488</v>
      </c>
      <c r="C2316" t="s">
        <v>28</v>
      </c>
      <c r="D2316" t="s">
        <v>31</v>
      </c>
      <c r="E2316" t="s">
        <v>34</v>
      </c>
      <c r="F2316" t="s">
        <v>35</v>
      </c>
      <c r="G2316" s="1">
        <v>45499</v>
      </c>
      <c r="H2316" s="1">
        <v>45502</v>
      </c>
      <c r="I2316" s="1">
        <v>45528</v>
      </c>
      <c r="J2316">
        <v>29</v>
      </c>
      <c r="K2316">
        <v>3</v>
      </c>
      <c r="L2316">
        <v>14</v>
      </c>
      <c r="M2316">
        <v>56.8</v>
      </c>
      <c r="N2316">
        <v>795.2</v>
      </c>
      <c r="O2316">
        <v>7.0000000000000007E-2</v>
      </c>
      <c r="P2316">
        <v>55.66</v>
      </c>
      <c r="Q2316">
        <v>739.54</v>
      </c>
      <c r="R2316">
        <v>461.22</v>
      </c>
      <c r="S2316">
        <v>278.32</v>
      </c>
    </row>
    <row r="2317" spans="1:19" x14ac:dyDescent="0.35">
      <c r="A2317">
        <v>201055</v>
      </c>
      <c r="B2317">
        <v>3661</v>
      </c>
      <c r="C2317" t="s">
        <v>33</v>
      </c>
      <c r="D2317" t="s">
        <v>31</v>
      </c>
      <c r="E2317" t="s">
        <v>34</v>
      </c>
      <c r="F2317" t="s">
        <v>40</v>
      </c>
      <c r="G2317" s="1">
        <v>45375</v>
      </c>
      <c r="H2317" s="1">
        <v>45376</v>
      </c>
      <c r="I2317" s="1">
        <v>45399</v>
      </c>
      <c r="J2317">
        <v>24</v>
      </c>
      <c r="K2317">
        <v>1</v>
      </c>
      <c r="L2317">
        <v>4</v>
      </c>
      <c r="M2317">
        <v>92.98</v>
      </c>
      <c r="N2317">
        <v>371.92</v>
      </c>
      <c r="O2317">
        <v>0.1</v>
      </c>
      <c r="P2317">
        <v>37.19</v>
      </c>
      <c r="Q2317">
        <v>334.73</v>
      </c>
      <c r="R2317">
        <v>215.71</v>
      </c>
      <c r="S2317">
        <v>119.02</v>
      </c>
    </row>
    <row r="2318" spans="1:19" x14ac:dyDescent="0.35">
      <c r="A2318">
        <v>201056</v>
      </c>
      <c r="B2318">
        <v>2053</v>
      </c>
      <c r="C2318" t="s">
        <v>28</v>
      </c>
      <c r="D2318" t="s">
        <v>29</v>
      </c>
      <c r="E2318" t="s">
        <v>24</v>
      </c>
      <c r="F2318" t="s">
        <v>30</v>
      </c>
      <c r="G2318" s="1">
        <v>45391</v>
      </c>
      <c r="H2318" s="1">
        <v>45395</v>
      </c>
      <c r="I2318" s="1">
        <v>45418</v>
      </c>
      <c r="J2318">
        <v>27</v>
      </c>
      <c r="K2318">
        <v>4</v>
      </c>
      <c r="L2318">
        <v>1</v>
      </c>
      <c r="M2318">
        <v>752.4</v>
      </c>
      <c r="N2318">
        <v>752.4</v>
      </c>
      <c r="O2318">
        <v>0.14000000000000001</v>
      </c>
      <c r="P2318">
        <v>105.34</v>
      </c>
      <c r="Q2318">
        <v>647.05999999999995</v>
      </c>
      <c r="R2318">
        <v>458.96</v>
      </c>
      <c r="S2318">
        <v>188.1</v>
      </c>
    </row>
    <row r="2319" spans="1:19" x14ac:dyDescent="0.35">
      <c r="A2319">
        <v>201057</v>
      </c>
      <c r="B2319">
        <v>1984</v>
      </c>
      <c r="C2319" t="s">
        <v>28</v>
      </c>
      <c r="D2319" t="s">
        <v>29</v>
      </c>
      <c r="E2319" t="s">
        <v>26</v>
      </c>
      <c r="F2319" t="s">
        <v>36</v>
      </c>
      <c r="G2319" s="1">
        <v>45557</v>
      </c>
      <c r="H2319" s="1">
        <v>45558</v>
      </c>
      <c r="I2319" s="1">
        <v>45577</v>
      </c>
      <c r="J2319">
        <v>20</v>
      </c>
      <c r="K2319">
        <v>1</v>
      </c>
      <c r="L2319">
        <v>13</v>
      </c>
      <c r="M2319">
        <v>135.85</v>
      </c>
      <c r="N2319">
        <v>1766.05</v>
      </c>
      <c r="O2319">
        <v>0.14000000000000001</v>
      </c>
      <c r="P2319">
        <v>247.25</v>
      </c>
      <c r="Q2319">
        <v>1518.8</v>
      </c>
      <c r="R2319">
        <v>1165.5899999999999</v>
      </c>
      <c r="S2319">
        <v>353.21</v>
      </c>
    </row>
    <row r="2320" spans="1:19" x14ac:dyDescent="0.35">
      <c r="A2320">
        <v>201058</v>
      </c>
      <c r="B2320">
        <v>4905</v>
      </c>
      <c r="C2320" t="s">
        <v>33</v>
      </c>
      <c r="D2320" t="s">
        <v>31</v>
      </c>
      <c r="E2320" t="s">
        <v>24</v>
      </c>
      <c r="F2320" t="s">
        <v>42</v>
      </c>
      <c r="G2320" s="1">
        <v>45470</v>
      </c>
      <c r="H2320" s="1">
        <v>45474</v>
      </c>
      <c r="I2320" s="1">
        <v>45496</v>
      </c>
      <c r="J2320">
        <v>26</v>
      </c>
      <c r="K2320">
        <v>4</v>
      </c>
      <c r="L2320">
        <v>1</v>
      </c>
      <c r="M2320">
        <v>684.46</v>
      </c>
      <c r="N2320">
        <v>684.46</v>
      </c>
      <c r="O2320">
        <v>0.18</v>
      </c>
      <c r="P2320">
        <v>123.2</v>
      </c>
      <c r="Q2320">
        <v>561.26</v>
      </c>
      <c r="R2320">
        <v>417.52</v>
      </c>
      <c r="S2320">
        <v>143.74</v>
      </c>
    </row>
    <row r="2321" spans="1:19" x14ac:dyDescent="0.35">
      <c r="A2321">
        <v>201059</v>
      </c>
      <c r="B2321">
        <v>4353</v>
      </c>
      <c r="C2321" t="s">
        <v>23</v>
      </c>
      <c r="D2321" t="s">
        <v>29</v>
      </c>
      <c r="E2321" t="s">
        <v>24</v>
      </c>
      <c r="F2321" t="s">
        <v>25</v>
      </c>
      <c r="G2321" s="1">
        <v>45439</v>
      </c>
      <c r="H2321" s="1">
        <v>45443</v>
      </c>
      <c r="I2321" s="1">
        <v>45466</v>
      </c>
      <c r="J2321">
        <v>27</v>
      </c>
      <c r="K2321">
        <v>4</v>
      </c>
      <c r="L2321">
        <v>2</v>
      </c>
      <c r="M2321">
        <v>644.80999999999995</v>
      </c>
      <c r="N2321">
        <v>1289.6199999999999</v>
      </c>
      <c r="O2321">
        <v>0.1</v>
      </c>
      <c r="P2321">
        <v>128.96</v>
      </c>
      <c r="Q2321">
        <v>1160.6600000000001</v>
      </c>
      <c r="R2321">
        <v>864.05</v>
      </c>
      <c r="S2321">
        <v>296.61</v>
      </c>
    </row>
    <row r="2322" spans="1:19" x14ac:dyDescent="0.35">
      <c r="A2322">
        <v>201060</v>
      </c>
      <c r="B2322">
        <v>4486</v>
      </c>
      <c r="C2322" t="s">
        <v>33</v>
      </c>
      <c r="D2322" t="s">
        <v>20</v>
      </c>
      <c r="E2322" t="s">
        <v>24</v>
      </c>
      <c r="F2322" t="s">
        <v>42</v>
      </c>
      <c r="G2322" s="1">
        <v>45498</v>
      </c>
      <c r="H2322" s="1">
        <v>45501</v>
      </c>
      <c r="I2322" s="1">
        <v>45514</v>
      </c>
      <c r="J2322">
        <v>16</v>
      </c>
      <c r="K2322">
        <v>3</v>
      </c>
      <c r="L2322">
        <v>14</v>
      </c>
      <c r="M2322">
        <v>581.54</v>
      </c>
      <c r="N2322">
        <v>8141.56</v>
      </c>
      <c r="O2322">
        <v>0.13</v>
      </c>
      <c r="P2322">
        <v>1058.4000000000001</v>
      </c>
      <c r="Q2322">
        <v>7083.16</v>
      </c>
      <c r="R2322">
        <v>4803.5200000000004</v>
      </c>
      <c r="S2322">
        <v>2279.64</v>
      </c>
    </row>
    <row r="2323" spans="1:19" x14ac:dyDescent="0.35">
      <c r="A2323">
        <v>201061</v>
      </c>
      <c r="B2323">
        <v>2240</v>
      </c>
      <c r="C2323" t="s">
        <v>19</v>
      </c>
      <c r="D2323" t="s">
        <v>29</v>
      </c>
      <c r="E2323" t="s">
        <v>26</v>
      </c>
      <c r="F2323" t="s">
        <v>27</v>
      </c>
      <c r="G2323" s="1">
        <v>45544</v>
      </c>
      <c r="H2323" s="1">
        <v>45545</v>
      </c>
      <c r="I2323" s="1">
        <v>45552</v>
      </c>
      <c r="J2323">
        <v>8</v>
      </c>
      <c r="K2323">
        <v>1</v>
      </c>
      <c r="L2323">
        <v>7</v>
      </c>
      <c r="M2323">
        <v>454.15</v>
      </c>
      <c r="N2323">
        <v>3179.05</v>
      </c>
      <c r="O2323">
        <v>0.15</v>
      </c>
      <c r="P2323">
        <v>476.86</v>
      </c>
      <c r="Q2323">
        <v>2702.19</v>
      </c>
      <c r="R2323">
        <v>2098.17</v>
      </c>
      <c r="S2323">
        <v>604.02</v>
      </c>
    </row>
    <row r="2324" spans="1:19" x14ac:dyDescent="0.35">
      <c r="A2324">
        <v>201062</v>
      </c>
      <c r="B2324">
        <v>3253</v>
      </c>
      <c r="C2324" t="s">
        <v>28</v>
      </c>
      <c r="D2324" t="s">
        <v>31</v>
      </c>
      <c r="E2324" t="s">
        <v>21</v>
      </c>
      <c r="F2324" t="s">
        <v>41</v>
      </c>
      <c r="G2324" s="1">
        <v>45509</v>
      </c>
      <c r="H2324" s="1">
        <v>45513</v>
      </c>
      <c r="I2324" s="1">
        <v>45534</v>
      </c>
      <c r="J2324">
        <v>25</v>
      </c>
      <c r="K2324">
        <v>4</v>
      </c>
      <c r="L2324">
        <v>4</v>
      </c>
      <c r="M2324">
        <v>618.96</v>
      </c>
      <c r="N2324">
        <v>2475.84</v>
      </c>
      <c r="O2324">
        <v>0.16</v>
      </c>
      <c r="P2324">
        <v>396.13</v>
      </c>
      <c r="Q2324">
        <v>2079.71</v>
      </c>
      <c r="R2324">
        <v>1535.02</v>
      </c>
      <c r="S2324">
        <v>544.69000000000005</v>
      </c>
    </row>
    <row r="2325" spans="1:19" x14ac:dyDescent="0.35">
      <c r="A2325">
        <v>201063</v>
      </c>
      <c r="B2325">
        <v>2001</v>
      </c>
      <c r="C2325" t="s">
        <v>33</v>
      </c>
      <c r="D2325" t="s">
        <v>29</v>
      </c>
      <c r="E2325" t="s">
        <v>21</v>
      </c>
      <c r="F2325" t="s">
        <v>22</v>
      </c>
      <c r="G2325" s="1">
        <v>45432</v>
      </c>
      <c r="H2325" s="1">
        <v>45436</v>
      </c>
      <c r="I2325" s="1">
        <v>45453</v>
      </c>
      <c r="J2325">
        <v>21</v>
      </c>
      <c r="K2325">
        <v>4</v>
      </c>
      <c r="L2325">
        <v>11</v>
      </c>
      <c r="M2325">
        <v>671.94</v>
      </c>
      <c r="N2325">
        <v>7391.34</v>
      </c>
      <c r="O2325">
        <v>0.08</v>
      </c>
      <c r="P2325">
        <v>591.30999999999995</v>
      </c>
      <c r="Q2325">
        <v>6800.03</v>
      </c>
      <c r="R2325">
        <v>4582.63</v>
      </c>
      <c r="S2325">
        <v>2217.4</v>
      </c>
    </row>
    <row r="2326" spans="1:19" x14ac:dyDescent="0.35">
      <c r="A2326">
        <v>201064</v>
      </c>
      <c r="B2326">
        <v>3899</v>
      </c>
      <c r="C2326" t="s">
        <v>33</v>
      </c>
      <c r="D2326" t="s">
        <v>20</v>
      </c>
      <c r="E2326" t="s">
        <v>34</v>
      </c>
      <c r="F2326" t="s">
        <v>45</v>
      </c>
      <c r="G2326" s="1">
        <v>45615</v>
      </c>
      <c r="H2326" s="1">
        <v>45618</v>
      </c>
      <c r="I2326" s="1">
        <v>45644</v>
      </c>
      <c r="J2326">
        <v>29</v>
      </c>
      <c r="K2326">
        <v>3</v>
      </c>
      <c r="L2326">
        <v>13</v>
      </c>
      <c r="M2326">
        <v>630.71</v>
      </c>
      <c r="N2326">
        <v>8199.23</v>
      </c>
      <c r="O2326">
        <v>0.14000000000000001</v>
      </c>
      <c r="P2326">
        <v>1147.8900000000001</v>
      </c>
      <c r="Q2326">
        <v>7051.34</v>
      </c>
      <c r="R2326">
        <v>4427.58</v>
      </c>
      <c r="S2326">
        <v>2623.76</v>
      </c>
    </row>
    <row r="2327" spans="1:19" x14ac:dyDescent="0.35">
      <c r="A2327">
        <v>201065</v>
      </c>
      <c r="B2327">
        <v>2191</v>
      </c>
      <c r="C2327" t="s">
        <v>33</v>
      </c>
      <c r="D2327" t="s">
        <v>29</v>
      </c>
      <c r="E2327" t="s">
        <v>26</v>
      </c>
      <c r="F2327" t="s">
        <v>36</v>
      </c>
      <c r="G2327" s="1">
        <v>45469</v>
      </c>
      <c r="H2327" s="1">
        <v>45474</v>
      </c>
      <c r="I2327" s="1">
        <v>45475</v>
      </c>
      <c r="J2327">
        <v>6</v>
      </c>
      <c r="K2327">
        <v>5</v>
      </c>
      <c r="L2327">
        <v>1</v>
      </c>
      <c r="M2327">
        <v>701.69</v>
      </c>
      <c r="N2327">
        <v>701.69</v>
      </c>
      <c r="O2327">
        <v>0.22</v>
      </c>
      <c r="P2327">
        <v>154.37</v>
      </c>
      <c r="Q2327">
        <v>547.32000000000005</v>
      </c>
      <c r="R2327">
        <v>406.98</v>
      </c>
      <c r="S2327">
        <v>140.34</v>
      </c>
    </row>
    <row r="2328" spans="1:19" x14ac:dyDescent="0.35">
      <c r="A2328">
        <v>201066</v>
      </c>
      <c r="B2328">
        <v>3845</v>
      </c>
      <c r="C2328" t="s">
        <v>23</v>
      </c>
      <c r="D2328" t="s">
        <v>31</v>
      </c>
      <c r="E2328" t="s">
        <v>26</v>
      </c>
      <c r="F2328" t="s">
        <v>36</v>
      </c>
      <c r="G2328" s="1">
        <v>45588</v>
      </c>
      <c r="H2328" s="1">
        <v>45589</v>
      </c>
      <c r="I2328" s="1">
        <v>45598</v>
      </c>
      <c r="J2328">
        <v>10</v>
      </c>
      <c r="K2328">
        <v>1</v>
      </c>
      <c r="L2328">
        <v>6</v>
      </c>
      <c r="M2328">
        <v>296.77</v>
      </c>
      <c r="N2328">
        <v>1780.62</v>
      </c>
      <c r="O2328">
        <v>0.15</v>
      </c>
      <c r="P2328">
        <v>267.08999999999997</v>
      </c>
      <c r="Q2328">
        <v>1513.53</v>
      </c>
      <c r="R2328">
        <v>1264.24</v>
      </c>
      <c r="S2328">
        <v>249.29</v>
      </c>
    </row>
    <row r="2329" spans="1:19" x14ac:dyDescent="0.35">
      <c r="A2329">
        <v>201067</v>
      </c>
      <c r="B2329">
        <v>2397</v>
      </c>
      <c r="C2329" t="s">
        <v>28</v>
      </c>
      <c r="D2329" t="s">
        <v>29</v>
      </c>
      <c r="E2329" t="s">
        <v>26</v>
      </c>
      <c r="F2329" t="s">
        <v>37</v>
      </c>
      <c r="G2329" s="1">
        <v>45537</v>
      </c>
      <c r="H2329" s="1">
        <v>45538</v>
      </c>
      <c r="I2329" s="1">
        <v>45542</v>
      </c>
      <c r="J2329">
        <v>5</v>
      </c>
      <c r="K2329">
        <v>1</v>
      </c>
      <c r="L2329">
        <v>8</v>
      </c>
      <c r="M2329">
        <v>457.83</v>
      </c>
      <c r="N2329">
        <v>3662.64</v>
      </c>
      <c r="O2329">
        <v>0.21</v>
      </c>
      <c r="P2329">
        <v>769.15</v>
      </c>
      <c r="Q2329">
        <v>2893.49</v>
      </c>
      <c r="R2329">
        <v>2453.9699999999998</v>
      </c>
      <c r="S2329">
        <v>439.52</v>
      </c>
    </row>
    <row r="2330" spans="1:19" x14ac:dyDescent="0.35">
      <c r="A2330">
        <v>201068</v>
      </c>
      <c r="B2330">
        <v>2708</v>
      </c>
      <c r="C2330" t="s">
        <v>28</v>
      </c>
      <c r="D2330" t="s">
        <v>29</v>
      </c>
      <c r="E2330" t="s">
        <v>26</v>
      </c>
      <c r="F2330" t="s">
        <v>44</v>
      </c>
      <c r="G2330" s="1">
        <v>45578</v>
      </c>
      <c r="H2330" s="1">
        <v>45580</v>
      </c>
      <c r="I2330" s="1">
        <v>45596</v>
      </c>
      <c r="J2330">
        <v>18</v>
      </c>
      <c r="K2330">
        <v>2</v>
      </c>
      <c r="L2330">
        <v>9</v>
      </c>
      <c r="M2330">
        <v>248.86</v>
      </c>
      <c r="N2330">
        <v>2239.7399999999998</v>
      </c>
      <c r="O2330">
        <v>0.1</v>
      </c>
      <c r="P2330">
        <v>223.97</v>
      </c>
      <c r="Q2330">
        <v>2015.77</v>
      </c>
      <c r="R2330">
        <v>1254.25</v>
      </c>
      <c r="S2330">
        <v>761.52</v>
      </c>
    </row>
    <row r="2331" spans="1:19" x14ac:dyDescent="0.35">
      <c r="A2331">
        <v>201069</v>
      </c>
      <c r="B2331">
        <v>1316</v>
      </c>
      <c r="C2331" t="s">
        <v>23</v>
      </c>
      <c r="D2331" t="s">
        <v>31</v>
      </c>
      <c r="E2331" t="s">
        <v>34</v>
      </c>
      <c r="F2331" t="s">
        <v>43</v>
      </c>
      <c r="G2331" s="1">
        <v>45503</v>
      </c>
      <c r="H2331" s="1">
        <v>45507</v>
      </c>
      <c r="I2331" s="1">
        <v>45528</v>
      </c>
      <c r="J2331">
        <v>25</v>
      </c>
      <c r="K2331">
        <v>4</v>
      </c>
      <c r="L2331">
        <v>12</v>
      </c>
      <c r="M2331">
        <v>680.99</v>
      </c>
      <c r="N2331">
        <v>8171.88</v>
      </c>
      <c r="O2331">
        <v>0.03</v>
      </c>
      <c r="P2331">
        <v>245.16</v>
      </c>
      <c r="Q2331">
        <v>7926.72</v>
      </c>
      <c r="R2331">
        <v>5556.88</v>
      </c>
      <c r="S2331">
        <v>2369.84</v>
      </c>
    </row>
    <row r="2332" spans="1:19" x14ac:dyDescent="0.35">
      <c r="A2332">
        <v>201070</v>
      </c>
      <c r="B2332">
        <v>1002</v>
      </c>
      <c r="C2332" t="s">
        <v>33</v>
      </c>
      <c r="D2332" t="s">
        <v>31</v>
      </c>
      <c r="E2332" t="s">
        <v>21</v>
      </c>
      <c r="F2332" t="s">
        <v>41</v>
      </c>
      <c r="G2332" s="1">
        <v>45326</v>
      </c>
      <c r="H2332" s="1">
        <v>45327</v>
      </c>
      <c r="I2332" s="1">
        <v>45350</v>
      </c>
      <c r="J2332">
        <v>24</v>
      </c>
      <c r="K2332">
        <v>1</v>
      </c>
      <c r="L2332">
        <v>14</v>
      </c>
      <c r="M2332">
        <v>10.76</v>
      </c>
      <c r="N2332">
        <v>150.63999999999999</v>
      </c>
      <c r="O2332">
        <v>0.11</v>
      </c>
      <c r="P2332">
        <v>16.57</v>
      </c>
      <c r="Q2332">
        <v>134.07</v>
      </c>
      <c r="R2332">
        <v>111.47</v>
      </c>
      <c r="S2332">
        <v>22.6</v>
      </c>
    </row>
    <row r="2333" spans="1:19" x14ac:dyDescent="0.35">
      <c r="A2333">
        <v>201071</v>
      </c>
      <c r="B2333">
        <v>3377</v>
      </c>
      <c r="C2333" t="s">
        <v>28</v>
      </c>
      <c r="D2333" t="s">
        <v>20</v>
      </c>
      <c r="E2333" t="s">
        <v>24</v>
      </c>
      <c r="F2333" t="s">
        <v>32</v>
      </c>
      <c r="G2333" s="1">
        <v>45379</v>
      </c>
      <c r="H2333" s="1">
        <v>45384</v>
      </c>
      <c r="I2333" s="1">
        <v>45407</v>
      </c>
      <c r="J2333">
        <v>28</v>
      </c>
      <c r="K2333">
        <v>5</v>
      </c>
      <c r="L2333">
        <v>2</v>
      </c>
      <c r="M2333">
        <v>243.05</v>
      </c>
      <c r="N2333">
        <v>486.1</v>
      </c>
      <c r="O2333">
        <v>0.09</v>
      </c>
      <c r="P2333">
        <v>43.75</v>
      </c>
      <c r="Q2333">
        <v>442.35</v>
      </c>
      <c r="R2333">
        <v>349.99</v>
      </c>
      <c r="S2333">
        <v>92.36</v>
      </c>
    </row>
    <row r="2334" spans="1:19" x14ac:dyDescent="0.35">
      <c r="A2334">
        <v>201072</v>
      </c>
      <c r="B2334">
        <v>4163</v>
      </c>
      <c r="C2334" t="s">
        <v>33</v>
      </c>
      <c r="D2334" t="s">
        <v>31</v>
      </c>
      <c r="E2334" t="s">
        <v>21</v>
      </c>
      <c r="F2334" t="s">
        <v>38</v>
      </c>
      <c r="G2334" s="1">
        <v>45319</v>
      </c>
      <c r="H2334" s="1">
        <v>45323</v>
      </c>
      <c r="I2334" s="1">
        <v>45322</v>
      </c>
      <c r="J2334">
        <v>3</v>
      </c>
      <c r="K2334">
        <v>4</v>
      </c>
      <c r="L2334">
        <v>11</v>
      </c>
      <c r="M2334">
        <v>32.65</v>
      </c>
      <c r="N2334">
        <v>359.15</v>
      </c>
      <c r="O2334">
        <v>0.08</v>
      </c>
      <c r="P2334">
        <v>28.73</v>
      </c>
      <c r="Q2334">
        <v>330.42</v>
      </c>
      <c r="R2334">
        <v>237.04</v>
      </c>
      <c r="S2334">
        <v>93.38</v>
      </c>
    </row>
    <row r="2335" spans="1:19" x14ac:dyDescent="0.35">
      <c r="A2335">
        <v>201073</v>
      </c>
      <c r="B2335">
        <v>4544</v>
      </c>
      <c r="C2335" t="s">
        <v>19</v>
      </c>
      <c r="D2335" t="s">
        <v>29</v>
      </c>
      <c r="E2335" t="s">
        <v>24</v>
      </c>
      <c r="F2335" t="s">
        <v>42</v>
      </c>
      <c r="G2335" s="1">
        <v>45575</v>
      </c>
      <c r="H2335" s="1">
        <v>45579</v>
      </c>
      <c r="I2335" s="1">
        <v>45581</v>
      </c>
      <c r="J2335">
        <v>6</v>
      </c>
      <c r="K2335">
        <v>4</v>
      </c>
      <c r="L2335">
        <v>5</v>
      </c>
      <c r="M2335">
        <v>12.68</v>
      </c>
      <c r="N2335">
        <v>63.4</v>
      </c>
      <c r="O2335">
        <v>0.23</v>
      </c>
      <c r="P2335">
        <v>14.58</v>
      </c>
      <c r="Q2335">
        <v>48.82</v>
      </c>
      <c r="R2335">
        <v>41.84</v>
      </c>
      <c r="S2335">
        <v>6.98</v>
      </c>
    </row>
    <row r="2336" spans="1:19" x14ac:dyDescent="0.35">
      <c r="A2336">
        <v>201074</v>
      </c>
      <c r="B2336">
        <v>2935</v>
      </c>
      <c r="C2336" t="s">
        <v>23</v>
      </c>
      <c r="D2336" t="s">
        <v>20</v>
      </c>
      <c r="E2336" t="s">
        <v>21</v>
      </c>
      <c r="F2336" t="s">
        <v>41</v>
      </c>
      <c r="G2336" s="1">
        <v>45535</v>
      </c>
      <c r="H2336" s="1">
        <v>45540</v>
      </c>
      <c r="I2336" s="1">
        <v>45544</v>
      </c>
      <c r="J2336">
        <v>9</v>
      </c>
      <c r="K2336">
        <v>5</v>
      </c>
      <c r="L2336">
        <v>10</v>
      </c>
      <c r="M2336">
        <v>679.23</v>
      </c>
      <c r="N2336">
        <v>6792.3</v>
      </c>
      <c r="O2336">
        <v>0.09</v>
      </c>
      <c r="P2336">
        <v>611.30999999999995</v>
      </c>
      <c r="Q2336">
        <v>6180.99</v>
      </c>
      <c r="R2336">
        <v>4143.3</v>
      </c>
      <c r="S2336">
        <v>2037.69</v>
      </c>
    </row>
    <row r="2337" spans="1:19" x14ac:dyDescent="0.35">
      <c r="A2337">
        <v>201075</v>
      </c>
      <c r="B2337">
        <v>4854</v>
      </c>
      <c r="C2337" t="s">
        <v>23</v>
      </c>
      <c r="D2337" t="s">
        <v>20</v>
      </c>
      <c r="E2337" t="s">
        <v>21</v>
      </c>
      <c r="F2337" t="s">
        <v>22</v>
      </c>
      <c r="G2337" s="1">
        <v>45642</v>
      </c>
      <c r="H2337" s="1">
        <v>45644</v>
      </c>
      <c r="I2337" s="1">
        <v>45647</v>
      </c>
      <c r="J2337">
        <v>5</v>
      </c>
      <c r="K2337">
        <v>2</v>
      </c>
      <c r="L2337">
        <v>14</v>
      </c>
      <c r="M2337">
        <v>580.46</v>
      </c>
      <c r="N2337">
        <v>8126.44</v>
      </c>
      <c r="O2337">
        <v>0.11</v>
      </c>
      <c r="P2337">
        <v>893.91</v>
      </c>
      <c r="Q2337">
        <v>7232.53</v>
      </c>
      <c r="R2337">
        <v>4713.34</v>
      </c>
      <c r="S2337">
        <v>2519.19</v>
      </c>
    </row>
    <row r="2338" spans="1:19" x14ac:dyDescent="0.35">
      <c r="A2338">
        <v>201076</v>
      </c>
      <c r="B2338">
        <v>1188</v>
      </c>
      <c r="C2338" t="s">
        <v>19</v>
      </c>
      <c r="D2338" t="s">
        <v>20</v>
      </c>
      <c r="E2338" t="s">
        <v>26</v>
      </c>
      <c r="F2338" t="s">
        <v>27</v>
      </c>
      <c r="G2338" s="1">
        <v>45622</v>
      </c>
      <c r="H2338" s="1">
        <v>45625</v>
      </c>
      <c r="I2338" s="1">
        <v>45645</v>
      </c>
      <c r="J2338">
        <v>23</v>
      </c>
      <c r="K2338">
        <v>3</v>
      </c>
      <c r="L2338">
        <v>7</v>
      </c>
      <c r="M2338">
        <v>81.27</v>
      </c>
      <c r="N2338">
        <v>568.89</v>
      </c>
      <c r="O2338">
        <v>7.0000000000000007E-2</v>
      </c>
      <c r="P2338">
        <v>39.82</v>
      </c>
      <c r="Q2338">
        <v>529.07000000000005</v>
      </c>
      <c r="R2338">
        <v>409.6</v>
      </c>
      <c r="S2338">
        <v>119.47</v>
      </c>
    </row>
    <row r="2339" spans="1:19" x14ac:dyDescent="0.35">
      <c r="A2339">
        <v>201077</v>
      </c>
      <c r="B2339">
        <v>1397</v>
      </c>
      <c r="C2339" t="s">
        <v>19</v>
      </c>
      <c r="D2339" t="s">
        <v>31</v>
      </c>
      <c r="E2339" t="s">
        <v>26</v>
      </c>
      <c r="F2339" t="s">
        <v>27</v>
      </c>
      <c r="G2339" s="1">
        <v>45483</v>
      </c>
      <c r="H2339" s="1">
        <v>45484</v>
      </c>
      <c r="I2339" s="1">
        <v>45490</v>
      </c>
      <c r="J2339">
        <v>7</v>
      </c>
      <c r="K2339">
        <v>1</v>
      </c>
      <c r="L2339">
        <v>10</v>
      </c>
      <c r="M2339">
        <v>722.94</v>
      </c>
      <c r="N2339">
        <v>7229.4</v>
      </c>
      <c r="O2339">
        <v>0.15</v>
      </c>
      <c r="P2339">
        <v>1084.4100000000001</v>
      </c>
      <c r="Q2339">
        <v>6144.99</v>
      </c>
      <c r="R2339">
        <v>4626.82</v>
      </c>
      <c r="S2339">
        <v>1518.17</v>
      </c>
    </row>
    <row r="2340" spans="1:19" x14ac:dyDescent="0.35">
      <c r="A2340">
        <v>201078</v>
      </c>
      <c r="B2340">
        <v>3709</v>
      </c>
      <c r="C2340" t="s">
        <v>28</v>
      </c>
      <c r="D2340" t="s">
        <v>29</v>
      </c>
      <c r="E2340" t="s">
        <v>21</v>
      </c>
      <c r="F2340" t="s">
        <v>41</v>
      </c>
      <c r="G2340" s="1">
        <v>45315</v>
      </c>
      <c r="H2340" s="1">
        <v>45317</v>
      </c>
      <c r="I2340" s="1">
        <v>45341</v>
      </c>
      <c r="J2340">
        <v>26</v>
      </c>
      <c r="K2340">
        <v>2</v>
      </c>
      <c r="L2340">
        <v>7</v>
      </c>
      <c r="M2340">
        <v>700.03</v>
      </c>
      <c r="N2340">
        <v>4900.21</v>
      </c>
      <c r="O2340">
        <v>0.11</v>
      </c>
      <c r="P2340">
        <v>539.02</v>
      </c>
      <c r="Q2340">
        <v>4361.1899999999996</v>
      </c>
      <c r="R2340">
        <v>2940.13</v>
      </c>
      <c r="S2340">
        <v>1421.06</v>
      </c>
    </row>
    <row r="2341" spans="1:19" x14ac:dyDescent="0.35">
      <c r="A2341">
        <v>201079</v>
      </c>
      <c r="B2341">
        <v>1891</v>
      </c>
      <c r="C2341" t="s">
        <v>33</v>
      </c>
      <c r="D2341" t="s">
        <v>29</v>
      </c>
      <c r="E2341" t="s">
        <v>26</v>
      </c>
      <c r="F2341" t="s">
        <v>27</v>
      </c>
      <c r="G2341" s="1">
        <v>45642</v>
      </c>
      <c r="H2341" s="1">
        <v>45647</v>
      </c>
      <c r="I2341" s="1">
        <v>45653</v>
      </c>
      <c r="J2341">
        <v>11</v>
      </c>
      <c r="K2341">
        <v>5</v>
      </c>
      <c r="L2341">
        <v>8</v>
      </c>
      <c r="M2341">
        <v>511.33</v>
      </c>
      <c r="N2341">
        <v>4090.64</v>
      </c>
      <c r="O2341">
        <v>7.0000000000000007E-2</v>
      </c>
      <c r="P2341">
        <v>286.33999999999997</v>
      </c>
      <c r="Q2341">
        <v>3804.3</v>
      </c>
      <c r="R2341">
        <v>2658.92</v>
      </c>
      <c r="S2341">
        <v>1145.3800000000001</v>
      </c>
    </row>
    <row r="2342" spans="1:19" x14ac:dyDescent="0.35">
      <c r="A2342">
        <v>201080</v>
      </c>
      <c r="B2342">
        <v>4562</v>
      </c>
      <c r="C2342" t="s">
        <v>28</v>
      </c>
      <c r="D2342" t="s">
        <v>29</v>
      </c>
      <c r="E2342" t="s">
        <v>26</v>
      </c>
      <c r="F2342" t="s">
        <v>36</v>
      </c>
      <c r="G2342" s="1">
        <v>45657</v>
      </c>
      <c r="H2342" s="1">
        <v>45662</v>
      </c>
      <c r="I2342" s="1">
        <v>45669</v>
      </c>
      <c r="J2342">
        <v>12</v>
      </c>
      <c r="K2342">
        <v>5</v>
      </c>
      <c r="L2342">
        <v>4</v>
      </c>
      <c r="M2342">
        <v>525.55999999999995</v>
      </c>
      <c r="N2342">
        <v>2102.2399999999998</v>
      </c>
      <c r="O2342">
        <v>0.14000000000000001</v>
      </c>
      <c r="P2342">
        <v>294.31</v>
      </c>
      <c r="Q2342">
        <v>1807.93</v>
      </c>
      <c r="R2342">
        <v>1156.23</v>
      </c>
      <c r="S2342">
        <v>651.70000000000005</v>
      </c>
    </row>
    <row r="2343" spans="1:19" x14ac:dyDescent="0.35">
      <c r="A2343">
        <v>201081</v>
      </c>
      <c r="B2343">
        <v>4241</v>
      </c>
      <c r="C2343" t="s">
        <v>33</v>
      </c>
      <c r="D2343" t="s">
        <v>20</v>
      </c>
      <c r="E2343" t="s">
        <v>24</v>
      </c>
      <c r="F2343" t="s">
        <v>25</v>
      </c>
      <c r="G2343" s="1">
        <v>45509</v>
      </c>
      <c r="H2343" s="1">
        <v>45510</v>
      </c>
      <c r="I2343" s="1">
        <v>45531</v>
      </c>
      <c r="J2343">
        <v>22</v>
      </c>
      <c r="K2343">
        <v>1</v>
      </c>
      <c r="L2343">
        <v>2</v>
      </c>
      <c r="M2343">
        <v>382.76</v>
      </c>
      <c r="N2343">
        <v>765.52</v>
      </c>
      <c r="O2343">
        <v>0.17</v>
      </c>
      <c r="P2343">
        <v>130.13999999999999</v>
      </c>
      <c r="Q2343">
        <v>635.38</v>
      </c>
      <c r="R2343">
        <v>489.93</v>
      </c>
      <c r="S2343">
        <v>145.44999999999999</v>
      </c>
    </row>
    <row r="2344" spans="1:19" x14ac:dyDescent="0.35">
      <c r="A2344">
        <v>201082</v>
      </c>
      <c r="B2344">
        <v>3127</v>
      </c>
      <c r="C2344" t="s">
        <v>28</v>
      </c>
      <c r="D2344" t="s">
        <v>20</v>
      </c>
      <c r="E2344" t="s">
        <v>21</v>
      </c>
      <c r="F2344" t="s">
        <v>41</v>
      </c>
      <c r="G2344" s="1">
        <v>45391</v>
      </c>
      <c r="H2344" s="1">
        <v>45394</v>
      </c>
      <c r="I2344" s="1">
        <v>45403</v>
      </c>
      <c r="J2344">
        <v>12</v>
      </c>
      <c r="K2344">
        <v>3</v>
      </c>
      <c r="L2344">
        <v>1</v>
      </c>
      <c r="M2344">
        <v>416.46</v>
      </c>
      <c r="N2344">
        <v>416.46</v>
      </c>
      <c r="O2344">
        <v>0.18</v>
      </c>
      <c r="P2344">
        <v>74.959999999999994</v>
      </c>
      <c r="Q2344">
        <v>341.5</v>
      </c>
      <c r="R2344">
        <v>279.02999999999997</v>
      </c>
      <c r="S2344">
        <v>62.47</v>
      </c>
    </row>
    <row r="2345" spans="1:19" x14ac:dyDescent="0.35">
      <c r="A2345">
        <v>201083</v>
      </c>
      <c r="B2345">
        <v>2701</v>
      </c>
      <c r="C2345" t="s">
        <v>33</v>
      </c>
      <c r="D2345" t="s">
        <v>31</v>
      </c>
      <c r="E2345" t="s">
        <v>24</v>
      </c>
      <c r="F2345" t="s">
        <v>30</v>
      </c>
      <c r="G2345" s="1">
        <v>45345</v>
      </c>
      <c r="H2345" s="1">
        <v>45346</v>
      </c>
      <c r="I2345" s="1">
        <v>45363</v>
      </c>
      <c r="J2345">
        <v>18</v>
      </c>
      <c r="K2345">
        <v>1</v>
      </c>
      <c r="L2345">
        <v>5</v>
      </c>
      <c r="M2345">
        <v>349.46</v>
      </c>
      <c r="N2345">
        <v>1747.3</v>
      </c>
      <c r="O2345">
        <v>0.08</v>
      </c>
      <c r="P2345">
        <v>139.78</v>
      </c>
      <c r="Q2345">
        <v>1607.52</v>
      </c>
      <c r="R2345">
        <v>1188.1600000000001</v>
      </c>
      <c r="S2345">
        <v>419.36</v>
      </c>
    </row>
    <row r="2346" spans="1:19" x14ac:dyDescent="0.35">
      <c r="A2346">
        <v>201084</v>
      </c>
      <c r="B2346">
        <v>3930</v>
      </c>
      <c r="C2346" t="s">
        <v>23</v>
      </c>
      <c r="D2346" t="s">
        <v>29</v>
      </c>
      <c r="E2346" t="s">
        <v>34</v>
      </c>
      <c r="F2346" t="s">
        <v>35</v>
      </c>
      <c r="G2346" s="1">
        <v>45376</v>
      </c>
      <c r="H2346" s="1">
        <v>45380</v>
      </c>
      <c r="I2346" s="1">
        <v>45397</v>
      </c>
      <c r="J2346">
        <v>21</v>
      </c>
      <c r="K2346">
        <v>4</v>
      </c>
      <c r="L2346">
        <v>5</v>
      </c>
      <c r="M2346">
        <v>713</v>
      </c>
      <c r="N2346">
        <v>3565</v>
      </c>
      <c r="O2346">
        <v>0.13</v>
      </c>
      <c r="P2346">
        <v>463.45</v>
      </c>
      <c r="Q2346">
        <v>3101.55</v>
      </c>
      <c r="R2346">
        <v>2103.35</v>
      </c>
      <c r="S2346">
        <v>998.2</v>
      </c>
    </row>
    <row r="2347" spans="1:19" x14ac:dyDescent="0.35">
      <c r="A2347">
        <v>201085</v>
      </c>
      <c r="B2347">
        <v>4165</v>
      </c>
      <c r="C2347" t="s">
        <v>28</v>
      </c>
      <c r="D2347" t="s">
        <v>31</v>
      </c>
      <c r="E2347" t="s">
        <v>34</v>
      </c>
      <c r="F2347" t="s">
        <v>40</v>
      </c>
      <c r="G2347" s="1">
        <v>45469</v>
      </c>
      <c r="H2347" s="1">
        <v>45474</v>
      </c>
      <c r="I2347" s="1">
        <v>45489</v>
      </c>
      <c r="J2347">
        <v>20</v>
      </c>
      <c r="K2347">
        <v>5</v>
      </c>
      <c r="L2347">
        <v>5</v>
      </c>
      <c r="M2347">
        <v>796.71</v>
      </c>
      <c r="N2347">
        <v>3983.55</v>
      </c>
      <c r="O2347">
        <v>0.12</v>
      </c>
      <c r="P2347">
        <v>478.03</v>
      </c>
      <c r="Q2347">
        <v>3505.52</v>
      </c>
      <c r="R2347">
        <v>2668.98</v>
      </c>
      <c r="S2347">
        <v>836.54</v>
      </c>
    </row>
    <row r="2348" spans="1:19" x14ac:dyDescent="0.35">
      <c r="A2348">
        <v>201086</v>
      </c>
      <c r="B2348">
        <v>2231</v>
      </c>
      <c r="C2348" t="s">
        <v>23</v>
      </c>
      <c r="D2348" t="s">
        <v>31</v>
      </c>
      <c r="E2348" t="s">
        <v>34</v>
      </c>
      <c r="F2348" t="s">
        <v>35</v>
      </c>
      <c r="G2348" s="1">
        <v>45510</v>
      </c>
      <c r="H2348" s="1">
        <v>45514</v>
      </c>
      <c r="I2348" s="1">
        <v>45534</v>
      </c>
      <c r="J2348">
        <v>24</v>
      </c>
      <c r="K2348">
        <v>4</v>
      </c>
      <c r="L2348">
        <v>2</v>
      </c>
      <c r="M2348">
        <v>287.98</v>
      </c>
      <c r="N2348">
        <v>575.96</v>
      </c>
      <c r="O2348">
        <v>0.13</v>
      </c>
      <c r="P2348">
        <v>74.87</v>
      </c>
      <c r="Q2348">
        <v>501.09</v>
      </c>
      <c r="R2348">
        <v>426.21</v>
      </c>
      <c r="S2348">
        <v>74.88</v>
      </c>
    </row>
    <row r="2349" spans="1:19" x14ac:dyDescent="0.35">
      <c r="A2349">
        <v>201087</v>
      </c>
      <c r="B2349">
        <v>3358</v>
      </c>
      <c r="C2349" t="s">
        <v>33</v>
      </c>
      <c r="D2349" t="s">
        <v>31</v>
      </c>
      <c r="E2349" t="s">
        <v>21</v>
      </c>
      <c r="F2349" t="s">
        <v>22</v>
      </c>
      <c r="G2349" s="1">
        <v>45653</v>
      </c>
      <c r="H2349" s="1">
        <v>45656</v>
      </c>
      <c r="I2349" s="1">
        <v>45679</v>
      </c>
      <c r="J2349">
        <v>26</v>
      </c>
      <c r="K2349">
        <v>3</v>
      </c>
      <c r="L2349">
        <v>12</v>
      </c>
      <c r="M2349">
        <v>307.49</v>
      </c>
      <c r="N2349">
        <v>3689.88</v>
      </c>
      <c r="O2349">
        <v>0.08</v>
      </c>
      <c r="P2349">
        <v>295.19</v>
      </c>
      <c r="Q2349">
        <v>3394.69</v>
      </c>
      <c r="R2349">
        <v>2398.42</v>
      </c>
      <c r="S2349">
        <v>996.27</v>
      </c>
    </row>
    <row r="2350" spans="1:19" x14ac:dyDescent="0.35">
      <c r="A2350">
        <v>201088</v>
      </c>
      <c r="B2350">
        <v>2309</v>
      </c>
      <c r="C2350" t="s">
        <v>28</v>
      </c>
      <c r="D2350" t="s">
        <v>20</v>
      </c>
      <c r="E2350" t="s">
        <v>26</v>
      </c>
      <c r="F2350" t="s">
        <v>27</v>
      </c>
      <c r="G2350" s="1">
        <v>45495</v>
      </c>
      <c r="H2350" s="1">
        <v>45496</v>
      </c>
      <c r="I2350" s="1">
        <v>45518</v>
      </c>
      <c r="J2350">
        <v>23</v>
      </c>
      <c r="K2350">
        <v>1</v>
      </c>
      <c r="L2350">
        <v>2</v>
      </c>
      <c r="M2350">
        <v>615.63</v>
      </c>
      <c r="N2350">
        <v>1231.26</v>
      </c>
      <c r="O2350">
        <v>0.15</v>
      </c>
      <c r="P2350">
        <v>184.69</v>
      </c>
      <c r="Q2350">
        <v>1046.57</v>
      </c>
      <c r="R2350">
        <v>812.63</v>
      </c>
      <c r="S2350">
        <v>233.94</v>
      </c>
    </row>
    <row r="2351" spans="1:19" x14ac:dyDescent="0.35">
      <c r="A2351">
        <v>201089</v>
      </c>
      <c r="B2351">
        <v>4296</v>
      </c>
      <c r="C2351" t="s">
        <v>23</v>
      </c>
      <c r="D2351" t="s">
        <v>29</v>
      </c>
      <c r="E2351" t="s">
        <v>34</v>
      </c>
      <c r="F2351" t="s">
        <v>40</v>
      </c>
      <c r="G2351" s="1">
        <v>45596</v>
      </c>
      <c r="H2351" s="1">
        <v>45597</v>
      </c>
      <c r="I2351" s="1">
        <v>45604</v>
      </c>
      <c r="J2351">
        <v>8</v>
      </c>
      <c r="K2351">
        <v>1</v>
      </c>
      <c r="L2351">
        <v>1</v>
      </c>
      <c r="M2351">
        <v>158.68</v>
      </c>
      <c r="N2351">
        <v>158.68</v>
      </c>
      <c r="O2351">
        <v>0.22</v>
      </c>
      <c r="P2351">
        <v>34.909999999999997</v>
      </c>
      <c r="Q2351">
        <v>123.77</v>
      </c>
      <c r="R2351">
        <v>106.32</v>
      </c>
      <c r="S2351">
        <v>17.45</v>
      </c>
    </row>
    <row r="2352" spans="1:19" x14ac:dyDescent="0.35">
      <c r="A2352">
        <v>201090</v>
      </c>
      <c r="B2352">
        <v>3194</v>
      </c>
      <c r="C2352" t="s">
        <v>33</v>
      </c>
      <c r="D2352" t="s">
        <v>29</v>
      </c>
      <c r="E2352" t="s">
        <v>34</v>
      </c>
      <c r="F2352" t="s">
        <v>45</v>
      </c>
      <c r="G2352" s="1">
        <v>45363</v>
      </c>
      <c r="H2352" s="1">
        <v>45365</v>
      </c>
      <c r="I2352" s="1">
        <v>45370</v>
      </c>
      <c r="J2352">
        <v>7</v>
      </c>
      <c r="K2352">
        <v>2</v>
      </c>
      <c r="L2352">
        <v>3</v>
      </c>
      <c r="M2352">
        <v>627.34</v>
      </c>
      <c r="N2352">
        <v>1882.02</v>
      </c>
      <c r="O2352">
        <v>0.02</v>
      </c>
      <c r="P2352">
        <v>37.64</v>
      </c>
      <c r="Q2352">
        <v>1844.38</v>
      </c>
      <c r="R2352">
        <v>1091.57</v>
      </c>
      <c r="S2352">
        <v>752.81</v>
      </c>
    </row>
    <row r="2353" spans="1:19" x14ac:dyDescent="0.35">
      <c r="A2353">
        <v>201091</v>
      </c>
      <c r="B2353">
        <v>3602</v>
      </c>
      <c r="C2353" t="s">
        <v>19</v>
      </c>
      <c r="D2353" t="s">
        <v>31</v>
      </c>
      <c r="E2353" t="s">
        <v>34</v>
      </c>
      <c r="F2353" t="s">
        <v>43</v>
      </c>
      <c r="G2353" s="1">
        <v>45326</v>
      </c>
      <c r="H2353" s="1">
        <v>45330</v>
      </c>
      <c r="I2353" s="1">
        <v>45348</v>
      </c>
      <c r="J2353">
        <v>22</v>
      </c>
      <c r="K2353">
        <v>4</v>
      </c>
      <c r="L2353">
        <v>13</v>
      </c>
      <c r="M2353">
        <v>166.64</v>
      </c>
      <c r="N2353">
        <v>2166.3200000000002</v>
      </c>
      <c r="O2353">
        <v>0.13</v>
      </c>
      <c r="P2353">
        <v>281.62</v>
      </c>
      <c r="Q2353">
        <v>1884.7</v>
      </c>
      <c r="R2353">
        <v>1256.47</v>
      </c>
      <c r="S2353">
        <v>628.23</v>
      </c>
    </row>
    <row r="2354" spans="1:19" x14ac:dyDescent="0.35">
      <c r="A2354">
        <v>201092</v>
      </c>
      <c r="B2354">
        <v>1953</v>
      </c>
      <c r="C2354" t="s">
        <v>33</v>
      </c>
      <c r="D2354" t="s">
        <v>29</v>
      </c>
      <c r="E2354" t="s">
        <v>21</v>
      </c>
      <c r="F2354" t="s">
        <v>22</v>
      </c>
      <c r="G2354" s="1">
        <v>45608</v>
      </c>
      <c r="H2354" s="1">
        <v>45610</v>
      </c>
      <c r="I2354" s="1">
        <v>45637</v>
      </c>
      <c r="J2354">
        <v>29</v>
      </c>
      <c r="K2354">
        <v>2</v>
      </c>
      <c r="L2354">
        <v>3</v>
      </c>
      <c r="M2354">
        <v>342</v>
      </c>
      <c r="N2354">
        <v>1026</v>
      </c>
      <c r="O2354">
        <v>0.02</v>
      </c>
      <c r="P2354">
        <v>20.52</v>
      </c>
      <c r="Q2354">
        <v>1005.48</v>
      </c>
      <c r="R2354">
        <v>625.86</v>
      </c>
      <c r="S2354">
        <v>379.62</v>
      </c>
    </row>
    <row r="2355" spans="1:19" x14ac:dyDescent="0.35">
      <c r="A2355">
        <v>201093</v>
      </c>
      <c r="B2355">
        <v>3103</v>
      </c>
      <c r="C2355" t="s">
        <v>19</v>
      </c>
      <c r="D2355" t="s">
        <v>31</v>
      </c>
      <c r="E2355" t="s">
        <v>21</v>
      </c>
      <c r="F2355" t="s">
        <v>41</v>
      </c>
      <c r="G2355" s="1">
        <v>45477</v>
      </c>
      <c r="H2355" s="1">
        <v>45478</v>
      </c>
      <c r="I2355" s="1">
        <v>45495</v>
      </c>
      <c r="J2355">
        <v>18</v>
      </c>
      <c r="K2355">
        <v>1</v>
      </c>
      <c r="L2355">
        <v>13</v>
      </c>
      <c r="M2355">
        <v>44.37</v>
      </c>
      <c r="N2355">
        <v>576.80999999999995</v>
      </c>
      <c r="O2355">
        <v>0.13</v>
      </c>
      <c r="P2355">
        <v>74.989999999999995</v>
      </c>
      <c r="Q2355">
        <v>501.82</v>
      </c>
      <c r="R2355">
        <v>369.16</v>
      </c>
      <c r="S2355">
        <v>132.66</v>
      </c>
    </row>
    <row r="2356" spans="1:19" x14ac:dyDescent="0.35">
      <c r="A2356">
        <v>201094</v>
      </c>
      <c r="B2356">
        <v>2806</v>
      </c>
      <c r="C2356" t="s">
        <v>19</v>
      </c>
      <c r="D2356" t="s">
        <v>31</v>
      </c>
      <c r="E2356" t="s">
        <v>26</v>
      </c>
      <c r="F2356" t="s">
        <v>36</v>
      </c>
      <c r="G2356" s="1">
        <v>45568</v>
      </c>
      <c r="H2356" s="1">
        <v>45571</v>
      </c>
      <c r="I2356" s="1">
        <v>45579</v>
      </c>
      <c r="J2356">
        <v>11</v>
      </c>
      <c r="K2356">
        <v>3</v>
      </c>
      <c r="L2356">
        <v>9</v>
      </c>
      <c r="M2356">
        <v>499.87</v>
      </c>
      <c r="N2356">
        <v>4498.83</v>
      </c>
      <c r="O2356">
        <v>0.12</v>
      </c>
      <c r="P2356">
        <v>539.86</v>
      </c>
      <c r="Q2356">
        <v>3958.97</v>
      </c>
      <c r="R2356">
        <v>2789.27</v>
      </c>
      <c r="S2356">
        <v>1169.7</v>
      </c>
    </row>
    <row r="2357" spans="1:19" x14ac:dyDescent="0.35">
      <c r="A2357">
        <v>201095</v>
      </c>
      <c r="B2357">
        <v>3708</v>
      </c>
      <c r="C2357" t="s">
        <v>28</v>
      </c>
      <c r="D2357" t="s">
        <v>20</v>
      </c>
      <c r="E2357" t="s">
        <v>26</v>
      </c>
      <c r="F2357" t="s">
        <v>27</v>
      </c>
      <c r="G2357" s="1">
        <v>45353</v>
      </c>
      <c r="H2357" s="1">
        <v>45354</v>
      </c>
      <c r="I2357" s="1">
        <v>45358</v>
      </c>
      <c r="J2357">
        <v>5</v>
      </c>
      <c r="K2357">
        <v>1</v>
      </c>
      <c r="L2357">
        <v>1</v>
      </c>
      <c r="M2357">
        <v>561.85</v>
      </c>
      <c r="N2357">
        <v>561.85</v>
      </c>
      <c r="O2357">
        <v>0.1</v>
      </c>
      <c r="P2357">
        <v>56.18</v>
      </c>
      <c r="Q2357">
        <v>505.66</v>
      </c>
      <c r="R2357">
        <v>348.35</v>
      </c>
      <c r="S2357">
        <v>157.31</v>
      </c>
    </row>
    <row r="2358" spans="1:19" x14ac:dyDescent="0.35">
      <c r="A2358">
        <v>201096</v>
      </c>
      <c r="B2358">
        <v>2733</v>
      </c>
      <c r="C2358" t="s">
        <v>23</v>
      </c>
      <c r="D2358" t="s">
        <v>29</v>
      </c>
      <c r="E2358" t="s">
        <v>21</v>
      </c>
      <c r="F2358" t="s">
        <v>38</v>
      </c>
      <c r="G2358" s="1">
        <v>45448</v>
      </c>
      <c r="H2358" s="1">
        <v>45451</v>
      </c>
      <c r="I2358" s="1">
        <v>45466</v>
      </c>
      <c r="J2358">
        <v>18</v>
      </c>
      <c r="K2358">
        <v>3</v>
      </c>
      <c r="L2358">
        <v>8</v>
      </c>
      <c r="M2358">
        <v>364.16</v>
      </c>
      <c r="N2358">
        <v>2913.28</v>
      </c>
      <c r="O2358">
        <v>0.13</v>
      </c>
      <c r="P2358">
        <v>378.73</v>
      </c>
      <c r="Q2358">
        <v>2534.5500000000002</v>
      </c>
      <c r="R2358">
        <v>1951.9</v>
      </c>
      <c r="S2358">
        <v>582.65</v>
      </c>
    </row>
    <row r="2359" spans="1:19" x14ac:dyDescent="0.35">
      <c r="A2359">
        <v>201097</v>
      </c>
      <c r="B2359">
        <v>4453</v>
      </c>
      <c r="C2359" t="s">
        <v>23</v>
      </c>
      <c r="D2359" t="s">
        <v>31</v>
      </c>
      <c r="E2359" t="s">
        <v>34</v>
      </c>
      <c r="F2359" t="s">
        <v>43</v>
      </c>
      <c r="G2359" s="1">
        <v>45534</v>
      </c>
      <c r="H2359" s="1">
        <v>45536</v>
      </c>
      <c r="I2359" s="1">
        <v>45541</v>
      </c>
      <c r="J2359">
        <v>7</v>
      </c>
      <c r="K2359">
        <v>2</v>
      </c>
      <c r="L2359">
        <v>9</v>
      </c>
      <c r="M2359">
        <v>211.16</v>
      </c>
      <c r="N2359">
        <v>1900.44</v>
      </c>
      <c r="O2359">
        <v>0.12</v>
      </c>
      <c r="P2359">
        <v>228.05</v>
      </c>
      <c r="Q2359">
        <v>1672.39</v>
      </c>
      <c r="R2359">
        <v>1311.3</v>
      </c>
      <c r="S2359">
        <v>361.09</v>
      </c>
    </row>
    <row r="2360" spans="1:19" x14ac:dyDescent="0.35">
      <c r="A2360">
        <v>201098</v>
      </c>
      <c r="B2360">
        <v>4047</v>
      </c>
      <c r="C2360" t="s">
        <v>33</v>
      </c>
      <c r="D2360" t="s">
        <v>29</v>
      </c>
      <c r="E2360" t="s">
        <v>26</v>
      </c>
      <c r="F2360" t="s">
        <v>36</v>
      </c>
      <c r="G2360" s="1">
        <v>45500</v>
      </c>
      <c r="H2360" s="1">
        <v>45502</v>
      </c>
      <c r="I2360" s="1">
        <v>45512</v>
      </c>
      <c r="J2360">
        <v>12</v>
      </c>
      <c r="K2360">
        <v>2</v>
      </c>
      <c r="L2360">
        <v>12</v>
      </c>
      <c r="M2360">
        <v>756.23</v>
      </c>
      <c r="N2360">
        <v>9074.76</v>
      </c>
      <c r="O2360">
        <v>0.1</v>
      </c>
      <c r="P2360">
        <v>907.48</v>
      </c>
      <c r="Q2360">
        <v>8167.28</v>
      </c>
      <c r="R2360">
        <v>5081.87</v>
      </c>
      <c r="S2360">
        <v>3085.41</v>
      </c>
    </row>
    <row r="2361" spans="1:19" x14ac:dyDescent="0.35">
      <c r="A2361">
        <v>201099</v>
      </c>
      <c r="B2361">
        <v>3055</v>
      </c>
      <c r="C2361" t="s">
        <v>28</v>
      </c>
      <c r="D2361" t="s">
        <v>29</v>
      </c>
      <c r="E2361" t="s">
        <v>26</v>
      </c>
      <c r="F2361" t="s">
        <v>27</v>
      </c>
      <c r="G2361" s="1">
        <v>45471</v>
      </c>
      <c r="H2361" s="1">
        <v>45476</v>
      </c>
      <c r="I2361" s="1">
        <v>45482</v>
      </c>
      <c r="J2361">
        <v>11</v>
      </c>
      <c r="K2361">
        <v>5</v>
      </c>
      <c r="L2361">
        <v>10</v>
      </c>
      <c r="M2361">
        <v>601.04</v>
      </c>
      <c r="N2361">
        <v>6010.4</v>
      </c>
      <c r="O2361">
        <v>0</v>
      </c>
      <c r="P2361">
        <v>0</v>
      </c>
      <c r="Q2361">
        <v>6010.4</v>
      </c>
      <c r="R2361">
        <v>3425.93</v>
      </c>
      <c r="S2361">
        <v>2584.4699999999998</v>
      </c>
    </row>
    <row r="2362" spans="1:19" x14ac:dyDescent="0.35">
      <c r="A2362">
        <v>201100</v>
      </c>
      <c r="B2362">
        <v>4661</v>
      </c>
      <c r="C2362" t="s">
        <v>33</v>
      </c>
      <c r="D2362" t="s">
        <v>29</v>
      </c>
      <c r="E2362" t="s">
        <v>21</v>
      </c>
      <c r="F2362" t="s">
        <v>41</v>
      </c>
      <c r="G2362" s="1">
        <v>45323</v>
      </c>
      <c r="H2362" s="1">
        <v>45327</v>
      </c>
      <c r="I2362" s="1">
        <v>45350</v>
      </c>
      <c r="J2362">
        <v>27</v>
      </c>
      <c r="K2362">
        <v>4</v>
      </c>
      <c r="L2362">
        <v>2</v>
      </c>
      <c r="M2362">
        <v>267.52</v>
      </c>
      <c r="N2362">
        <v>535.04</v>
      </c>
      <c r="O2362">
        <v>0.13</v>
      </c>
      <c r="P2362">
        <v>69.56</v>
      </c>
      <c r="Q2362">
        <v>465.48</v>
      </c>
      <c r="R2362">
        <v>342.43</v>
      </c>
      <c r="S2362">
        <v>123.05</v>
      </c>
    </row>
    <row r="2363" spans="1:19" x14ac:dyDescent="0.35">
      <c r="A2363">
        <v>201101</v>
      </c>
      <c r="B2363">
        <v>2293</v>
      </c>
      <c r="C2363" t="s">
        <v>28</v>
      </c>
      <c r="D2363" t="s">
        <v>31</v>
      </c>
      <c r="E2363" t="s">
        <v>24</v>
      </c>
      <c r="F2363" t="s">
        <v>25</v>
      </c>
      <c r="G2363" s="1">
        <v>45506</v>
      </c>
      <c r="H2363" s="1">
        <v>45510</v>
      </c>
      <c r="I2363" s="1">
        <v>45517</v>
      </c>
      <c r="J2363">
        <v>11</v>
      </c>
      <c r="K2363">
        <v>4</v>
      </c>
      <c r="L2363">
        <v>9</v>
      </c>
      <c r="M2363">
        <v>134.44999999999999</v>
      </c>
      <c r="N2363">
        <v>1210.05</v>
      </c>
      <c r="O2363">
        <v>0.18</v>
      </c>
      <c r="P2363">
        <v>217.81</v>
      </c>
      <c r="Q2363">
        <v>992.24</v>
      </c>
      <c r="R2363">
        <v>762.33</v>
      </c>
      <c r="S2363">
        <v>229.91</v>
      </c>
    </row>
    <row r="2364" spans="1:19" x14ac:dyDescent="0.35">
      <c r="A2364">
        <v>201102</v>
      </c>
      <c r="B2364">
        <v>3810</v>
      </c>
      <c r="C2364" t="s">
        <v>28</v>
      </c>
      <c r="D2364" t="s">
        <v>20</v>
      </c>
      <c r="E2364" t="s">
        <v>21</v>
      </c>
      <c r="F2364" t="s">
        <v>41</v>
      </c>
      <c r="G2364" s="1">
        <v>45345</v>
      </c>
      <c r="H2364" s="1">
        <v>45350</v>
      </c>
      <c r="I2364" s="1">
        <v>45360</v>
      </c>
      <c r="J2364">
        <v>15</v>
      </c>
      <c r="K2364">
        <v>5</v>
      </c>
      <c r="L2364">
        <v>6</v>
      </c>
      <c r="M2364">
        <v>121.16</v>
      </c>
      <c r="N2364">
        <v>726.96</v>
      </c>
      <c r="O2364">
        <v>0.05</v>
      </c>
      <c r="P2364">
        <v>36.35</v>
      </c>
      <c r="Q2364">
        <v>690.61</v>
      </c>
      <c r="R2364">
        <v>501.6</v>
      </c>
      <c r="S2364">
        <v>189.01</v>
      </c>
    </row>
    <row r="2365" spans="1:19" x14ac:dyDescent="0.35">
      <c r="A2365">
        <v>201103</v>
      </c>
      <c r="B2365">
        <v>3290</v>
      </c>
      <c r="C2365" t="s">
        <v>28</v>
      </c>
      <c r="D2365" t="s">
        <v>29</v>
      </c>
      <c r="E2365" t="s">
        <v>21</v>
      </c>
      <c r="F2365" t="s">
        <v>41</v>
      </c>
      <c r="G2365" s="1">
        <v>45445</v>
      </c>
      <c r="H2365" s="1">
        <v>45450</v>
      </c>
      <c r="I2365" s="1">
        <v>45450</v>
      </c>
      <c r="J2365">
        <v>5</v>
      </c>
      <c r="K2365">
        <v>5</v>
      </c>
      <c r="L2365">
        <v>13</v>
      </c>
      <c r="M2365">
        <v>85.48</v>
      </c>
      <c r="N2365">
        <v>1111.24</v>
      </c>
      <c r="O2365">
        <v>0.09</v>
      </c>
      <c r="P2365">
        <v>100.01</v>
      </c>
      <c r="Q2365">
        <v>1011.23</v>
      </c>
      <c r="R2365">
        <v>777.87</v>
      </c>
      <c r="S2365">
        <v>233.36</v>
      </c>
    </row>
    <row r="2366" spans="1:19" x14ac:dyDescent="0.35">
      <c r="A2366">
        <v>201104</v>
      </c>
      <c r="B2366">
        <v>3715</v>
      </c>
      <c r="C2366" t="s">
        <v>33</v>
      </c>
      <c r="D2366" t="s">
        <v>20</v>
      </c>
      <c r="E2366" t="s">
        <v>26</v>
      </c>
      <c r="F2366" t="s">
        <v>37</v>
      </c>
      <c r="G2366" s="1">
        <v>45639</v>
      </c>
      <c r="H2366" s="1">
        <v>45641</v>
      </c>
      <c r="I2366" s="1">
        <v>45648</v>
      </c>
      <c r="J2366">
        <v>9</v>
      </c>
      <c r="K2366">
        <v>2</v>
      </c>
      <c r="L2366">
        <v>9</v>
      </c>
      <c r="M2366">
        <v>607.84</v>
      </c>
      <c r="N2366">
        <v>5470.56</v>
      </c>
      <c r="O2366">
        <v>0.1</v>
      </c>
      <c r="P2366">
        <v>547.05999999999995</v>
      </c>
      <c r="Q2366">
        <v>4923.5</v>
      </c>
      <c r="R2366">
        <v>3282.34</v>
      </c>
      <c r="S2366">
        <v>1641.16</v>
      </c>
    </row>
    <row r="2367" spans="1:19" x14ac:dyDescent="0.35">
      <c r="A2367">
        <v>201105</v>
      </c>
      <c r="B2367">
        <v>2908</v>
      </c>
      <c r="C2367" t="s">
        <v>33</v>
      </c>
      <c r="D2367" t="s">
        <v>29</v>
      </c>
      <c r="E2367" t="s">
        <v>26</v>
      </c>
      <c r="F2367" t="s">
        <v>27</v>
      </c>
      <c r="G2367" s="1">
        <v>45570</v>
      </c>
      <c r="H2367" s="1">
        <v>45574</v>
      </c>
      <c r="I2367" s="1">
        <v>45591</v>
      </c>
      <c r="J2367">
        <v>21</v>
      </c>
      <c r="K2367">
        <v>4</v>
      </c>
      <c r="L2367">
        <v>4</v>
      </c>
      <c r="M2367">
        <v>386.22</v>
      </c>
      <c r="N2367">
        <v>1544.88</v>
      </c>
      <c r="O2367">
        <v>7.0000000000000007E-2</v>
      </c>
      <c r="P2367">
        <v>108.14</v>
      </c>
      <c r="Q2367">
        <v>1436.74</v>
      </c>
      <c r="R2367">
        <v>1112.31</v>
      </c>
      <c r="S2367">
        <v>324.43</v>
      </c>
    </row>
    <row r="2368" spans="1:19" x14ac:dyDescent="0.35">
      <c r="A2368">
        <v>201106</v>
      </c>
      <c r="B2368">
        <v>4034</v>
      </c>
      <c r="C2368" t="s">
        <v>28</v>
      </c>
      <c r="D2368" t="s">
        <v>29</v>
      </c>
      <c r="E2368" t="s">
        <v>21</v>
      </c>
      <c r="F2368" t="s">
        <v>41</v>
      </c>
      <c r="G2368" s="1">
        <v>45439</v>
      </c>
      <c r="H2368" s="1">
        <v>45440</v>
      </c>
      <c r="I2368" s="1">
        <v>45462</v>
      </c>
      <c r="J2368">
        <v>23</v>
      </c>
      <c r="K2368">
        <v>1</v>
      </c>
      <c r="L2368">
        <v>4</v>
      </c>
      <c r="M2368">
        <v>453.61</v>
      </c>
      <c r="N2368">
        <v>1814.44</v>
      </c>
      <c r="O2368">
        <v>0.11</v>
      </c>
      <c r="P2368">
        <v>199.59</v>
      </c>
      <c r="Q2368">
        <v>1614.85</v>
      </c>
      <c r="R2368">
        <v>1270.1099999999999</v>
      </c>
      <c r="S2368">
        <v>344.74</v>
      </c>
    </row>
    <row r="2369" spans="1:19" x14ac:dyDescent="0.35">
      <c r="A2369">
        <v>201107</v>
      </c>
      <c r="B2369">
        <v>4653</v>
      </c>
      <c r="C2369" t="s">
        <v>28</v>
      </c>
      <c r="D2369" t="s">
        <v>20</v>
      </c>
      <c r="E2369" t="s">
        <v>24</v>
      </c>
      <c r="F2369" t="s">
        <v>30</v>
      </c>
      <c r="G2369" s="1">
        <v>45484</v>
      </c>
      <c r="H2369" s="1">
        <v>45488</v>
      </c>
      <c r="I2369" s="1">
        <v>45488</v>
      </c>
      <c r="J2369">
        <v>4</v>
      </c>
      <c r="K2369">
        <v>4</v>
      </c>
      <c r="L2369">
        <v>2</v>
      </c>
      <c r="M2369">
        <v>569.44000000000005</v>
      </c>
      <c r="N2369">
        <v>1138.8800000000001</v>
      </c>
      <c r="O2369">
        <v>0.15</v>
      </c>
      <c r="P2369">
        <v>170.83</v>
      </c>
      <c r="Q2369">
        <v>968.05</v>
      </c>
      <c r="R2369">
        <v>706.11</v>
      </c>
      <c r="S2369">
        <v>261.94</v>
      </c>
    </row>
    <row r="2370" spans="1:19" x14ac:dyDescent="0.35">
      <c r="A2370">
        <v>201108</v>
      </c>
      <c r="B2370">
        <v>1370</v>
      </c>
      <c r="C2370" t="s">
        <v>23</v>
      </c>
      <c r="D2370" t="s">
        <v>29</v>
      </c>
      <c r="E2370" t="s">
        <v>26</v>
      </c>
      <c r="F2370" t="s">
        <v>37</v>
      </c>
      <c r="G2370" s="1">
        <v>45529</v>
      </c>
      <c r="H2370" s="1">
        <v>45532</v>
      </c>
      <c r="I2370" s="1">
        <v>45537</v>
      </c>
      <c r="J2370">
        <v>8</v>
      </c>
      <c r="K2370">
        <v>3</v>
      </c>
      <c r="L2370">
        <v>13</v>
      </c>
      <c r="M2370">
        <v>52.88</v>
      </c>
      <c r="N2370">
        <v>687.44</v>
      </c>
      <c r="O2370">
        <v>0.12</v>
      </c>
      <c r="P2370">
        <v>82.49</v>
      </c>
      <c r="Q2370">
        <v>604.95000000000005</v>
      </c>
      <c r="R2370">
        <v>474.33</v>
      </c>
      <c r="S2370">
        <v>130.62</v>
      </c>
    </row>
    <row r="2371" spans="1:19" x14ac:dyDescent="0.35">
      <c r="A2371">
        <v>201109</v>
      </c>
      <c r="B2371">
        <v>1381</v>
      </c>
      <c r="C2371" t="s">
        <v>23</v>
      </c>
      <c r="D2371" t="s">
        <v>20</v>
      </c>
      <c r="E2371" t="s">
        <v>34</v>
      </c>
      <c r="F2371" t="s">
        <v>35</v>
      </c>
      <c r="G2371" s="1">
        <v>45551</v>
      </c>
      <c r="H2371" s="1">
        <v>45554</v>
      </c>
      <c r="I2371" s="1">
        <v>45557</v>
      </c>
      <c r="J2371">
        <v>6</v>
      </c>
      <c r="K2371">
        <v>3</v>
      </c>
      <c r="L2371">
        <v>8</v>
      </c>
      <c r="M2371">
        <v>535.74</v>
      </c>
      <c r="N2371">
        <v>4285.92</v>
      </c>
      <c r="O2371">
        <v>0.1</v>
      </c>
      <c r="P2371">
        <v>428.59</v>
      </c>
      <c r="Q2371">
        <v>3857.33</v>
      </c>
      <c r="R2371">
        <v>2700.13</v>
      </c>
      <c r="S2371">
        <v>1157.2</v>
      </c>
    </row>
    <row r="2372" spans="1:19" x14ac:dyDescent="0.35">
      <c r="A2372">
        <v>201110</v>
      </c>
      <c r="B2372">
        <v>3681</v>
      </c>
      <c r="C2372" t="s">
        <v>33</v>
      </c>
      <c r="D2372" t="s">
        <v>29</v>
      </c>
      <c r="E2372" t="s">
        <v>21</v>
      </c>
      <c r="F2372" t="s">
        <v>41</v>
      </c>
      <c r="G2372" s="1">
        <v>45605</v>
      </c>
      <c r="H2372" s="1">
        <v>45607</v>
      </c>
      <c r="I2372" s="1">
        <v>45609</v>
      </c>
      <c r="J2372">
        <v>4</v>
      </c>
      <c r="K2372">
        <v>2</v>
      </c>
      <c r="L2372">
        <v>7</v>
      </c>
      <c r="M2372">
        <v>609.87</v>
      </c>
      <c r="N2372">
        <v>4269.09</v>
      </c>
      <c r="O2372">
        <v>0.14000000000000001</v>
      </c>
      <c r="P2372">
        <v>597.66999999999996</v>
      </c>
      <c r="Q2372">
        <v>3671.42</v>
      </c>
      <c r="R2372">
        <v>2561.4499999999998</v>
      </c>
      <c r="S2372">
        <v>1109.97</v>
      </c>
    </row>
    <row r="2373" spans="1:19" x14ac:dyDescent="0.35">
      <c r="A2373">
        <v>201111</v>
      </c>
      <c r="B2373">
        <v>1832</v>
      </c>
      <c r="C2373" t="s">
        <v>33</v>
      </c>
      <c r="D2373" t="s">
        <v>20</v>
      </c>
      <c r="E2373" t="s">
        <v>34</v>
      </c>
      <c r="F2373" t="s">
        <v>40</v>
      </c>
      <c r="G2373" s="1">
        <v>45422</v>
      </c>
      <c r="H2373" s="1">
        <v>45425</v>
      </c>
      <c r="I2373" s="1">
        <v>45428</v>
      </c>
      <c r="J2373">
        <v>6</v>
      </c>
      <c r="K2373">
        <v>3</v>
      </c>
      <c r="L2373">
        <v>4</v>
      </c>
      <c r="M2373">
        <v>256.54000000000002</v>
      </c>
      <c r="N2373">
        <v>1026.1600000000001</v>
      </c>
      <c r="O2373">
        <v>0.09</v>
      </c>
      <c r="P2373">
        <v>92.35</v>
      </c>
      <c r="Q2373">
        <v>933.81</v>
      </c>
      <c r="R2373">
        <v>687.53</v>
      </c>
      <c r="S2373">
        <v>246.28</v>
      </c>
    </row>
    <row r="2374" spans="1:19" x14ac:dyDescent="0.35">
      <c r="A2374">
        <v>201112</v>
      </c>
      <c r="B2374">
        <v>4579</v>
      </c>
      <c r="C2374" t="s">
        <v>19</v>
      </c>
      <c r="D2374" t="s">
        <v>29</v>
      </c>
      <c r="E2374" t="s">
        <v>24</v>
      </c>
      <c r="F2374" t="s">
        <v>25</v>
      </c>
      <c r="G2374" s="1">
        <v>45439</v>
      </c>
      <c r="H2374" s="1">
        <v>45441</v>
      </c>
      <c r="I2374" s="1">
        <v>45445</v>
      </c>
      <c r="J2374">
        <v>6</v>
      </c>
      <c r="K2374">
        <v>2</v>
      </c>
      <c r="L2374">
        <v>7</v>
      </c>
      <c r="M2374">
        <v>727.06</v>
      </c>
      <c r="N2374">
        <v>5089.42</v>
      </c>
      <c r="O2374">
        <v>0.09</v>
      </c>
      <c r="P2374">
        <v>458.05</v>
      </c>
      <c r="Q2374">
        <v>4631.37</v>
      </c>
      <c r="R2374">
        <v>3206.33</v>
      </c>
      <c r="S2374">
        <v>1425.04</v>
      </c>
    </row>
    <row r="2375" spans="1:19" x14ac:dyDescent="0.35">
      <c r="A2375">
        <v>201113</v>
      </c>
      <c r="B2375">
        <v>3920</v>
      </c>
      <c r="C2375" t="s">
        <v>23</v>
      </c>
      <c r="D2375" t="s">
        <v>20</v>
      </c>
      <c r="E2375" t="s">
        <v>34</v>
      </c>
      <c r="F2375" t="s">
        <v>43</v>
      </c>
      <c r="G2375" s="1">
        <v>45494</v>
      </c>
      <c r="H2375" s="1">
        <v>45496</v>
      </c>
      <c r="I2375" s="1">
        <v>45524</v>
      </c>
      <c r="J2375">
        <v>30</v>
      </c>
      <c r="K2375">
        <v>2</v>
      </c>
      <c r="L2375">
        <v>12</v>
      </c>
      <c r="M2375">
        <v>656.7</v>
      </c>
      <c r="N2375">
        <v>7880.4</v>
      </c>
      <c r="O2375">
        <v>0.15</v>
      </c>
      <c r="P2375">
        <v>1182.06</v>
      </c>
      <c r="Q2375">
        <v>6698.34</v>
      </c>
      <c r="R2375">
        <v>5437.48</v>
      </c>
      <c r="S2375">
        <v>1260.8599999999999</v>
      </c>
    </row>
    <row r="2376" spans="1:19" x14ac:dyDescent="0.35">
      <c r="A2376">
        <v>201114</v>
      </c>
      <c r="B2376">
        <v>2301</v>
      </c>
      <c r="C2376" t="s">
        <v>23</v>
      </c>
      <c r="D2376" t="s">
        <v>29</v>
      </c>
      <c r="E2376" t="s">
        <v>34</v>
      </c>
      <c r="F2376" t="s">
        <v>40</v>
      </c>
      <c r="G2376" s="1">
        <v>45477</v>
      </c>
      <c r="H2376" s="1">
        <v>45481</v>
      </c>
      <c r="I2376" s="1">
        <v>45493</v>
      </c>
      <c r="J2376">
        <v>16</v>
      </c>
      <c r="K2376">
        <v>4</v>
      </c>
      <c r="L2376">
        <v>14</v>
      </c>
      <c r="M2376">
        <v>442.76</v>
      </c>
      <c r="N2376">
        <v>6198.64</v>
      </c>
      <c r="O2376">
        <v>0.04</v>
      </c>
      <c r="P2376">
        <v>247.95</v>
      </c>
      <c r="Q2376">
        <v>5950.69</v>
      </c>
      <c r="R2376">
        <v>3843.16</v>
      </c>
      <c r="S2376">
        <v>2107.5300000000002</v>
      </c>
    </row>
    <row r="2377" spans="1:19" x14ac:dyDescent="0.35">
      <c r="A2377">
        <v>201115</v>
      </c>
      <c r="B2377">
        <v>4646</v>
      </c>
      <c r="C2377" t="s">
        <v>33</v>
      </c>
      <c r="D2377" t="s">
        <v>31</v>
      </c>
      <c r="E2377" t="s">
        <v>26</v>
      </c>
      <c r="F2377" t="s">
        <v>44</v>
      </c>
      <c r="G2377" s="1">
        <v>45494</v>
      </c>
      <c r="H2377" s="1">
        <v>45496</v>
      </c>
      <c r="I2377" s="1">
        <v>45517</v>
      </c>
      <c r="J2377">
        <v>23</v>
      </c>
      <c r="K2377">
        <v>2</v>
      </c>
      <c r="L2377">
        <v>5</v>
      </c>
      <c r="M2377">
        <v>307.60000000000002</v>
      </c>
      <c r="N2377">
        <v>1538</v>
      </c>
      <c r="O2377">
        <v>0.03</v>
      </c>
      <c r="P2377">
        <v>46.14</v>
      </c>
      <c r="Q2377">
        <v>1491.86</v>
      </c>
      <c r="R2377">
        <v>1076.5999999999999</v>
      </c>
      <c r="S2377">
        <v>415.26</v>
      </c>
    </row>
    <row r="2378" spans="1:19" x14ac:dyDescent="0.35">
      <c r="A2378">
        <v>201116</v>
      </c>
      <c r="B2378">
        <v>1478</v>
      </c>
      <c r="C2378" t="s">
        <v>23</v>
      </c>
      <c r="D2378" t="s">
        <v>20</v>
      </c>
      <c r="E2378" t="s">
        <v>34</v>
      </c>
      <c r="F2378" t="s">
        <v>35</v>
      </c>
      <c r="G2378" s="1">
        <v>45604</v>
      </c>
      <c r="H2378" s="1">
        <v>45606</v>
      </c>
      <c r="I2378" s="1">
        <v>45619</v>
      </c>
      <c r="J2378">
        <v>15</v>
      </c>
      <c r="K2378">
        <v>2</v>
      </c>
      <c r="L2378">
        <v>7</v>
      </c>
      <c r="M2378">
        <v>567.92999999999995</v>
      </c>
      <c r="N2378">
        <v>3975.51</v>
      </c>
      <c r="O2378">
        <v>7.0000000000000007E-2</v>
      </c>
      <c r="P2378">
        <v>278.29000000000002</v>
      </c>
      <c r="Q2378">
        <v>3697.22</v>
      </c>
      <c r="R2378">
        <v>2345.5500000000002</v>
      </c>
      <c r="S2378">
        <v>1351.67</v>
      </c>
    </row>
    <row r="2379" spans="1:19" x14ac:dyDescent="0.35">
      <c r="A2379">
        <v>201117</v>
      </c>
      <c r="B2379">
        <v>4917</v>
      </c>
      <c r="C2379" t="s">
        <v>23</v>
      </c>
      <c r="D2379" t="s">
        <v>29</v>
      </c>
      <c r="E2379" t="s">
        <v>24</v>
      </c>
      <c r="F2379" t="s">
        <v>30</v>
      </c>
      <c r="G2379" s="1">
        <v>45655</v>
      </c>
      <c r="H2379" s="1">
        <v>45657</v>
      </c>
      <c r="I2379" s="1">
        <v>45685</v>
      </c>
      <c r="J2379">
        <v>30</v>
      </c>
      <c r="K2379">
        <v>2</v>
      </c>
      <c r="L2379">
        <v>3</v>
      </c>
      <c r="M2379">
        <v>441.08</v>
      </c>
      <c r="N2379">
        <v>1323.24</v>
      </c>
      <c r="O2379">
        <v>0.19</v>
      </c>
      <c r="P2379">
        <v>251.42</v>
      </c>
      <c r="Q2379">
        <v>1071.82</v>
      </c>
      <c r="R2379">
        <v>780.71</v>
      </c>
      <c r="S2379">
        <v>291.11</v>
      </c>
    </row>
    <row r="2380" spans="1:19" x14ac:dyDescent="0.35">
      <c r="A2380">
        <v>201118</v>
      </c>
      <c r="B2380">
        <v>4037</v>
      </c>
      <c r="C2380" t="s">
        <v>28</v>
      </c>
      <c r="D2380" t="s">
        <v>20</v>
      </c>
      <c r="E2380" t="s">
        <v>34</v>
      </c>
      <c r="F2380" t="s">
        <v>45</v>
      </c>
      <c r="G2380" s="1">
        <v>45311</v>
      </c>
      <c r="H2380" s="1">
        <v>45316</v>
      </c>
      <c r="I2380" s="1">
        <v>45335</v>
      </c>
      <c r="J2380">
        <v>24</v>
      </c>
      <c r="K2380">
        <v>5</v>
      </c>
      <c r="L2380">
        <v>2</v>
      </c>
      <c r="M2380">
        <v>327.04000000000002</v>
      </c>
      <c r="N2380">
        <v>654.08000000000004</v>
      </c>
      <c r="O2380">
        <v>0.18</v>
      </c>
      <c r="P2380">
        <v>117.73</v>
      </c>
      <c r="Q2380">
        <v>536.35</v>
      </c>
      <c r="R2380">
        <v>412.07</v>
      </c>
      <c r="S2380">
        <v>124.28</v>
      </c>
    </row>
    <row r="2381" spans="1:19" x14ac:dyDescent="0.35">
      <c r="A2381">
        <v>201119</v>
      </c>
      <c r="B2381">
        <v>2802</v>
      </c>
      <c r="C2381" t="s">
        <v>23</v>
      </c>
      <c r="D2381" t="s">
        <v>29</v>
      </c>
      <c r="E2381" t="s">
        <v>34</v>
      </c>
      <c r="F2381" t="s">
        <v>40</v>
      </c>
      <c r="G2381" s="1">
        <v>45551</v>
      </c>
      <c r="H2381" s="1">
        <v>45554</v>
      </c>
      <c r="I2381" s="1">
        <v>45577</v>
      </c>
      <c r="J2381">
        <v>26</v>
      </c>
      <c r="K2381">
        <v>3</v>
      </c>
      <c r="L2381">
        <v>14</v>
      </c>
      <c r="M2381">
        <v>725.18</v>
      </c>
      <c r="N2381">
        <v>10152.52</v>
      </c>
      <c r="O2381">
        <v>0.19</v>
      </c>
      <c r="P2381">
        <v>1928.98</v>
      </c>
      <c r="Q2381">
        <v>8223.5400000000009</v>
      </c>
      <c r="R2381">
        <v>6396.09</v>
      </c>
      <c r="S2381">
        <v>1827.45</v>
      </c>
    </row>
    <row r="2382" spans="1:19" x14ac:dyDescent="0.35">
      <c r="A2382">
        <v>201120</v>
      </c>
      <c r="B2382">
        <v>2561</v>
      </c>
      <c r="C2382" t="s">
        <v>33</v>
      </c>
      <c r="D2382" t="s">
        <v>29</v>
      </c>
      <c r="E2382" t="s">
        <v>21</v>
      </c>
      <c r="F2382" t="s">
        <v>41</v>
      </c>
      <c r="G2382" s="1">
        <v>45490</v>
      </c>
      <c r="H2382" s="1">
        <v>45493</v>
      </c>
      <c r="I2382" s="1">
        <v>45515</v>
      </c>
      <c r="J2382">
        <v>25</v>
      </c>
      <c r="K2382">
        <v>3</v>
      </c>
      <c r="L2382">
        <v>13</v>
      </c>
      <c r="M2382">
        <v>584.64</v>
      </c>
      <c r="N2382">
        <v>7600.32</v>
      </c>
      <c r="O2382">
        <v>7.0000000000000007E-2</v>
      </c>
      <c r="P2382">
        <v>532.02</v>
      </c>
      <c r="Q2382">
        <v>7068.3</v>
      </c>
      <c r="R2382">
        <v>4636.2</v>
      </c>
      <c r="S2382">
        <v>2432.1</v>
      </c>
    </row>
    <row r="2383" spans="1:19" x14ac:dyDescent="0.35">
      <c r="A2383">
        <v>201121</v>
      </c>
      <c r="B2383">
        <v>2328</v>
      </c>
      <c r="C2383" t="s">
        <v>23</v>
      </c>
      <c r="D2383" t="s">
        <v>29</v>
      </c>
      <c r="E2383" t="s">
        <v>24</v>
      </c>
      <c r="F2383" t="s">
        <v>30</v>
      </c>
      <c r="G2383" s="1">
        <v>45365</v>
      </c>
      <c r="H2383" s="1">
        <v>45367</v>
      </c>
      <c r="I2383" s="1">
        <v>45392</v>
      </c>
      <c r="J2383">
        <v>27</v>
      </c>
      <c r="K2383">
        <v>2</v>
      </c>
      <c r="L2383">
        <v>12</v>
      </c>
      <c r="M2383">
        <v>535.36</v>
      </c>
      <c r="N2383">
        <v>6424.32</v>
      </c>
      <c r="O2383">
        <v>0.11</v>
      </c>
      <c r="P2383">
        <v>706.68</v>
      </c>
      <c r="Q2383">
        <v>5717.64</v>
      </c>
      <c r="R2383">
        <v>3983.08</v>
      </c>
      <c r="S2383">
        <v>1734.56</v>
      </c>
    </row>
    <row r="2384" spans="1:19" x14ac:dyDescent="0.35">
      <c r="A2384">
        <v>201122</v>
      </c>
      <c r="B2384">
        <v>3041</v>
      </c>
      <c r="C2384" t="s">
        <v>23</v>
      </c>
      <c r="D2384" t="s">
        <v>31</v>
      </c>
      <c r="E2384" t="s">
        <v>26</v>
      </c>
      <c r="F2384" t="s">
        <v>44</v>
      </c>
      <c r="G2384" s="1">
        <v>45349</v>
      </c>
      <c r="H2384" s="1">
        <v>45351</v>
      </c>
      <c r="I2384" s="1">
        <v>45353</v>
      </c>
      <c r="J2384">
        <v>4</v>
      </c>
      <c r="K2384">
        <v>2</v>
      </c>
      <c r="L2384">
        <v>8</v>
      </c>
      <c r="M2384">
        <v>132.80000000000001</v>
      </c>
      <c r="N2384">
        <v>1062.4000000000001</v>
      </c>
      <c r="O2384">
        <v>0.03</v>
      </c>
      <c r="P2384">
        <v>31.87</v>
      </c>
      <c r="Q2384">
        <v>1030.53</v>
      </c>
      <c r="R2384">
        <v>690.56</v>
      </c>
      <c r="S2384">
        <v>339.97</v>
      </c>
    </row>
    <row r="2385" spans="1:19" x14ac:dyDescent="0.35">
      <c r="A2385">
        <v>201123</v>
      </c>
      <c r="B2385">
        <v>3549</v>
      </c>
      <c r="C2385" t="s">
        <v>28</v>
      </c>
      <c r="D2385" t="s">
        <v>31</v>
      </c>
      <c r="E2385" t="s">
        <v>34</v>
      </c>
      <c r="F2385" t="s">
        <v>40</v>
      </c>
      <c r="G2385" s="1">
        <v>45543</v>
      </c>
      <c r="H2385" s="1">
        <v>45544</v>
      </c>
      <c r="I2385" s="1">
        <v>45550</v>
      </c>
      <c r="J2385">
        <v>7</v>
      </c>
      <c r="K2385">
        <v>1</v>
      </c>
      <c r="L2385">
        <v>6</v>
      </c>
      <c r="M2385">
        <v>591.61</v>
      </c>
      <c r="N2385">
        <v>3549.66</v>
      </c>
      <c r="O2385">
        <v>0.11</v>
      </c>
      <c r="P2385">
        <v>390.46</v>
      </c>
      <c r="Q2385">
        <v>3159.2</v>
      </c>
      <c r="R2385">
        <v>2200.79</v>
      </c>
      <c r="S2385">
        <v>958.41</v>
      </c>
    </row>
    <row r="2386" spans="1:19" x14ac:dyDescent="0.35">
      <c r="A2386">
        <v>201124</v>
      </c>
      <c r="B2386">
        <v>2818</v>
      </c>
      <c r="C2386" t="s">
        <v>28</v>
      </c>
      <c r="D2386" t="s">
        <v>29</v>
      </c>
      <c r="E2386" t="s">
        <v>24</v>
      </c>
      <c r="F2386" t="s">
        <v>42</v>
      </c>
      <c r="G2386" s="1">
        <v>45306</v>
      </c>
      <c r="H2386" s="1">
        <v>45308</v>
      </c>
      <c r="I2386" s="1">
        <v>45313</v>
      </c>
      <c r="J2386">
        <v>7</v>
      </c>
      <c r="K2386">
        <v>2</v>
      </c>
      <c r="L2386">
        <v>7</v>
      </c>
      <c r="M2386">
        <v>473.44</v>
      </c>
      <c r="N2386">
        <v>3314.08</v>
      </c>
      <c r="O2386">
        <v>0.12</v>
      </c>
      <c r="P2386">
        <v>397.69</v>
      </c>
      <c r="Q2386">
        <v>2916.39</v>
      </c>
      <c r="R2386">
        <v>2319.86</v>
      </c>
      <c r="S2386">
        <v>596.53</v>
      </c>
    </row>
    <row r="2387" spans="1:19" x14ac:dyDescent="0.35">
      <c r="A2387">
        <v>201125</v>
      </c>
      <c r="B2387">
        <v>4258</v>
      </c>
      <c r="C2387" t="s">
        <v>19</v>
      </c>
      <c r="D2387" t="s">
        <v>29</v>
      </c>
      <c r="E2387" t="s">
        <v>26</v>
      </c>
      <c r="F2387" t="s">
        <v>37</v>
      </c>
      <c r="G2387" s="1">
        <v>45526</v>
      </c>
      <c r="H2387" s="1">
        <v>45531</v>
      </c>
      <c r="I2387" s="1">
        <v>45540</v>
      </c>
      <c r="J2387">
        <v>14</v>
      </c>
      <c r="K2387">
        <v>5</v>
      </c>
      <c r="L2387">
        <v>11</v>
      </c>
      <c r="M2387">
        <v>413.99</v>
      </c>
      <c r="N2387">
        <v>4553.8900000000003</v>
      </c>
      <c r="O2387">
        <v>0.15</v>
      </c>
      <c r="P2387">
        <v>683.08</v>
      </c>
      <c r="Q2387">
        <v>3870.81</v>
      </c>
      <c r="R2387">
        <v>3233.26</v>
      </c>
      <c r="S2387">
        <v>637.54999999999995</v>
      </c>
    </row>
    <row r="2388" spans="1:19" x14ac:dyDescent="0.35">
      <c r="A2388">
        <v>201126</v>
      </c>
      <c r="B2388">
        <v>4112</v>
      </c>
      <c r="C2388" t="s">
        <v>19</v>
      </c>
      <c r="D2388" t="s">
        <v>20</v>
      </c>
      <c r="E2388" t="s">
        <v>34</v>
      </c>
      <c r="F2388" t="s">
        <v>35</v>
      </c>
      <c r="G2388" s="1">
        <v>45509</v>
      </c>
      <c r="H2388" s="1">
        <v>45511</v>
      </c>
      <c r="I2388" s="1">
        <v>45511</v>
      </c>
      <c r="J2388">
        <v>2</v>
      </c>
      <c r="K2388">
        <v>2</v>
      </c>
      <c r="L2388">
        <v>13</v>
      </c>
      <c r="M2388">
        <v>485.33</v>
      </c>
      <c r="N2388">
        <v>6309.29</v>
      </c>
      <c r="O2388">
        <v>0.03</v>
      </c>
      <c r="P2388">
        <v>189.28</v>
      </c>
      <c r="Q2388">
        <v>6120.01</v>
      </c>
      <c r="R2388">
        <v>4479.6000000000004</v>
      </c>
      <c r="S2388">
        <v>1640.41</v>
      </c>
    </row>
    <row r="2389" spans="1:19" x14ac:dyDescent="0.35">
      <c r="A2389">
        <v>201127</v>
      </c>
      <c r="B2389">
        <v>4326</v>
      </c>
      <c r="C2389" t="s">
        <v>33</v>
      </c>
      <c r="D2389" t="s">
        <v>31</v>
      </c>
      <c r="E2389" t="s">
        <v>26</v>
      </c>
      <c r="F2389" t="s">
        <v>27</v>
      </c>
      <c r="G2389" s="1">
        <v>45347</v>
      </c>
      <c r="H2389" s="1">
        <v>45352</v>
      </c>
      <c r="I2389" s="1">
        <v>45353</v>
      </c>
      <c r="J2389">
        <v>6</v>
      </c>
      <c r="K2389">
        <v>5</v>
      </c>
      <c r="L2389">
        <v>1</v>
      </c>
      <c r="M2389">
        <v>555.54</v>
      </c>
      <c r="N2389">
        <v>555.54</v>
      </c>
      <c r="O2389">
        <v>0.02</v>
      </c>
      <c r="P2389">
        <v>11.11</v>
      </c>
      <c r="Q2389">
        <v>544.42999999999995</v>
      </c>
      <c r="R2389">
        <v>388.88</v>
      </c>
      <c r="S2389">
        <v>155.55000000000001</v>
      </c>
    </row>
    <row r="2390" spans="1:19" x14ac:dyDescent="0.35">
      <c r="A2390">
        <v>201128</v>
      </c>
      <c r="B2390">
        <v>2267</v>
      </c>
      <c r="C2390" t="s">
        <v>28</v>
      </c>
      <c r="D2390" t="s">
        <v>20</v>
      </c>
      <c r="E2390" t="s">
        <v>34</v>
      </c>
      <c r="F2390" t="s">
        <v>35</v>
      </c>
      <c r="G2390" s="1">
        <v>45349</v>
      </c>
      <c r="H2390" s="1">
        <v>45354</v>
      </c>
      <c r="I2390" s="1">
        <v>45367</v>
      </c>
      <c r="J2390">
        <v>18</v>
      </c>
      <c r="K2390">
        <v>5</v>
      </c>
      <c r="L2390">
        <v>9</v>
      </c>
      <c r="M2390">
        <v>755.92</v>
      </c>
      <c r="N2390">
        <v>6803.28</v>
      </c>
      <c r="O2390">
        <v>0.09</v>
      </c>
      <c r="P2390">
        <v>612.29999999999995</v>
      </c>
      <c r="Q2390">
        <v>6190.98</v>
      </c>
      <c r="R2390">
        <v>4081.97</v>
      </c>
      <c r="S2390">
        <v>2109.0100000000002</v>
      </c>
    </row>
    <row r="2391" spans="1:19" x14ac:dyDescent="0.35">
      <c r="A2391">
        <v>201129</v>
      </c>
      <c r="B2391">
        <v>3724</v>
      </c>
      <c r="C2391" t="s">
        <v>23</v>
      </c>
      <c r="D2391" t="s">
        <v>31</v>
      </c>
      <c r="E2391" t="s">
        <v>24</v>
      </c>
      <c r="F2391" t="s">
        <v>32</v>
      </c>
      <c r="G2391" s="1">
        <v>45495</v>
      </c>
      <c r="H2391" s="1">
        <v>45496</v>
      </c>
      <c r="I2391" s="1">
        <v>45521</v>
      </c>
      <c r="J2391">
        <v>26</v>
      </c>
      <c r="K2391">
        <v>1</v>
      </c>
      <c r="L2391">
        <v>13</v>
      </c>
      <c r="M2391">
        <v>290.87</v>
      </c>
      <c r="N2391">
        <v>3781.31</v>
      </c>
      <c r="O2391">
        <v>0.12</v>
      </c>
      <c r="P2391">
        <v>453.76</v>
      </c>
      <c r="Q2391">
        <v>3327.55</v>
      </c>
      <c r="R2391">
        <v>2344.41</v>
      </c>
      <c r="S2391">
        <v>983.14</v>
      </c>
    </row>
    <row r="2392" spans="1:19" x14ac:dyDescent="0.35">
      <c r="A2392">
        <v>201130</v>
      </c>
      <c r="B2392">
        <v>1900</v>
      </c>
      <c r="C2392" t="s">
        <v>23</v>
      </c>
      <c r="D2392" t="s">
        <v>20</v>
      </c>
      <c r="E2392" t="s">
        <v>21</v>
      </c>
      <c r="F2392" t="s">
        <v>38</v>
      </c>
      <c r="G2392" s="1">
        <v>45388</v>
      </c>
      <c r="H2392" s="1">
        <v>45389</v>
      </c>
      <c r="I2392" s="1">
        <v>45408</v>
      </c>
      <c r="J2392">
        <v>20</v>
      </c>
      <c r="K2392">
        <v>1</v>
      </c>
      <c r="L2392">
        <v>11</v>
      </c>
      <c r="M2392">
        <v>418.36</v>
      </c>
      <c r="N2392">
        <v>4601.96</v>
      </c>
      <c r="O2392">
        <v>0.13</v>
      </c>
      <c r="P2392">
        <v>598.25</v>
      </c>
      <c r="Q2392">
        <v>4003.71</v>
      </c>
      <c r="R2392">
        <v>2715.16</v>
      </c>
      <c r="S2392">
        <v>1288.55</v>
      </c>
    </row>
    <row r="2393" spans="1:19" x14ac:dyDescent="0.35">
      <c r="A2393">
        <v>201131</v>
      </c>
      <c r="B2393">
        <v>1790</v>
      </c>
      <c r="C2393" t="s">
        <v>33</v>
      </c>
      <c r="D2393" t="s">
        <v>29</v>
      </c>
      <c r="E2393" t="s">
        <v>34</v>
      </c>
      <c r="F2393" t="s">
        <v>45</v>
      </c>
      <c r="G2393" s="1">
        <v>45500</v>
      </c>
      <c r="H2393" s="1">
        <v>45503</v>
      </c>
      <c r="I2393" s="1">
        <v>45515</v>
      </c>
      <c r="J2393">
        <v>15</v>
      </c>
      <c r="K2393">
        <v>3</v>
      </c>
      <c r="L2393">
        <v>9</v>
      </c>
      <c r="M2393">
        <v>137.36000000000001</v>
      </c>
      <c r="N2393">
        <v>1236.24</v>
      </c>
      <c r="O2393">
        <v>0.11</v>
      </c>
      <c r="P2393">
        <v>135.99</v>
      </c>
      <c r="Q2393">
        <v>1100.25</v>
      </c>
      <c r="R2393">
        <v>741.74</v>
      </c>
      <c r="S2393">
        <v>358.51</v>
      </c>
    </row>
    <row r="2394" spans="1:19" x14ac:dyDescent="0.35">
      <c r="A2394">
        <v>201132</v>
      </c>
      <c r="B2394">
        <v>2069</v>
      </c>
      <c r="C2394" t="s">
        <v>19</v>
      </c>
      <c r="D2394" t="s">
        <v>31</v>
      </c>
      <c r="E2394" t="s">
        <v>34</v>
      </c>
      <c r="F2394" t="s">
        <v>35</v>
      </c>
      <c r="G2394" s="1">
        <v>45413</v>
      </c>
      <c r="H2394" s="1">
        <v>45417</v>
      </c>
      <c r="I2394" s="1">
        <v>45440</v>
      </c>
      <c r="J2394">
        <v>27</v>
      </c>
      <c r="K2394">
        <v>4</v>
      </c>
      <c r="L2394">
        <v>3</v>
      </c>
      <c r="M2394">
        <v>136.97999999999999</v>
      </c>
      <c r="N2394">
        <v>410.94</v>
      </c>
      <c r="O2394">
        <v>0.06</v>
      </c>
      <c r="P2394">
        <v>24.66</v>
      </c>
      <c r="Q2394">
        <v>386.28</v>
      </c>
      <c r="R2394">
        <v>258.89</v>
      </c>
      <c r="S2394">
        <v>127.39</v>
      </c>
    </row>
    <row r="2395" spans="1:19" x14ac:dyDescent="0.35">
      <c r="A2395">
        <v>201133</v>
      </c>
      <c r="B2395">
        <v>1419</v>
      </c>
      <c r="C2395" t="s">
        <v>28</v>
      </c>
      <c r="D2395" t="s">
        <v>31</v>
      </c>
      <c r="E2395" t="s">
        <v>34</v>
      </c>
      <c r="F2395" t="s">
        <v>45</v>
      </c>
      <c r="G2395" s="1">
        <v>45363</v>
      </c>
      <c r="H2395" s="1">
        <v>45365</v>
      </c>
      <c r="I2395" s="1">
        <v>45378</v>
      </c>
      <c r="J2395">
        <v>15</v>
      </c>
      <c r="K2395">
        <v>2</v>
      </c>
      <c r="L2395">
        <v>5</v>
      </c>
      <c r="M2395">
        <v>466.58</v>
      </c>
      <c r="N2395">
        <v>2332.9</v>
      </c>
      <c r="O2395">
        <v>7.0000000000000007E-2</v>
      </c>
      <c r="P2395">
        <v>163.30000000000001</v>
      </c>
      <c r="Q2395">
        <v>2169.6</v>
      </c>
      <c r="R2395">
        <v>1609.7</v>
      </c>
      <c r="S2395">
        <v>559.9</v>
      </c>
    </row>
    <row r="2396" spans="1:19" x14ac:dyDescent="0.35">
      <c r="A2396">
        <v>201134</v>
      </c>
      <c r="B2396">
        <v>4639</v>
      </c>
      <c r="C2396" t="s">
        <v>28</v>
      </c>
      <c r="D2396" t="s">
        <v>29</v>
      </c>
      <c r="E2396" t="s">
        <v>26</v>
      </c>
      <c r="F2396" t="s">
        <v>37</v>
      </c>
      <c r="G2396" s="1">
        <v>45330</v>
      </c>
      <c r="H2396" s="1">
        <v>45332</v>
      </c>
      <c r="I2396" s="1">
        <v>45335</v>
      </c>
      <c r="J2396">
        <v>5</v>
      </c>
      <c r="K2396">
        <v>2</v>
      </c>
      <c r="L2396">
        <v>5</v>
      </c>
      <c r="M2396">
        <v>527.11</v>
      </c>
      <c r="N2396">
        <v>2635.55</v>
      </c>
      <c r="O2396">
        <v>0.15</v>
      </c>
      <c r="P2396">
        <v>395.33</v>
      </c>
      <c r="Q2396">
        <v>2240.2199999999998</v>
      </c>
      <c r="R2396">
        <v>1449.55</v>
      </c>
      <c r="S2396">
        <v>790.67</v>
      </c>
    </row>
    <row r="2397" spans="1:19" x14ac:dyDescent="0.35">
      <c r="A2397">
        <v>201135</v>
      </c>
      <c r="B2397">
        <v>1231</v>
      </c>
      <c r="C2397" t="s">
        <v>23</v>
      </c>
      <c r="D2397" t="s">
        <v>29</v>
      </c>
      <c r="E2397" t="s">
        <v>34</v>
      </c>
      <c r="F2397" t="s">
        <v>40</v>
      </c>
      <c r="G2397" s="1">
        <v>45521</v>
      </c>
      <c r="H2397" s="1">
        <v>45522</v>
      </c>
      <c r="I2397" s="1">
        <v>45523</v>
      </c>
      <c r="J2397">
        <v>2</v>
      </c>
      <c r="K2397">
        <v>1</v>
      </c>
      <c r="L2397">
        <v>6</v>
      </c>
      <c r="M2397">
        <v>189.66</v>
      </c>
      <c r="N2397">
        <v>1137.96</v>
      </c>
      <c r="O2397">
        <v>0.03</v>
      </c>
      <c r="P2397">
        <v>34.14</v>
      </c>
      <c r="Q2397">
        <v>1103.82</v>
      </c>
      <c r="R2397">
        <v>716.91</v>
      </c>
      <c r="S2397">
        <v>386.91</v>
      </c>
    </row>
    <row r="2398" spans="1:19" x14ac:dyDescent="0.35">
      <c r="A2398">
        <v>201136</v>
      </c>
      <c r="B2398">
        <v>4487</v>
      </c>
      <c r="C2398" t="s">
        <v>33</v>
      </c>
      <c r="D2398" t="s">
        <v>31</v>
      </c>
      <c r="E2398" t="s">
        <v>24</v>
      </c>
      <c r="F2398" t="s">
        <v>25</v>
      </c>
      <c r="G2398" s="1">
        <v>45353</v>
      </c>
      <c r="H2398" s="1">
        <v>45357</v>
      </c>
      <c r="I2398" s="1">
        <v>45383</v>
      </c>
      <c r="J2398">
        <v>30</v>
      </c>
      <c r="K2398">
        <v>4</v>
      </c>
      <c r="L2398">
        <v>8</v>
      </c>
      <c r="M2398">
        <v>131.06</v>
      </c>
      <c r="N2398">
        <v>1048.48</v>
      </c>
      <c r="O2398">
        <v>7.0000000000000007E-2</v>
      </c>
      <c r="P2398">
        <v>73.39</v>
      </c>
      <c r="Q2398">
        <v>975.09</v>
      </c>
      <c r="R2398">
        <v>660.54</v>
      </c>
      <c r="S2398">
        <v>314.55</v>
      </c>
    </row>
    <row r="2399" spans="1:19" x14ac:dyDescent="0.35">
      <c r="A2399">
        <v>201137</v>
      </c>
      <c r="B2399">
        <v>1831</v>
      </c>
      <c r="C2399" t="s">
        <v>19</v>
      </c>
      <c r="D2399" t="s">
        <v>31</v>
      </c>
      <c r="E2399" t="s">
        <v>34</v>
      </c>
      <c r="F2399" t="s">
        <v>45</v>
      </c>
      <c r="G2399" s="1">
        <v>45514</v>
      </c>
      <c r="H2399" s="1">
        <v>45516</v>
      </c>
      <c r="I2399" s="1">
        <v>45531</v>
      </c>
      <c r="J2399">
        <v>17</v>
      </c>
      <c r="K2399">
        <v>2</v>
      </c>
      <c r="L2399">
        <v>1</v>
      </c>
      <c r="M2399">
        <v>187.67</v>
      </c>
      <c r="N2399">
        <v>187.67</v>
      </c>
      <c r="O2399">
        <v>0.1</v>
      </c>
      <c r="P2399">
        <v>18.77</v>
      </c>
      <c r="Q2399">
        <v>168.9</v>
      </c>
      <c r="R2399">
        <v>112.6</v>
      </c>
      <c r="S2399">
        <v>56.3</v>
      </c>
    </row>
    <row r="2400" spans="1:19" x14ac:dyDescent="0.35">
      <c r="A2400">
        <v>201138</v>
      </c>
      <c r="B2400">
        <v>4995</v>
      </c>
      <c r="C2400" t="s">
        <v>19</v>
      </c>
      <c r="D2400" t="s">
        <v>31</v>
      </c>
      <c r="E2400" t="s">
        <v>24</v>
      </c>
      <c r="F2400" t="s">
        <v>30</v>
      </c>
      <c r="G2400" s="1">
        <v>45608</v>
      </c>
      <c r="H2400" s="1">
        <v>45612</v>
      </c>
      <c r="I2400" s="1">
        <v>45611</v>
      </c>
      <c r="J2400">
        <v>3</v>
      </c>
      <c r="K2400">
        <v>4</v>
      </c>
      <c r="L2400">
        <v>8</v>
      </c>
      <c r="M2400">
        <v>288.95</v>
      </c>
      <c r="N2400">
        <v>2311.6</v>
      </c>
      <c r="O2400">
        <v>0.09</v>
      </c>
      <c r="P2400">
        <v>208.04</v>
      </c>
      <c r="Q2400">
        <v>2103.56</v>
      </c>
      <c r="R2400">
        <v>1664.35</v>
      </c>
      <c r="S2400">
        <v>439.21</v>
      </c>
    </row>
    <row r="2401" spans="1:19" x14ac:dyDescent="0.35">
      <c r="A2401">
        <v>201139</v>
      </c>
      <c r="B2401">
        <v>2081</v>
      </c>
      <c r="C2401" t="s">
        <v>19</v>
      </c>
      <c r="D2401" t="s">
        <v>31</v>
      </c>
      <c r="E2401" t="s">
        <v>21</v>
      </c>
      <c r="F2401" t="s">
        <v>39</v>
      </c>
      <c r="G2401" s="1">
        <v>45483</v>
      </c>
      <c r="H2401" s="1">
        <v>45484</v>
      </c>
      <c r="I2401" s="1">
        <v>45506</v>
      </c>
      <c r="J2401">
        <v>23</v>
      </c>
      <c r="K2401">
        <v>1</v>
      </c>
      <c r="L2401">
        <v>9</v>
      </c>
      <c r="M2401">
        <v>677.36</v>
      </c>
      <c r="N2401">
        <v>6096.24</v>
      </c>
      <c r="O2401">
        <v>0.13</v>
      </c>
      <c r="P2401">
        <v>792.51</v>
      </c>
      <c r="Q2401">
        <v>5303.73</v>
      </c>
      <c r="R2401">
        <v>3840.63</v>
      </c>
      <c r="S2401">
        <v>1463.1</v>
      </c>
    </row>
    <row r="2402" spans="1:19" x14ac:dyDescent="0.35">
      <c r="A2402">
        <v>201140</v>
      </c>
      <c r="B2402">
        <v>2889</v>
      </c>
      <c r="C2402" t="s">
        <v>28</v>
      </c>
      <c r="D2402" t="s">
        <v>29</v>
      </c>
      <c r="E2402" t="s">
        <v>34</v>
      </c>
      <c r="F2402" t="s">
        <v>35</v>
      </c>
      <c r="G2402" s="1">
        <v>45301</v>
      </c>
      <c r="H2402" s="1">
        <v>45306</v>
      </c>
      <c r="I2402" s="1">
        <v>45311</v>
      </c>
      <c r="J2402">
        <v>10</v>
      </c>
      <c r="K2402">
        <v>5</v>
      </c>
      <c r="L2402">
        <v>8</v>
      </c>
      <c r="M2402">
        <v>792.77</v>
      </c>
      <c r="N2402">
        <v>6342.16</v>
      </c>
      <c r="O2402">
        <v>0.17</v>
      </c>
      <c r="P2402">
        <v>1078.17</v>
      </c>
      <c r="Q2402">
        <v>5263.99</v>
      </c>
      <c r="R2402">
        <v>3488.19</v>
      </c>
      <c r="S2402">
        <v>1775.8</v>
      </c>
    </row>
    <row r="2403" spans="1:19" x14ac:dyDescent="0.35">
      <c r="A2403">
        <v>201141</v>
      </c>
      <c r="B2403">
        <v>1166</v>
      </c>
      <c r="C2403" t="s">
        <v>19</v>
      </c>
      <c r="D2403" t="s">
        <v>20</v>
      </c>
      <c r="E2403" t="s">
        <v>26</v>
      </c>
      <c r="F2403" t="s">
        <v>44</v>
      </c>
      <c r="G2403" s="1">
        <v>45487</v>
      </c>
      <c r="H2403" s="1">
        <v>45488</v>
      </c>
      <c r="I2403" s="1">
        <v>45514</v>
      </c>
      <c r="J2403">
        <v>27</v>
      </c>
      <c r="K2403">
        <v>1</v>
      </c>
      <c r="L2403">
        <v>7</v>
      </c>
      <c r="M2403">
        <v>639.66999999999996</v>
      </c>
      <c r="N2403">
        <v>4477.6899999999996</v>
      </c>
      <c r="O2403">
        <v>0.09</v>
      </c>
      <c r="P2403">
        <v>402.99</v>
      </c>
      <c r="Q2403">
        <v>4074.7</v>
      </c>
      <c r="R2403">
        <v>2776.17</v>
      </c>
      <c r="S2403">
        <v>1298.53</v>
      </c>
    </row>
    <row r="2404" spans="1:19" x14ac:dyDescent="0.35">
      <c r="A2404">
        <v>201142</v>
      </c>
      <c r="B2404">
        <v>2015</v>
      </c>
      <c r="C2404" t="s">
        <v>28</v>
      </c>
      <c r="D2404" t="s">
        <v>20</v>
      </c>
      <c r="E2404" t="s">
        <v>26</v>
      </c>
      <c r="F2404" t="s">
        <v>37</v>
      </c>
      <c r="G2404" s="1">
        <v>45508</v>
      </c>
      <c r="H2404" s="1">
        <v>45512</v>
      </c>
      <c r="I2404" s="1">
        <v>45538</v>
      </c>
      <c r="J2404">
        <v>30</v>
      </c>
      <c r="K2404">
        <v>4</v>
      </c>
      <c r="L2404">
        <v>2</v>
      </c>
      <c r="M2404">
        <v>557.52</v>
      </c>
      <c r="N2404">
        <v>1115.04</v>
      </c>
      <c r="O2404">
        <v>0.19</v>
      </c>
      <c r="P2404">
        <v>211.86</v>
      </c>
      <c r="Q2404">
        <v>903.18</v>
      </c>
      <c r="R2404">
        <v>691.32</v>
      </c>
      <c r="S2404">
        <v>211.86</v>
      </c>
    </row>
    <row r="2405" spans="1:19" x14ac:dyDescent="0.35">
      <c r="A2405">
        <v>201143</v>
      </c>
      <c r="B2405">
        <v>1420</v>
      </c>
      <c r="C2405" t="s">
        <v>28</v>
      </c>
      <c r="D2405" t="s">
        <v>29</v>
      </c>
      <c r="E2405" t="s">
        <v>24</v>
      </c>
      <c r="F2405" t="s">
        <v>42</v>
      </c>
      <c r="G2405" s="1">
        <v>45388</v>
      </c>
      <c r="H2405" s="1">
        <v>45392</v>
      </c>
      <c r="I2405" s="1">
        <v>45399</v>
      </c>
      <c r="J2405">
        <v>11</v>
      </c>
      <c r="K2405">
        <v>4</v>
      </c>
      <c r="L2405">
        <v>12</v>
      </c>
      <c r="M2405">
        <v>254.9</v>
      </c>
      <c r="N2405">
        <v>3058.8</v>
      </c>
      <c r="O2405">
        <v>0.02</v>
      </c>
      <c r="P2405">
        <v>61.18</v>
      </c>
      <c r="Q2405">
        <v>2997.62</v>
      </c>
      <c r="R2405">
        <v>1804.69</v>
      </c>
      <c r="S2405">
        <v>1192.93</v>
      </c>
    </row>
    <row r="2406" spans="1:19" x14ac:dyDescent="0.35">
      <c r="A2406">
        <v>201144</v>
      </c>
      <c r="B2406">
        <v>2818</v>
      </c>
      <c r="C2406" t="s">
        <v>33</v>
      </c>
      <c r="D2406" t="s">
        <v>20</v>
      </c>
      <c r="E2406" t="s">
        <v>24</v>
      </c>
      <c r="F2406" t="s">
        <v>25</v>
      </c>
      <c r="G2406" s="1">
        <v>45470</v>
      </c>
      <c r="H2406" s="1">
        <v>45475</v>
      </c>
      <c r="I2406" s="1">
        <v>45496</v>
      </c>
      <c r="J2406">
        <v>26</v>
      </c>
      <c r="K2406">
        <v>5</v>
      </c>
      <c r="L2406">
        <v>12</v>
      </c>
      <c r="M2406">
        <v>378.47</v>
      </c>
      <c r="N2406">
        <v>4541.6400000000003</v>
      </c>
      <c r="O2406">
        <v>0.19</v>
      </c>
      <c r="P2406">
        <v>862.91</v>
      </c>
      <c r="Q2406">
        <v>3678.73</v>
      </c>
      <c r="R2406">
        <v>2861.23</v>
      </c>
      <c r="S2406">
        <v>817.5</v>
      </c>
    </row>
    <row r="2407" spans="1:19" x14ac:dyDescent="0.35">
      <c r="A2407">
        <v>201145</v>
      </c>
      <c r="B2407">
        <v>4459</v>
      </c>
      <c r="C2407" t="s">
        <v>23</v>
      </c>
      <c r="D2407" t="s">
        <v>20</v>
      </c>
      <c r="E2407" t="s">
        <v>24</v>
      </c>
      <c r="F2407" t="s">
        <v>32</v>
      </c>
      <c r="G2407" s="1">
        <v>45541</v>
      </c>
      <c r="H2407" s="1">
        <v>45543</v>
      </c>
      <c r="I2407" s="1">
        <v>45547</v>
      </c>
      <c r="J2407">
        <v>6</v>
      </c>
      <c r="K2407">
        <v>2</v>
      </c>
      <c r="L2407">
        <v>7</v>
      </c>
      <c r="M2407">
        <v>724.91</v>
      </c>
      <c r="N2407">
        <v>5074.37</v>
      </c>
      <c r="O2407">
        <v>0.01</v>
      </c>
      <c r="P2407">
        <v>50.74</v>
      </c>
      <c r="Q2407">
        <v>5023.63</v>
      </c>
      <c r="R2407">
        <v>3298.34</v>
      </c>
      <c r="S2407">
        <v>1725.29</v>
      </c>
    </row>
    <row r="2408" spans="1:19" x14ac:dyDescent="0.35">
      <c r="A2408">
        <v>201146</v>
      </c>
      <c r="B2408">
        <v>1435</v>
      </c>
      <c r="C2408" t="s">
        <v>19</v>
      </c>
      <c r="D2408" t="s">
        <v>29</v>
      </c>
      <c r="E2408" t="s">
        <v>21</v>
      </c>
      <c r="F2408" t="s">
        <v>22</v>
      </c>
      <c r="G2408" s="1">
        <v>45315</v>
      </c>
      <c r="H2408" s="1">
        <v>45320</v>
      </c>
      <c r="I2408" s="1">
        <v>45344</v>
      </c>
      <c r="J2408">
        <v>29</v>
      </c>
      <c r="K2408">
        <v>5</v>
      </c>
      <c r="L2408">
        <v>1</v>
      </c>
      <c r="M2408">
        <v>418.35</v>
      </c>
      <c r="N2408">
        <v>418.35</v>
      </c>
      <c r="O2408">
        <v>0.11</v>
      </c>
      <c r="P2408">
        <v>46.02</v>
      </c>
      <c r="Q2408">
        <v>372.33</v>
      </c>
      <c r="R2408">
        <v>242.64</v>
      </c>
      <c r="S2408">
        <v>129.69</v>
      </c>
    </row>
    <row r="2409" spans="1:19" x14ac:dyDescent="0.35">
      <c r="A2409">
        <v>201147</v>
      </c>
      <c r="B2409">
        <v>2825</v>
      </c>
      <c r="C2409" t="s">
        <v>33</v>
      </c>
      <c r="D2409" t="s">
        <v>20</v>
      </c>
      <c r="E2409" t="s">
        <v>24</v>
      </c>
      <c r="F2409" t="s">
        <v>30</v>
      </c>
      <c r="G2409" s="1">
        <v>45654</v>
      </c>
      <c r="H2409" s="1">
        <v>45655</v>
      </c>
      <c r="I2409" s="1">
        <v>45677</v>
      </c>
      <c r="J2409">
        <v>23</v>
      </c>
      <c r="K2409">
        <v>1</v>
      </c>
      <c r="L2409">
        <v>6</v>
      </c>
      <c r="M2409">
        <v>133.15</v>
      </c>
      <c r="N2409">
        <v>798.9</v>
      </c>
      <c r="O2409">
        <v>0.11</v>
      </c>
      <c r="P2409">
        <v>87.88</v>
      </c>
      <c r="Q2409">
        <v>711.02</v>
      </c>
      <c r="R2409">
        <v>527.27</v>
      </c>
      <c r="S2409">
        <v>183.75</v>
      </c>
    </row>
    <row r="2410" spans="1:19" x14ac:dyDescent="0.35">
      <c r="A2410">
        <v>201148</v>
      </c>
      <c r="B2410">
        <v>3761</v>
      </c>
      <c r="C2410" t="s">
        <v>23</v>
      </c>
      <c r="D2410" t="s">
        <v>31</v>
      </c>
      <c r="E2410" t="s">
        <v>34</v>
      </c>
      <c r="F2410" t="s">
        <v>35</v>
      </c>
      <c r="G2410" s="1">
        <v>45644</v>
      </c>
      <c r="H2410" s="1">
        <v>45648</v>
      </c>
      <c r="I2410" s="1">
        <v>45649</v>
      </c>
      <c r="J2410">
        <v>5</v>
      </c>
      <c r="K2410">
        <v>4</v>
      </c>
      <c r="L2410">
        <v>9</v>
      </c>
      <c r="M2410">
        <v>346.55</v>
      </c>
      <c r="N2410">
        <v>3118.95</v>
      </c>
      <c r="O2410">
        <v>0</v>
      </c>
      <c r="P2410">
        <v>0</v>
      </c>
      <c r="Q2410">
        <v>3118.95</v>
      </c>
      <c r="R2410">
        <v>1684.23</v>
      </c>
      <c r="S2410">
        <v>1434.72</v>
      </c>
    </row>
    <row r="2411" spans="1:19" x14ac:dyDescent="0.35">
      <c r="A2411">
        <v>201149</v>
      </c>
      <c r="B2411">
        <v>4414</v>
      </c>
      <c r="C2411" t="s">
        <v>19</v>
      </c>
      <c r="D2411" t="s">
        <v>20</v>
      </c>
      <c r="E2411" t="s">
        <v>34</v>
      </c>
      <c r="F2411" t="s">
        <v>35</v>
      </c>
      <c r="G2411" s="1">
        <v>45405</v>
      </c>
      <c r="H2411" s="1">
        <v>45408</v>
      </c>
      <c r="I2411" s="1">
        <v>45411</v>
      </c>
      <c r="J2411">
        <v>6</v>
      </c>
      <c r="K2411">
        <v>3</v>
      </c>
      <c r="L2411">
        <v>14</v>
      </c>
      <c r="M2411">
        <v>505.41</v>
      </c>
      <c r="N2411">
        <v>7075.74</v>
      </c>
      <c r="O2411">
        <v>0.16</v>
      </c>
      <c r="P2411">
        <v>1132.1199999999999</v>
      </c>
      <c r="Q2411">
        <v>5943.62</v>
      </c>
      <c r="R2411">
        <v>4103.93</v>
      </c>
      <c r="S2411">
        <v>1839.69</v>
      </c>
    </row>
    <row r="2412" spans="1:19" x14ac:dyDescent="0.35">
      <c r="A2412">
        <v>201150</v>
      </c>
      <c r="B2412">
        <v>2081</v>
      </c>
      <c r="C2412" t="s">
        <v>33</v>
      </c>
      <c r="D2412" t="s">
        <v>29</v>
      </c>
      <c r="E2412" t="s">
        <v>24</v>
      </c>
      <c r="F2412" t="s">
        <v>32</v>
      </c>
      <c r="G2412" s="1">
        <v>45595</v>
      </c>
      <c r="H2412" s="1">
        <v>45596</v>
      </c>
      <c r="I2412" s="1">
        <v>45603</v>
      </c>
      <c r="J2412">
        <v>8</v>
      </c>
      <c r="K2412">
        <v>1</v>
      </c>
      <c r="L2412">
        <v>12</v>
      </c>
      <c r="M2412">
        <v>394.1</v>
      </c>
      <c r="N2412">
        <v>4729.2</v>
      </c>
      <c r="O2412">
        <v>0.11</v>
      </c>
      <c r="P2412">
        <v>520.21</v>
      </c>
      <c r="Q2412">
        <v>4208.99</v>
      </c>
      <c r="R2412">
        <v>2553.77</v>
      </c>
      <c r="S2412">
        <v>1655.22</v>
      </c>
    </row>
    <row r="2413" spans="1:19" x14ac:dyDescent="0.35">
      <c r="A2413">
        <v>201151</v>
      </c>
      <c r="B2413">
        <v>3107</v>
      </c>
      <c r="C2413" t="s">
        <v>19</v>
      </c>
      <c r="D2413" t="s">
        <v>31</v>
      </c>
      <c r="E2413" t="s">
        <v>24</v>
      </c>
      <c r="F2413" t="s">
        <v>42</v>
      </c>
      <c r="G2413" s="1">
        <v>45406</v>
      </c>
      <c r="H2413" s="1">
        <v>45410</v>
      </c>
      <c r="I2413" s="1">
        <v>45435</v>
      </c>
      <c r="J2413">
        <v>29</v>
      </c>
      <c r="K2413">
        <v>4</v>
      </c>
      <c r="L2413">
        <v>1</v>
      </c>
      <c r="M2413">
        <v>707.6</v>
      </c>
      <c r="N2413">
        <v>707.6</v>
      </c>
      <c r="O2413">
        <v>0.09</v>
      </c>
      <c r="P2413">
        <v>63.68</v>
      </c>
      <c r="Q2413">
        <v>643.91999999999996</v>
      </c>
      <c r="R2413">
        <v>467.02</v>
      </c>
      <c r="S2413">
        <v>176.9</v>
      </c>
    </row>
    <row r="2414" spans="1:19" x14ac:dyDescent="0.35">
      <c r="A2414">
        <v>201152</v>
      </c>
      <c r="B2414">
        <v>3277</v>
      </c>
      <c r="C2414" t="s">
        <v>23</v>
      </c>
      <c r="D2414" t="s">
        <v>20</v>
      </c>
      <c r="E2414" t="s">
        <v>26</v>
      </c>
      <c r="F2414" t="s">
        <v>37</v>
      </c>
      <c r="G2414" s="1">
        <v>45630</v>
      </c>
      <c r="H2414" s="1">
        <v>45635</v>
      </c>
      <c r="I2414" s="1">
        <v>45653</v>
      </c>
      <c r="J2414">
        <v>23</v>
      </c>
      <c r="K2414">
        <v>5</v>
      </c>
      <c r="L2414">
        <v>5</v>
      </c>
      <c r="M2414">
        <v>555.58000000000004</v>
      </c>
      <c r="N2414">
        <v>2777.9</v>
      </c>
      <c r="O2414">
        <v>0.06</v>
      </c>
      <c r="P2414">
        <v>166.67</v>
      </c>
      <c r="Q2414">
        <v>2611.23</v>
      </c>
      <c r="R2414">
        <v>1750.08</v>
      </c>
      <c r="S2414">
        <v>861.15</v>
      </c>
    </row>
    <row r="2415" spans="1:19" x14ac:dyDescent="0.35">
      <c r="A2415">
        <v>201153</v>
      </c>
      <c r="B2415">
        <v>2238</v>
      </c>
      <c r="C2415" t="s">
        <v>23</v>
      </c>
      <c r="D2415" t="s">
        <v>29</v>
      </c>
      <c r="E2415" t="s">
        <v>21</v>
      </c>
      <c r="F2415" t="s">
        <v>22</v>
      </c>
      <c r="G2415" s="1">
        <v>45395</v>
      </c>
      <c r="H2415" s="1">
        <v>45396</v>
      </c>
      <c r="I2415" s="1">
        <v>45400</v>
      </c>
      <c r="J2415">
        <v>5</v>
      </c>
      <c r="K2415">
        <v>1</v>
      </c>
      <c r="L2415">
        <v>3</v>
      </c>
      <c r="M2415">
        <v>513.29999999999995</v>
      </c>
      <c r="N2415">
        <v>1539.9</v>
      </c>
      <c r="O2415">
        <v>7.0000000000000007E-2</v>
      </c>
      <c r="P2415">
        <v>107.79</v>
      </c>
      <c r="Q2415">
        <v>1432.11</v>
      </c>
      <c r="R2415">
        <v>1077.93</v>
      </c>
      <c r="S2415">
        <v>354.18</v>
      </c>
    </row>
    <row r="2416" spans="1:19" x14ac:dyDescent="0.35">
      <c r="A2416">
        <v>201154</v>
      </c>
      <c r="B2416">
        <v>3349</v>
      </c>
      <c r="C2416" t="s">
        <v>28</v>
      </c>
      <c r="D2416" t="s">
        <v>29</v>
      </c>
      <c r="E2416" t="s">
        <v>24</v>
      </c>
      <c r="F2416" t="s">
        <v>32</v>
      </c>
      <c r="G2416" s="1">
        <v>45409</v>
      </c>
      <c r="H2416" s="1">
        <v>45414</v>
      </c>
      <c r="I2416" s="1">
        <v>45424</v>
      </c>
      <c r="J2416">
        <v>15</v>
      </c>
      <c r="K2416">
        <v>5</v>
      </c>
      <c r="L2416">
        <v>7</v>
      </c>
      <c r="M2416">
        <v>76.95</v>
      </c>
      <c r="N2416">
        <v>538.65</v>
      </c>
      <c r="O2416">
        <v>0.12</v>
      </c>
      <c r="P2416">
        <v>64.64</v>
      </c>
      <c r="Q2416">
        <v>474.01</v>
      </c>
      <c r="R2416">
        <v>339.35</v>
      </c>
      <c r="S2416">
        <v>134.66</v>
      </c>
    </row>
    <row r="2417" spans="1:19" x14ac:dyDescent="0.35">
      <c r="A2417">
        <v>201155</v>
      </c>
      <c r="B2417">
        <v>1791</v>
      </c>
      <c r="C2417" t="s">
        <v>28</v>
      </c>
      <c r="D2417" t="s">
        <v>29</v>
      </c>
      <c r="E2417" t="s">
        <v>26</v>
      </c>
      <c r="F2417" t="s">
        <v>44</v>
      </c>
      <c r="G2417" s="1">
        <v>45567</v>
      </c>
      <c r="H2417" s="1">
        <v>45570</v>
      </c>
      <c r="I2417" s="1">
        <v>45572</v>
      </c>
      <c r="J2417">
        <v>5</v>
      </c>
      <c r="K2417">
        <v>3</v>
      </c>
      <c r="L2417">
        <v>4</v>
      </c>
      <c r="M2417">
        <v>543.6</v>
      </c>
      <c r="N2417">
        <v>2174.4</v>
      </c>
      <c r="O2417">
        <v>0.08</v>
      </c>
      <c r="P2417">
        <v>173.95</v>
      </c>
      <c r="Q2417">
        <v>2000.45</v>
      </c>
      <c r="R2417">
        <v>1348.13</v>
      </c>
      <c r="S2417">
        <v>652.32000000000005</v>
      </c>
    </row>
    <row r="2418" spans="1:19" x14ac:dyDescent="0.35">
      <c r="A2418">
        <v>201156</v>
      </c>
      <c r="B2418">
        <v>2001</v>
      </c>
      <c r="C2418" t="s">
        <v>33</v>
      </c>
      <c r="D2418" t="s">
        <v>29</v>
      </c>
      <c r="E2418" t="s">
        <v>21</v>
      </c>
      <c r="F2418" t="s">
        <v>38</v>
      </c>
      <c r="G2418" s="1">
        <v>45655</v>
      </c>
      <c r="H2418" s="1">
        <v>45660</v>
      </c>
      <c r="I2418" s="1">
        <v>45670</v>
      </c>
      <c r="J2418">
        <v>15</v>
      </c>
      <c r="K2418">
        <v>5</v>
      </c>
      <c r="L2418">
        <v>7</v>
      </c>
      <c r="M2418">
        <v>147.84</v>
      </c>
      <c r="N2418">
        <v>1034.8800000000001</v>
      </c>
      <c r="O2418">
        <v>0.08</v>
      </c>
      <c r="P2418">
        <v>82.79</v>
      </c>
      <c r="Q2418">
        <v>952.09</v>
      </c>
      <c r="R2418">
        <v>631.28</v>
      </c>
      <c r="S2418">
        <v>320.81</v>
      </c>
    </row>
    <row r="2419" spans="1:19" x14ac:dyDescent="0.35">
      <c r="A2419">
        <v>201157</v>
      </c>
      <c r="B2419">
        <v>4030</v>
      </c>
      <c r="C2419" t="s">
        <v>33</v>
      </c>
      <c r="D2419" t="s">
        <v>31</v>
      </c>
      <c r="E2419" t="s">
        <v>34</v>
      </c>
      <c r="F2419" t="s">
        <v>40</v>
      </c>
      <c r="G2419" s="1">
        <v>45591</v>
      </c>
      <c r="H2419" s="1">
        <v>45592</v>
      </c>
      <c r="I2419" s="1">
        <v>45600</v>
      </c>
      <c r="J2419">
        <v>9</v>
      </c>
      <c r="K2419">
        <v>1</v>
      </c>
      <c r="L2419">
        <v>8</v>
      </c>
      <c r="M2419">
        <v>331.19</v>
      </c>
      <c r="N2419">
        <v>2649.52</v>
      </c>
      <c r="O2419">
        <v>7.0000000000000007E-2</v>
      </c>
      <c r="P2419">
        <v>185.47</v>
      </c>
      <c r="Q2419">
        <v>2464.0500000000002</v>
      </c>
      <c r="R2419">
        <v>1377.75</v>
      </c>
      <c r="S2419">
        <v>1086.3</v>
      </c>
    </row>
    <row r="2420" spans="1:19" x14ac:dyDescent="0.35">
      <c r="A2420">
        <v>201158</v>
      </c>
      <c r="B2420">
        <v>2080</v>
      </c>
      <c r="C2420" t="s">
        <v>23</v>
      </c>
      <c r="D2420" t="s">
        <v>31</v>
      </c>
      <c r="E2420" t="s">
        <v>34</v>
      </c>
      <c r="F2420" t="s">
        <v>45</v>
      </c>
      <c r="G2420" s="1">
        <v>45508</v>
      </c>
      <c r="H2420" s="1">
        <v>45513</v>
      </c>
      <c r="I2420" s="1">
        <v>45521</v>
      </c>
      <c r="J2420">
        <v>13</v>
      </c>
      <c r="K2420">
        <v>5</v>
      </c>
      <c r="L2420">
        <v>8</v>
      </c>
      <c r="M2420">
        <v>326.27999999999997</v>
      </c>
      <c r="N2420">
        <v>2610.2399999999998</v>
      </c>
      <c r="O2420">
        <v>0.12</v>
      </c>
      <c r="P2420">
        <v>313.23</v>
      </c>
      <c r="Q2420">
        <v>2297.0100000000002</v>
      </c>
      <c r="R2420">
        <v>1540.04</v>
      </c>
      <c r="S2420">
        <v>756.97</v>
      </c>
    </row>
    <row r="2421" spans="1:19" x14ac:dyDescent="0.35">
      <c r="A2421">
        <v>201159</v>
      </c>
      <c r="B2421">
        <v>3736</v>
      </c>
      <c r="C2421" t="s">
        <v>33</v>
      </c>
      <c r="D2421" t="s">
        <v>29</v>
      </c>
      <c r="E2421" t="s">
        <v>24</v>
      </c>
      <c r="F2421" t="s">
        <v>25</v>
      </c>
      <c r="G2421" s="1">
        <v>45357</v>
      </c>
      <c r="H2421" s="1">
        <v>45362</v>
      </c>
      <c r="I2421" s="1">
        <v>45372</v>
      </c>
      <c r="J2421">
        <v>15</v>
      </c>
      <c r="K2421">
        <v>5</v>
      </c>
      <c r="L2421">
        <v>11</v>
      </c>
      <c r="M2421">
        <v>377.5</v>
      </c>
      <c r="N2421">
        <v>4152.5</v>
      </c>
      <c r="O2421">
        <v>0.18</v>
      </c>
      <c r="P2421">
        <v>747.45</v>
      </c>
      <c r="Q2421">
        <v>3405.05</v>
      </c>
      <c r="R2421">
        <v>2325.4</v>
      </c>
      <c r="S2421">
        <v>1079.6500000000001</v>
      </c>
    </row>
    <row r="2422" spans="1:19" x14ac:dyDescent="0.35">
      <c r="A2422">
        <v>201160</v>
      </c>
      <c r="B2422">
        <v>2815</v>
      </c>
      <c r="C2422" t="s">
        <v>33</v>
      </c>
      <c r="D2422" t="s">
        <v>31</v>
      </c>
      <c r="E2422" t="s">
        <v>34</v>
      </c>
      <c r="F2422" t="s">
        <v>35</v>
      </c>
      <c r="G2422" s="1">
        <v>45589</v>
      </c>
      <c r="H2422" s="1">
        <v>45592</v>
      </c>
      <c r="I2422" s="1">
        <v>45618</v>
      </c>
      <c r="J2422">
        <v>29</v>
      </c>
      <c r="K2422">
        <v>3</v>
      </c>
      <c r="L2422">
        <v>1</v>
      </c>
      <c r="M2422">
        <v>541.99</v>
      </c>
      <c r="N2422">
        <v>541.99</v>
      </c>
      <c r="O2422">
        <v>0.04</v>
      </c>
      <c r="P2422">
        <v>21.68</v>
      </c>
      <c r="Q2422">
        <v>520.30999999999995</v>
      </c>
      <c r="R2422">
        <v>314.35000000000002</v>
      </c>
      <c r="S2422">
        <v>205.96</v>
      </c>
    </row>
    <row r="2423" spans="1:19" x14ac:dyDescent="0.35">
      <c r="A2423">
        <v>201161</v>
      </c>
      <c r="B2423">
        <v>1347</v>
      </c>
      <c r="C2423" t="s">
        <v>23</v>
      </c>
      <c r="D2423" t="s">
        <v>31</v>
      </c>
      <c r="E2423" t="s">
        <v>24</v>
      </c>
      <c r="F2423" t="s">
        <v>25</v>
      </c>
      <c r="G2423" s="1">
        <v>45627</v>
      </c>
      <c r="H2423" s="1">
        <v>45628</v>
      </c>
      <c r="I2423" s="1">
        <v>45657</v>
      </c>
      <c r="J2423">
        <v>30</v>
      </c>
      <c r="K2423">
        <v>1</v>
      </c>
      <c r="L2423">
        <v>3</v>
      </c>
      <c r="M2423">
        <v>258.08999999999997</v>
      </c>
      <c r="N2423">
        <v>774.27</v>
      </c>
      <c r="O2423">
        <v>0.12</v>
      </c>
      <c r="P2423">
        <v>92.91</v>
      </c>
      <c r="Q2423">
        <v>681.36</v>
      </c>
      <c r="R2423">
        <v>487.79</v>
      </c>
      <c r="S2423">
        <v>193.57</v>
      </c>
    </row>
    <row r="2424" spans="1:19" x14ac:dyDescent="0.35">
      <c r="A2424">
        <v>201162</v>
      </c>
      <c r="B2424">
        <v>3428</v>
      </c>
      <c r="C2424" t="s">
        <v>28</v>
      </c>
      <c r="D2424" t="s">
        <v>29</v>
      </c>
      <c r="E2424" t="s">
        <v>21</v>
      </c>
      <c r="F2424" t="s">
        <v>38</v>
      </c>
      <c r="G2424" s="1">
        <v>45491</v>
      </c>
      <c r="H2424" s="1">
        <v>45493</v>
      </c>
      <c r="I2424" s="1">
        <v>45515</v>
      </c>
      <c r="J2424">
        <v>24</v>
      </c>
      <c r="K2424">
        <v>2</v>
      </c>
      <c r="L2424">
        <v>11</v>
      </c>
      <c r="M2424">
        <v>665.56</v>
      </c>
      <c r="N2424">
        <v>7321.16</v>
      </c>
      <c r="O2424">
        <v>0.09</v>
      </c>
      <c r="P2424">
        <v>658.9</v>
      </c>
      <c r="Q2424">
        <v>6662.26</v>
      </c>
      <c r="R2424">
        <v>4905.18</v>
      </c>
      <c r="S2424">
        <v>1757.08</v>
      </c>
    </row>
    <row r="2425" spans="1:19" x14ac:dyDescent="0.35">
      <c r="A2425">
        <v>201163</v>
      </c>
      <c r="B2425">
        <v>3148</v>
      </c>
      <c r="C2425" t="s">
        <v>33</v>
      </c>
      <c r="D2425" t="s">
        <v>20</v>
      </c>
      <c r="E2425" t="s">
        <v>24</v>
      </c>
      <c r="F2425" t="s">
        <v>32</v>
      </c>
      <c r="G2425" s="1">
        <v>45427</v>
      </c>
      <c r="H2425" s="1">
        <v>45429</v>
      </c>
      <c r="I2425" s="1">
        <v>45438</v>
      </c>
      <c r="J2425">
        <v>11</v>
      </c>
      <c r="K2425">
        <v>2</v>
      </c>
      <c r="L2425">
        <v>6</v>
      </c>
      <c r="M2425">
        <v>225.72</v>
      </c>
      <c r="N2425">
        <v>1354.32</v>
      </c>
      <c r="O2425">
        <v>0.01</v>
      </c>
      <c r="P2425">
        <v>13.54</v>
      </c>
      <c r="Q2425">
        <v>1340.78</v>
      </c>
      <c r="R2425">
        <v>961.57</v>
      </c>
      <c r="S2425">
        <v>379.21</v>
      </c>
    </row>
    <row r="2426" spans="1:19" x14ac:dyDescent="0.35">
      <c r="A2426">
        <v>201164</v>
      </c>
      <c r="B2426">
        <v>2456</v>
      </c>
      <c r="C2426" t="s">
        <v>19</v>
      </c>
      <c r="D2426" t="s">
        <v>20</v>
      </c>
      <c r="E2426" t="s">
        <v>34</v>
      </c>
      <c r="F2426" t="s">
        <v>35</v>
      </c>
      <c r="G2426" s="1">
        <v>45594</v>
      </c>
      <c r="H2426" s="1">
        <v>45598</v>
      </c>
      <c r="I2426" s="1">
        <v>45608</v>
      </c>
      <c r="J2426">
        <v>14</v>
      </c>
      <c r="K2426">
        <v>4</v>
      </c>
      <c r="L2426">
        <v>6</v>
      </c>
      <c r="M2426">
        <v>562.28</v>
      </c>
      <c r="N2426">
        <v>3373.68</v>
      </c>
      <c r="O2426">
        <v>0.1</v>
      </c>
      <c r="P2426">
        <v>337.37</v>
      </c>
      <c r="Q2426">
        <v>3036.31</v>
      </c>
      <c r="R2426">
        <v>2327.84</v>
      </c>
      <c r="S2426">
        <v>708.47</v>
      </c>
    </row>
    <row r="2427" spans="1:19" x14ac:dyDescent="0.35">
      <c r="A2427">
        <v>201165</v>
      </c>
      <c r="B2427">
        <v>2797</v>
      </c>
      <c r="C2427" t="s">
        <v>33</v>
      </c>
      <c r="D2427" t="s">
        <v>29</v>
      </c>
      <c r="E2427" t="s">
        <v>26</v>
      </c>
      <c r="F2427" t="s">
        <v>37</v>
      </c>
      <c r="G2427" s="1">
        <v>45487</v>
      </c>
      <c r="H2427" s="1">
        <v>45492</v>
      </c>
      <c r="I2427" s="1">
        <v>45510</v>
      </c>
      <c r="J2427">
        <v>23</v>
      </c>
      <c r="K2427">
        <v>5</v>
      </c>
      <c r="L2427">
        <v>10</v>
      </c>
      <c r="M2427">
        <v>548.9</v>
      </c>
      <c r="N2427">
        <v>5489</v>
      </c>
      <c r="O2427">
        <v>0.08</v>
      </c>
      <c r="P2427">
        <v>439.12</v>
      </c>
      <c r="Q2427">
        <v>5049.88</v>
      </c>
      <c r="R2427">
        <v>3677.63</v>
      </c>
      <c r="S2427">
        <v>1372.25</v>
      </c>
    </row>
    <row r="2428" spans="1:19" x14ac:dyDescent="0.35">
      <c r="A2428">
        <v>201166</v>
      </c>
      <c r="B2428">
        <v>4688</v>
      </c>
      <c r="C2428" t="s">
        <v>33</v>
      </c>
      <c r="D2428" t="s">
        <v>31</v>
      </c>
      <c r="E2428" t="s">
        <v>21</v>
      </c>
      <c r="F2428" t="s">
        <v>41</v>
      </c>
      <c r="G2428" s="1">
        <v>45556</v>
      </c>
      <c r="H2428" s="1">
        <v>45561</v>
      </c>
      <c r="I2428" s="1">
        <v>45564</v>
      </c>
      <c r="J2428">
        <v>8</v>
      </c>
      <c r="K2428">
        <v>5</v>
      </c>
      <c r="L2428">
        <v>13</v>
      </c>
      <c r="M2428">
        <v>268.27999999999997</v>
      </c>
      <c r="N2428">
        <v>3487.64</v>
      </c>
      <c r="O2428">
        <v>0.11</v>
      </c>
      <c r="P2428">
        <v>383.64</v>
      </c>
      <c r="Q2428">
        <v>3104</v>
      </c>
      <c r="R2428">
        <v>2127.46</v>
      </c>
      <c r="S2428">
        <v>976.54</v>
      </c>
    </row>
    <row r="2429" spans="1:19" x14ac:dyDescent="0.35">
      <c r="A2429">
        <v>201167</v>
      </c>
      <c r="B2429">
        <v>3108</v>
      </c>
      <c r="C2429" t="s">
        <v>28</v>
      </c>
      <c r="D2429" t="s">
        <v>29</v>
      </c>
      <c r="E2429" t="s">
        <v>34</v>
      </c>
      <c r="F2429" t="s">
        <v>43</v>
      </c>
      <c r="G2429" s="1">
        <v>45385</v>
      </c>
      <c r="H2429" s="1">
        <v>45386</v>
      </c>
      <c r="I2429" s="1">
        <v>45396</v>
      </c>
      <c r="J2429">
        <v>11</v>
      </c>
      <c r="K2429">
        <v>1</v>
      </c>
      <c r="L2429">
        <v>4</v>
      </c>
      <c r="M2429">
        <v>737.79</v>
      </c>
      <c r="N2429">
        <v>2951.16</v>
      </c>
      <c r="O2429">
        <v>0.14000000000000001</v>
      </c>
      <c r="P2429">
        <v>413.16</v>
      </c>
      <c r="Q2429">
        <v>2538</v>
      </c>
      <c r="R2429">
        <v>1770.7</v>
      </c>
      <c r="S2429">
        <v>767.3</v>
      </c>
    </row>
    <row r="2430" spans="1:19" x14ac:dyDescent="0.35">
      <c r="A2430">
        <v>201168</v>
      </c>
      <c r="B2430">
        <v>2618</v>
      </c>
      <c r="C2430" t="s">
        <v>33</v>
      </c>
      <c r="D2430" t="s">
        <v>31</v>
      </c>
      <c r="E2430" t="s">
        <v>24</v>
      </c>
      <c r="F2430" t="s">
        <v>32</v>
      </c>
      <c r="G2430" s="1">
        <v>45632</v>
      </c>
      <c r="H2430" s="1">
        <v>45635</v>
      </c>
      <c r="I2430" s="1">
        <v>45656</v>
      </c>
      <c r="J2430">
        <v>24</v>
      </c>
      <c r="K2430">
        <v>3</v>
      </c>
      <c r="L2430">
        <v>4</v>
      </c>
      <c r="M2430">
        <v>655.57</v>
      </c>
      <c r="N2430">
        <v>2622.28</v>
      </c>
      <c r="O2430">
        <v>0.1</v>
      </c>
      <c r="P2430">
        <v>262.23</v>
      </c>
      <c r="Q2430">
        <v>2360.0500000000002</v>
      </c>
      <c r="R2430">
        <v>1678.26</v>
      </c>
      <c r="S2430">
        <v>681.79</v>
      </c>
    </row>
    <row r="2431" spans="1:19" x14ac:dyDescent="0.35">
      <c r="A2431">
        <v>201169</v>
      </c>
      <c r="B2431">
        <v>1152</v>
      </c>
      <c r="C2431" t="s">
        <v>23</v>
      </c>
      <c r="D2431" t="s">
        <v>20</v>
      </c>
      <c r="E2431" t="s">
        <v>21</v>
      </c>
      <c r="F2431" t="s">
        <v>39</v>
      </c>
      <c r="G2431" s="1">
        <v>45603</v>
      </c>
      <c r="H2431" s="1">
        <v>45607</v>
      </c>
      <c r="I2431" s="1">
        <v>45608</v>
      </c>
      <c r="J2431">
        <v>5</v>
      </c>
      <c r="K2431">
        <v>4</v>
      </c>
      <c r="L2431">
        <v>13</v>
      </c>
      <c r="M2431">
        <v>297.79000000000002</v>
      </c>
      <c r="N2431">
        <v>3871.27</v>
      </c>
      <c r="O2431">
        <v>0.09</v>
      </c>
      <c r="P2431">
        <v>348.41</v>
      </c>
      <c r="Q2431">
        <v>3522.86</v>
      </c>
      <c r="R2431">
        <v>2400.19</v>
      </c>
      <c r="S2431">
        <v>1122.67</v>
      </c>
    </row>
    <row r="2432" spans="1:19" x14ac:dyDescent="0.35">
      <c r="A2432">
        <v>201170</v>
      </c>
      <c r="B2432">
        <v>1093</v>
      </c>
      <c r="C2432" t="s">
        <v>28</v>
      </c>
      <c r="D2432" t="s">
        <v>20</v>
      </c>
      <c r="E2432" t="s">
        <v>24</v>
      </c>
      <c r="F2432" t="s">
        <v>42</v>
      </c>
      <c r="G2432" s="1">
        <v>45311</v>
      </c>
      <c r="H2432" s="1">
        <v>45314</v>
      </c>
      <c r="I2432" s="1">
        <v>45331</v>
      </c>
      <c r="J2432">
        <v>20</v>
      </c>
      <c r="K2432">
        <v>3</v>
      </c>
      <c r="L2432">
        <v>3</v>
      </c>
      <c r="M2432">
        <v>433.78</v>
      </c>
      <c r="N2432">
        <v>1301.3399999999999</v>
      </c>
      <c r="O2432">
        <v>0.13</v>
      </c>
      <c r="P2432">
        <v>169.17</v>
      </c>
      <c r="Q2432">
        <v>1132.17</v>
      </c>
      <c r="R2432">
        <v>858.88</v>
      </c>
      <c r="S2432">
        <v>273.29000000000002</v>
      </c>
    </row>
    <row r="2433" spans="1:19" x14ac:dyDescent="0.35">
      <c r="A2433">
        <v>201171</v>
      </c>
      <c r="B2433">
        <v>4771</v>
      </c>
      <c r="C2433" t="s">
        <v>23</v>
      </c>
      <c r="D2433" t="s">
        <v>29</v>
      </c>
      <c r="E2433" t="s">
        <v>34</v>
      </c>
      <c r="F2433" t="s">
        <v>45</v>
      </c>
      <c r="G2433" s="1">
        <v>45480</v>
      </c>
      <c r="H2433" s="1">
        <v>45481</v>
      </c>
      <c r="I2433" s="1">
        <v>45487</v>
      </c>
      <c r="J2433">
        <v>7</v>
      </c>
      <c r="K2433">
        <v>1</v>
      </c>
      <c r="L2433">
        <v>5</v>
      </c>
      <c r="M2433">
        <v>436.29</v>
      </c>
      <c r="N2433">
        <v>2181.4499999999998</v>
      </c>
      <c r="O2433">
        <v>0.17</v>
      </c>
      <c r="P2433">
        <v>370.85</v>
      </c>
      <c r="Q2433">
        <v>1810.6</v>
      </c>
      <c r="R2433">
        <v>1657.9</v>
      </c>
      <c r="S2433">
        <v>152.69999999999999</v>
      </c>
    </row>
    <row r="2434" spans="1:19" x14ac:dyDescent="0.35">
      <c r="A2434">
        <v>201172</v>
      </c>
      <c r="B2434">
        <v>4110</v>
      </c>
      <c r="C2434" t="s">
        <v>28</v>
      </c>
      <c r="D2434" t="s">
        <v>20</v>
      </c>
      <c r="E2434" t="s">
        <v>34</v>
      </c>
      <c r="F2434" t="s">
        <v>45</v>
      </c>
      <c r="G2434" s="1">
        <v>45545</v>
      </c>
      <c r="H2434" s="1">
        <v>45548</v>
      </c>
      <c r="I2434" s="1">
        <v>45563</v>
      </c>
      <c r="J2434">
        <v>18</v>
      </c>
      <c r="K2434">
        <v>3</v>
      </c>
      <c r="L2434">
        <v>13</v>
      </c>
      <c r="M2434">
        <v>73.540000000000006</v>
      </c>
      <c r="N2434">
        <v>956.02</v>
      </c>
      <c r="O2434">
        <v>0.11</v>
      </c>
      <c r="P2434">
        <v>105.16</v>
      </c>
      <c r="Q2434">
        <v>850.86</v>
      </c>
      <c r="R2434">
        <v>697.89</v>
      </c>
      <c r="S2434">
        <v>152.97</v>
      </c>
    </row>
    <row r="2435" spans="1:19" x14ac:dyDescent="0.35">
      <c r="A2435">
        <v>201173</v>
      </c>
      <c r="B2435">
        <v>1677</v>
      </c>
      <c r="C2435" t="s">
        <v>28</v>
      </c>
      <c r="D2435" t="s">
        <v>20</v>
      </c>
      <c r="E2435" t="s">
        <v>34</v>
      </c>
      <c r="F2435" t="s">
        <v>40</v>
      </c>
      <c r="G2435" s="1">
        <v>45646</v>
      </c>
      <c r="H2435" s="1">
        <v>45648</v>
      </c>
      <c r="I2435" s="1">
        <v>45658</v>
      </c>
      <c r="J2435">
        <v>12</v>
      </c>
      <c r="K2435">
        <v>2</v>
      </c>
      <c r="L2435">
        <v>9</v>
      </c>
      <c r="M2435">
        <v>426.56</v>
      </c>
      <c r="N2435">
        <v>3839.04</v>
      </c>
      <c r="O2435">
        <v>0.21</v>
      </c>
      <c r="P2435">
        <v>806.2</v>
      </c>
      <c r="Q2435">
        <v>3032.84</v>
      </c>
      <c r="R2435">
        <v>2533.77</v>
      </c>
      <c r="S2435">
        <v>499.07</v>
      </c>
    </row>
    <row r="2436" spans="1:19" x14ac:dyDescent="0.35">
      <c r="A2436">
        <v>201174</v>
      </c>
      <c r="B2436">
        <v>4728</v>
      </c>
      <c r="C2436" t="s">
        <v>19</v>
      </c>
      <c r="D2436" t="s">
        <v>20</v>
      </c>
      <c r="E2436" t="s">
        <v>34</v>
      </c>
      <c r="F2436" t="s">
        <v>35</v>
      </c>
      <c r="G2436" s="1">
        <v>45506</v>
      </c>
      <c r="H2436" s="1">
        <v>45509</v>
      </c>
      <c r="I2436" s="1">
        <v>45520</v>
      </c>
      <c r="J2436">
        <v>14</v>
      </c>
      <c r="K2436">
        <v>3</v>
      </c>
      <c r="L2436">
        <v>8</v>
      </c>
      <c r="M2436">
        <v>596.19000000000005</v>
      </c>
      <c r="N2436">
        <v>4769.5200000000004</v>
      </c>
      <c r="O2436">
        <v>0.08</v>
      </c>
      <c r="P2436">
        <v>381.56</v>
      </c>
      <c r="Q2436">
        <v>4387.96</v>
      </c>
      <c r="R2436">
        <v>3004.8</v>
      </c>
      <c r="S2436">
        <v>1383.16</v>
      </c>
    </row>
    <row r="2437" spans="1:19" x14ac:dyDescent="0.35">
      <c r="A2437">
        <v>201175</v>
      </c>
      <c r="B2437">
        <v>4905</v>
      </c>
      <c r="C2437" t="s">
        <v>33</v>
      </c>
      <c r="D2437" t="s">
        <v>29</v>
      </c>
      <c r="E2437" t="s">
        <v>34</v>
      </c>
      <c r="F2437" t="s">
        <v>35</v>
      </c>
      <c r="G2437" s="1">
        <v>45306</v>
      </c>
      <c r="H2437" s="1">
        <v>45308</v>
      </c>
      <c r="I2437" s="1">
        <v>45335</v>
      </c>
      <c r="J2437">
        <v>29</v>
      </c>
      <c r="K2437">
        <v>2</v>
      </c>
      <c r="L2437">
        <v>5</v>
      </c>
      <c r="M2437">
        <v>139.74</v>
      </c>
      <c r="N2437">
        <v>698.7</v>
      </c>
      <c r="O2437">
        <v>0.08</v>
      </c>
      <c r="P2437">
        <v>55.9</v>
      </c>
      <c r="Q2437">
        <v>642.79999999999995</v>
      </c>
      <c r="R2437">
        <v>461.14</v>
      </c>
      <c r="S2437">
        <v>181.66</v>
      </c>
    </row>
    <row r="2438" spans="1:19" x14ac:dyDescent="0.35">
      <c r="A2438">
        <v>201176</v>
      </c>
      <c r="B2438">
        <v>4969</v>
      </c>
      <c r="C2438" t="s">
        <v>28</v>
      </c>
      <c r="D2438" t="s">
        <v>29</v>
      </c>
      <c r="E2438" t="s">
        <v>24</v>
      </c>
      <c r="F2438" t="s">
        <v>30</v>
      </c>
      <c r="G2438" s="1">
        <v>45581</v>
      </c>
      <c r="H2438" s="1">
        <v>45585</v>
      </c>
      <c r="I2438" s="1">
        <v>45601</v>
      </c>
      <c r="J2438">
        <v>20</v>
      </c>
      <c r="K2438">
        <v>4</v>
      </c>
      <c r="L2438">
        <v>10</v>
      </c>
      <c r="M2438">
        <v>420.64</v>
      </c>
      <c r="N2438">
        <v>4206.3999999999996</v>
      </c>
      <c r="O2438">
        <v>0.08</v>
      </c>
      <c r="P2438">
        <v>336.51</v>
      </c>
      <c r="Q2438">
        <v>3869.89</v>
      </c>
      <c r="R2438">
        <v>2692.1</v>
      </c>
      <c r="S2438">
        <v>1177.79</v>
      </c>
    </row>
    <row r="2439" spans="1:19" x14ac:dyDescent="0.35">
      <c r="A2439">
        <v>201177</v>
      </c>
      <c r="B2439">
        <v>1668</v>
      </c>
      <c r="C2439" t="s">
        <v>23</v>
      </c>
      <c r="D2439" t="s">
        <v>31</v>
      </c>
      <c r="E2439" t="s">
        <v>26</v>
      </c>
      <c r="F2439" t="s">
        <v>36</v>
      </c>
      <c r="G2439" s="1">
        <v>45383</v>
      </c>
      <c r="H2439" s="1">
        <v>45384</v>
      </c>
      <c r="I2439" s="1">
        <v>45392</v>
      </c>
      <c r="J2439">
        <v>9</v>
      </c>
      <c r="K2439">
        <v>1</v>
      </c>
      <c r="L2439">
        <v>5</v>
      </c>
      <c r="M2439">
        <v>517.09</v>
      </c>
      <c r="N2439">
        <v>2585.4499999999998</v>
      </c>
      <c r="O2439">
        <v>0.08</v>
      </c>
      <c r="P2439">
        <v>206.84</v>
      </c>
      <c r="Q2439">
        <v>2378.61</v>
      </c>
      <c r="R2439">
        <v>1706.4</v>
      </c>
      <c r="S2439">
        <v>672.21</v>
      </c>
    </row>
    <row r="2440" spans="1:19" x14ac:dyDescent="0.35">
      <c r="A2440">
        <v>201178</v>
      </c>
      <c r="B2440">
        <v>3915</v>
      </c>
      <c r="C2440" t="s">
        <v>33</v>
      </c>
      <c r="D2440" t="s">
        <v>20</v>
      </c>
      <c r="E2440" t="s">
        <v>26</v>
      </c>
      <c r="F2440" t="s">
        <v>27</v>
      </c>
      <c r="G2440" s="1">
        <v>45581</v>
      </c>
      <c r="H2440" s="1">
        <v>45585</v>
      </c>
      <c r="I2440" s="1">
        <v>45588</v>
      </c>
      <c r="J2440">
        <v>7</v>
      </c>
      <c r="K2440">
        <v>4</v>
      </c>
      <c r="L2440">
        <v>9</v>
      </c>
      <c r="M2440">
        <v>562.37</v>
      </c>
      <c r="N2440">
        <v>5061.33</v>
      </c>
      <c r="O2440">
        <v>0.13</v>
      </c>
      <c r="P2440">
        <v>657.97</v>
      </c>
      <c r="Q2440">
        <v>4403.3599999999997</v>
      </c>
      <c r="R2440">
        <v>3340.48</v>
      </c>
      <c r="S2440">
        <v>1062.8800000000001</v>
      </c>
    </row>
    <row r="2441" spans="1:19" x14ac:dyDescent="0.35">
      <c r="A2441">
        <v>201179</v>
      </c>
      <c r="B2441">
        <v>2221</v>
      </c>
      <c r="C2441" t="s">
        <v>33</v>
      </c>
      <c r="D2441" t="s">
        <v>29</v>
      </c>
      <c r="E2441" t="s">
        <v>24</v>
      </c>
      <c r="F2441" t="s">
        <v>25</v>
      </c>
      <c r="G2441" s="1">
        <v>45442</v>
      </c>
      <c r="H2441" s="1">
        <v>45444</v>
      </c>
      <c r="I2441" s="1">
        <v>45452</v>
      </c>
      <c r="J2441">
        <v>10</v>
      </c>
      <c r="K2441">
        <v>2</v>
      </c>
      <c r="L2441">
        <v>1</v>
      </c>
      <c r="M2441">
        <v>430.47</v>
      </c>
      <c r="N2441">
        <v>430.47</v>
      </c>
      <c r="O2441">
        <v>0.1</v>
      </c>
      <c r="P2441">
        <v>43.05</v>
      </c>
      <c r="Q2441">
        <v>387.42</v>
      </c>
      <c r="R2441">
        <v>284.11</v>
      </c>
      <c r="S2441">
        <v>103.31</v>
      </c>
    </row>
    <row r="2442" spans="1:19" x14ac:dyDescent="0.35">
      <c r="A2442">
        <v>201180</v>
      </c>
      <c r="B2442">
        <v>3143</v>
      </c>
      <c r="C2442" t="s">
        <v>28</v>
      </c>
      <c r="D2442" t="s">
        <v>31</v>
      </c>
      <c r="E2442" t="s">
        <v>34</v>
      </c>
      <c r="F2442" t="s">
        <v>43</v>
      </c>
      <c r="G2442" s="1">
        <v>45465</v>
      </c>
      <c r="H2442" s="1">
        <v>45469</v>
      </c>
      <c r="I2442" s="1">
        <v>45491</v>
      </c>
      <c r="J2442">
        <v>26</v>
      </c>
      <c r="K2442">
        <v>4</v>
      </c>
      <c r="L2442">
        <v>11</v>
      </c>
      <c r="M2442">
        <v>246.3</v>
      </c>
      <c r="N2442">
        <v>2709.3</v>
      </c>
      <c r="O2442">
        <v>0.11</v>
      </c>
      <c r="P2442">
        <v>298.02</v>
      </c>
      <c r="Q2442">
        <v>2411.2800000000002</v>
      </c>
      <c r="R2442">
        <v>1517.21</v>
      </c>
      <c r="S2442">
        <v>894.07</v>
      </c>
    </row>
    <row r="2443" spans="1:19" x14ac:dyDescent="0.35">
      <c r="A2443">
        <v>201181</v>
      </c>
      <c r="B2443">
        <v>3383</v>
      </c>
      <c r="C2443" t="s">
        <v>33</v>
      </c>
      <c r="D2443" t="s">
        <v>20</v>
      </c>
      <c r="E2443" t="s">
        <v>21</v>
      </c>
      <c r="F2443" t="s">
        <v>39</v>
      </c>
      <c r="G2443" s="1">
        <v>45632</v>
      </c>
      <c r="H2443" s="1">
        <v>45635</v>
      </c>
      <c r="I2443" s="1">
        <v>45657</v>
      </c>
      <c r="J2443">
        <v>25</v>
      </c>
      <c r="K2443">
        <v>3</v>
      </c>
      <c r="L2443">
        <v>8</v>
      </c>
      <c r="M2443">
        <v>401.66</v>
      </c>
      <c r="N2443">
        <v>3213.28</v>
      </c>
      <c r="O2443">
        <v>7.0000000000000007E-2</v>
      </c>
      <c r="P2443">
        <v>224.93</v>
      </c>
      <c r="Q2443">
        <v>2988.35</v>
      </c>
      <c r="R2443">
        <v>2024.37</v>
      </c>
      <c r="S2443">
        <v>963.98</v>
      </c>
    </row>
    <row r="2444" spans="1:19" x14ac:dyDescent="0.35">
      <c r="A2444">
        <v>201182</v>
      </c>
      <c r="B2444">
        <v>3227</v>
      </c>
      <c r="C2444" t="s">
        <v>19</v>
      </c>
      <c r="D2444" t="s">
        <v>20</v>
      </c>
      <c r="E2444" t="s">
        <v>26</v>
      </c>
      <c r="F2444" t="s">
        <v>27</v>
      </c>
      <c r="G2444" s="1">
        <v>45336</v>
      </c>
      <c r="H2444" s="1">
        <v>45339</v>
      </c>
      <c r="I2444" s="1">
        <v>45351</v>
      </c>
      <c r="J2444">
        <v>15</v>
      </c>
      <c r="K2444">
        <v>3</v>
      </c>
      <c r="L2444">
        <v>2</v>
      </c>
      <c r="M2444">
        <v>348.71</v>
      </c>
      <c r="N2444">
        <v>697.42</v>
      </c>
      <c r="O2444">
        <v>0.17</v>
      </c>
      <c r="P2444">
        <v>118.56</v>
      </c>
      <c r="Q2444">
        <v>578.86</v>
      </c>
      <c r="R2444">
        <v>502.14</v>
      </c>
      <c r="S2444">
        <v>76.72</v>
      </c>
    </row>
    <row r="2445" spans="1:19" x14ac:dyDescent="0.35">
      <c r="A2445">
        <v>201183</v>
      </c>
      <c r="B2445">
        <v>3917</v>
      </c>
      <c r="C2445" t="s">
        <v>23</v>
      </c>
      <c r="D2445" t="s">
        <v>31</v>
      </c>
      <c r="E2445" t="s">
        <v>24</v>
      </c>
      <c r="F2445" t="s">
        <v>30</v>
      </c>
      <c r="G2445" s="1">
        <v>45626</v>
      </c>
      <c r="H2445" s="1">
        <v>45630</v>
      </c>
      <c r="I2445" s="1">
        <v>45631</v>
      </c>
      <c r="J2445">
        <v>5</v>
      </c>
      <c r="K2445">
        <v>4</v>
      </c>
      <c r="L2445">
        <v>1</v>
      </c>
      <c r="M2445">
        <v>492.88</v>
      </c>
      <c r="N2445">
        <v>492.88</v>
      </c>
      <c r="O2445">
        <v>0.22</v>
      </c>
      <c r="P2445">
        <v>108.43</v>
      </c>
      <c r="Q2445">
        <v>384.45</v>
      </c>
      <c r="R2445">
        <v>295.73</v>
      </c>
      <c r="S2445">
        <v>88.72</v>
      </c>
    </row>
    <row r="2446" spans="1:19" x14ac:dyDescent="0.35">
      <c r="A2446">
        <v>201184</v>
      </c>
      <c r="B2446">
        <v>1858</v>
      </c>
      <c r="C2446" t="s">
        <v>33</v>
      </c>
      <c r="D2446" t="s">
        <v>20</v>
      </c>
      <c r="E2446" t="s">
        <v>34</v>
      </c>
      <c r="F2446" t="s">
        <v>43</v>
      </c>
      <c r="G2446" s="1">
        <v>45410</v>
      </c>
      <c r="H2446" s="1">
        <v>45414</v>
      </c>
      <c r="I2446" s="1">
        <v>45431</v>
      </c>
      <c r="J2446">
        <v>21</v>
      </c>
      <c r="K2446">
        <v>4</v>
      </c>
      <c r="L2446">
        <v>2</v>
      </c>
      <c r="M2446">
        <v>90.76</v>
      </c>
      <c r="N2446">
        <v>181.52</v>
      </c>
      <c r="O2446">
        <v>0.05</v>
      </c>
      <c r="P2446">
        <v>9.08</v>
      </c>
      <c r="Q2446">
        <v>172.44</v>
      </c>
      <c r="R2446">
        <v>107.1</v>
      </c>
      <c r="S2446">
        <v>65.34</v>
      </c>
    </row>
    <row r="2447" spans="1:19" x14ac:dyDescent="0.35">
      <c r="A2447">
        <v>201185</v>
      </c>
      <c r="B2447">
        <v>4469</v>
      </c>
      <c r="C2447" t="s">
        <v>33</v>
      </c>
      <c r="D2447" t="s">
        <v>29</v>
      </c>
      <c r="E2447" t="s">
        <v>34</v>
      </c>
      <c r="F2447" t="s">
        <v>40</v>
      </c>
      <c r="G2447" s="1">
        <v>45522</v>
      </c>
      <c r="H2447" s="1">
        <v>45523</v>
      </c>
      <c r="I2447" s="1">
        <v>45538</v>
      </c>
      <c r="J2447">
        <v>16</v>
      </c>
      <c r="K2447">
        <v>1</v>
      </c>
      <c r="L2447">
        <v>3</v>
      </c>
      <c r="M2447">
        <v>676</v>
      </c>
      <c r="N2447">
        <v>2028</v>
      </c>
      <c r="O2447">
        <v>0.13</v>
      </c>
      <c r="P2447">
        <v>263.64</v>
      </c>
      <c r="Q2447">
        <v>1764.36</v>
      </c>
      <c r="R2447">
        <v>1399.32</v>
      </c>
      <c r="S2447">
        <v>365.04</v>
      </c>
    </row>
    <row r="2448" spans="1:19" x14ac:dyDescent="0.35">
      <c r="A2448">
        <v>201186</v>
      </c>
      <c r="B2448">
        <v>1429</v>
      </c>
      <c r="C2448" t="s">
        <v>23</v>
      </c>
      <c r="D2448" t="s">
        <v>31</v>
      </c>
      <c r="E2448" t="s">
        <v>34</v>
      </c>
      <c r="F2448" t="s">
        <v>43</v>
      </c>
      <c r="G2448" s="1">
        <v>45410</v>
      </c>
      <c r="H2448" s="1">
        <v>45415</v>
      </c>
      <c r="I2448" s="1">
        <v>45427</v>
      </c>
      <c r="J2448">
        <v>17</v>
      </c>
      <c r="K2448">
        <v>5</v>
      </c>
      <c r="L2448">
        <v>13</v>
      </c>
      <c r="M2448">
        <v>713.99</v>
      </c>
      <c r="N2448">
        <v>9281.8700000000008</v>
      </c>
      <c r="O2448">
        <v>7.0000000000000007E-2</v>
      </c>
      <c r="P2448">
        <v>649.73</v>
      </c>
      <c r="Q2448">
        <v>8632.14</v>
      </c>
      <c r="R2448">
        <v>5661.94</v>
      </c>
      <c r="S2448">
        <v>2970.2</v>
      </c>
    </row>
    <row r="2449" spans="1:19" x14ac:dyDescent="0.35">
      <c r="A2449">
        <v>201187</v>
      </c>
      <c r="B2449">
        <v>1670</v>
      </c>
      <c r="C2449" t="s">
        <v>33</v>
      </c>
      <c r="D2449" t="s">
        <v>31</v>
      </c>
      <c r="E2449" t="s">
        <v>26</v>
      </c>
      <c r="F2449" t="s">
        <v>36</v>
      </c>
      <c r="G2449" s="1">
        <v>45648</v>
      </c>
      <c r="H2449" s="1">
        <v>45649</v>
      </c>
      <c r="I2449" s="1">
        <v>45675</v>
      </c>
      <c r="J2449">
        <v>27</v>
      </c>
      <c r="K2449">
        <v>1</v>
      </c>
      <c r="L2449">
        <v>7</v>
      </c>
      <c r="M2449">
        <v>464.89</v>
      </c>
      <c r="N2449">
        <v>3254.23</v>
      </c>
      <c r="O2449">
        <v>0.13</v>
      </c>
      <c r="P2449">
        <v>423.05</v>
      </c>
      <c r="Q2449">
        <v>2831.18</v>
      </c>
      <c r="R2449">
        <v>2180.33</v>
      </c>
      <c r="S2449">
        <v>650.85</v>
      </c>
    </row>
    <row r="2450" spans="1:19" x14ac:dyDescent="0.35">
      <c r="A2450">
        <v>201188</v>
      </c>
      <c r="B2450">
        <v>3731</v>
      </c>
      <c r="C2450" t="s">
        <v>33</v>
      </c>
      <c r="D2450" t="s">
        <v>29</v>
      </c>
      <c r="E2450" t="s">
        <v>26</v>
      </c>
      <c r="F2450" t="s">
        <v>37</v>
      </c>
      <c r="G2450" s="1">
        <v>45303</v>
      </c>
      <c r="H2450" s="1">
        <v>45308</v>
      </c>
      <c r="I2450" s="1">
        <v>45318</v>
      </c>
      <c r="J2450">
        <v>15</v>
      </c>
      <c r="K2450">
        <v>5</v>
      </c>
      <c r="L2450">
        <v>5</v>
      </c>
      <c r="M2450">
        <v>202.91</v>
      </c>
      <c r="N2450">
        <v>1014.55</v>
      </c>
      <c r="O2450">
        <v>7.0000000000000007E-2</v>
      </c>
      <c r="P2450">
        <v>71.02</v>
      </c>
      <c r="Q2450">
        <v>943.53</v>
      </c>
      <c r="R2450">
        <v>669.6</v>
      </c>
      <c r="S2450">
        <v>273.93</v>
      </c>
    </row>
    <row r="2451" spans="1:19" x14ac:dyDescent="0.35">
      <c r="A2451">
        <v>201189</v>
      </c>
      <c r="B2451">
        <v>2968</v>
      </c>
      <c r="C2451" t="s">
        <v>23</v>
      </c>
      <c r="D2451" t="s">
        <v>31</v>
      </c>
      <c r="E2451" t="s">
        <v>24</v>
      </c>
      <c r="F2451" t="s">
        <v>30</v>
      </c>
      <c r="G2451" s="1">
        <v>45517</v>
      </c>
      <c r="H2451" s="1">
        <v>45519</v>
      </c>
      <c r="I2451" s="1">
        <v>45536</v>
      </c>
      <c r="J2451">
        <v>19</v>
      </c>
      <c r="K2451">
        <v>2</v>
      </c>
      <c r="L2451">
        <v>14</v>
      </c>
      <c r="M2451">
        <v>337.29</v>
      </c>
      <c r="N2451">
        <v>4722.0600000000004</v>
      </c>
      <c r="O2451">
        <v>0.01</v>
      </c>
      <c r="P2451">
        <v>47.22</v>
      </c>
      <c r="Q2451">
        <v>4674.84</v>
      </c>
      <c r="R2451">
        <v>3022.12</v>
      </c>
      <c r="S2451">
        <v>1652.72</v>
      </c>
    </row>
    <row r="2452" spans="1:19" x14ac:dyDescent="0.35">
      <c r="A2452">
        <v>201190</v>
      </c>
      <c r="B2452">
        <v>3179</v>
      </c>
      <c r="C2452" t="s">
        <v>23</v>
      </c>
      <c r="D2452" t="s">
        <v>20</v>
      </c>
      <c r="E2452" t="s">
        <v>26</v>
      </c>
      <c r="F2452" t="s">
        <v>27</v>
      </c>
      <c r="G2452" s="1">
        <v>45490</v>
      </c>
      <c r="H2452" s="1">
        <v>45494</v>
      </c>
      <c r="I2452" s="1">
        <v>45506</v>
      </c>
      <c r="J2452">
        <v>16</v>
      </c>
      <c r="K2452">
        <v>4</v>
      </c>
      <c r="L2452">
        <v>11</v>
      </c>
      <c r="M2452">
        <v>155.32</v>
      </c>
      <c r="N2452">
        <v>1708.52</v>
      </c>
      <c r="O2452">
        <v>0.08</v>
      </c>
      <c r="P2452">
        <v>136.68</v>
      </c>
      <c r="Q2452">
        <v>1571.84</v>
      </c>
      <c r="R2452">
        <v>1178.8800000000001</v>
      </c>
      <c r="S2452">
        <v>392.96</v>
      </c>
    </row>
    <row r="2453" spans="1:19" x14ac:dyDescent="0.35">
      <c r="A2453">
        <v>201191</v>
      </c>
      <c r="B2453">
        <v>4265</v>
      </c>
      <c r="C2453" t="s">
        <v>19</v>
      </c>
      <c r="D2453" t="s">
        <v>20</v>
      </c>
      <c r="E2453" t="s">
        <v>26</v>
      </c>
      <c r="F2453" t="s">
        <v>37</v>
      </c>
      <c r="G2453" s="1">
        <v>45499</v>
      </c>
      <c r="H2453" s="1">
        <v>45502</v>
      </c>
      <c r="I2453" s="1">
        <v>45516</v>
      </c>
      <c r="J2453">
        <v>17</v>
      </c>
      <c r="K2453">
        <v>3</v>
      </c>
      <c r="L2453">
        <v>5</v>
      </c>
      <c r="M2453">
        <v>211.8</v>
      </c>
      <c r="N2453">
        <v>1059</v>
      </c>
      <c r="O2453">
        <v>0.19</v>
      </c>
      <c r="P2453">
        <v>201.21</v>
      </c>
      <c r="Q2453">
        <v>857.79</v>
      </c>
      <c r="R2453">
        <v>656.58</v>
      </c>
      <c r="S2453">
        <v>201.21</v>
      </c>
    </row>
    <row r="2454" spans="1:19" x14ac:dyDescent="0.35">
      <c r="A2454">
        <v>201192</v>
      </c>
      <c r="B2454">
        <v>2169</v>
      </c>
      <c r="C2454" t="s">
        <v>23</v>
      </c>
      <c r="D2454" t="s">
        <v>31</v>
      </c>
      <c r="E2454" t="s">
        <v>34</v>
      </c>
      <c r="F2454" t="s">
        <v>45</v>
      </c>
      <c r="G2454" s="1">
        <v>45484</v>
      </c>
      <c r="H2454" s="1">
        <v>45487</v>
      </c>
      <c r="I2454" s="1">
        <v>45488</v>
      </c>
      <c r="J2454">
        <v>4</v>
      </c>
      <c r="K2454">
        <v>3</v>
      </c>
      <c r="L2454">
        <v>6</v>
      </c>
      <c r="M2454">
        <v>240.32</v>
      </c>
      <c r="N2454">
        <v>1441.92</v>
      </c>
      <c r="O2454">
        <v>0.12</v>
      </c>
      <c r="P2454">
        <v>173.03</v>
      </c>
      <c r="Q2454">
        <v>1268.8900000000001</v>
      </c>
      <c r="R2454">
        <v>922.83</v>
      </c>
      <c r="S2454">
        <v>346.06</v>
      </c>
    </row>
    <row r="2455" spans="1:19" x14ac:dyDescent="0.35">
      <c r="A2455">
        <v>201193</v>
      </c>
      <c r="B2455">
        <v>4988</v>
      </c>
      <c r="C2455" t="s">
        <v>23</v>
      </c>
      <c r="D2455" t="s">
        <v>29</v>
      </c>
      <c r="E2455" t="s">
        <v>26</v>
      </c>
      <c r="F2455" t="s">
        <v>36</v>
      </c>
      <c r="G2455" s="1">
        <v>45635</v>
      </c>
      <c r="H2455" s="1">
        <v>45639</v>
      </c>
      <c r="I2455" s="1">
        <v>45664</v>
      </c>
      <c r="J2455">
        <v>29</v>
      </c>
      <c r="K2455">
        <v>4</v>
      </c>
      <c r="L2455">
        <v>4</v>
      </c>
      <c r="M2455">
        <v>415.47</v>
      </c>
      <c r="N2455">
        <v>1661.88</v>
      </c>
      <c r="O2455">
        <v>0.15</v>
      </c>
      <c r="P2455">
        <v>249.28</v>
      </c>
      <c r="Q2455">
        <v>1412.6</v>
      </c>
      <c r="R2455">
        <v>1046.98</v>
      </c>
      <c r="S2455">
        <v>365.62</v>
      </c>
    </row>
    <row r="2456" spans="1:19" x14ac:dyDescent="0.35">
      <c r="A2456">
        <v>201194</v>
      </c>
      <c r="B2456">
        <v>2612</v>
      </c>
      <c r="C2456" t="s">
        <v>28</v>
      </c>
      <c r="D2456" t="s">
        <v>31</v>
      </c>
      <c r="E2456" t="s">
        <v>21</v>
      </c>
      <c r="F2456" t="s">
        <v>22</v>
      </c>
      <c r="G2456" s="1">
        <v>45641</v>
      </c>
      <c r="H2456" s="1">
        <v>45642</v>
      </c>
      <c r="I2456" s="1">
        <v>45662</v>
      </c>
      <c r="J2456">
        <v>21</v>
      </c>
      <c r="K2456">
        <v>1</v>
      </c>
      <c r="L2456">
        <v>9</v>
      </c>
      <c r="M2456">
        <v>685.64</v>
      </c>
      <c r="N2456">
        <v>6170.76</v>
      </c>
      <c r="O2456">
        <v>0.11</v>
      </c>
      <c r="P2456">
        <v>678.78</v>
      </c>
      <c r="Q2456">
        <v>5491.98</v>
      </c>
      <c r="R2456">
        <v>3949.29</v>
      </c>
      <c r="S2456">
        <v>1542.69</v>
      </c>
    </row>
    <row r="2457" spans="1:19" x14ac:dyDescent="0.35">
      <c r="A2457">
        <v>201195</v>
      </c>
      <c r="B2457">
        <v>4582</v>
      </c>
      <c r="C2457" t="s">
        <v>28</v>
      </c>
      <c r="D2457" t="s">
        <v>31</v>
      </c>
      <c r="E2457" t="s">
        <v>26</v>
      </c>
      <c r="F2457" t="s">
        <v>27</v>
      </c>
      <c r="G2457" s="1">
        <v>45465</v>
      </c>
      <c r="H2457" s="1">
        <v>45468</v>
      </c>
      <c r="I2457" s="1">
        <v>45493</v>
      </c>
      <c r="J2457">
        <v>28</v>
      </c>
      <c r="K2457">
        <v>3</v>
      </c>
      <c r="L2457">
        <v>14</v>
      </c>
      <c r="M2457">
        <v>766.42</v>
      </c>
      <c r="N2457">
        <v>10729.88</v>
      </c>
      <c r="O2457">
        <v>0.11</v>
      </c>
      <c r="P2457">
        <v>1180.29</v>
      </c>
      <c r="Q2457">
        <v>9549.59</v>
      </c>
      <c r="R2457">
        <v>6652.53</v>
      </c>
      <c r="S2457">
        <v>2897.06</v>
      </c>
    </row>
    <row r="2458" spans="1:19" x14ac:dyDescent="0.35">
      <c r="A2458">
        <v>201196</v>
      </c>
      <c r="B2458">
        <v>4416</v>
      </c>
      <c r="C2458" t="s">
        <v>19</v>
      </c>
      <c r="D2458" t="s">
        <v>20</v>
      </c>
      <c r="E2458" t="s">
        <v>26</v>
      </c>
      <c r="F2458" t="s">
        <v>36</v>
      </c>
      <c r="G2458" s="1">
        <v>45456</v>
      </c>
      <c r="H2458" s="1">
        <v>45457</v>
      </c>
      <c r="I2458" s="1">
        <v>45463</v>
      </c>
      <c r="J2458">
        <v>7</v>
      </c>
      <c r="K2458">
        <v>1</v>
      </c>
      <c r="L2458">
        <v>7</v>
      </c>
      <c r="M2458">
        <v>608.91</v>
      </c>
      <c r="N2458">
        <v>4262.37</v>
      </c>
      <c r="O2458">
        <v>0.05</v>
      </c>
      <c r="P2458">
        <v>213.12</v>
      </c>
      <c r="Q2458">
        <v>4049.25</v>
      </c>
      <c r="R2458">
        <v>2770.54</v>
      </c>
      <c r="S2458">
        <v>1278.71</v>
      </c>
    </row>
    <row r="2459" spans="1:19" x14ac:dyDescent="0.35">
      <c r="A2459">
        <v>201197</v>
      </c>
      <c r="B2459">
        <v>2843</v>
      </c>
      <c r="C2459" t="s">
        <v>33</v>
      </c>
      <c r="D2459" t="s">
        <v>29</v>
      </c>
      <c r="E2459" t="s">
        <v>21</v>
      </c>
      <c r="F2459" t="s">
        <v>22</v>
      </c>
      <c r="G2459" s="1">
        <v>45347</v>
      </c>
      <c r="H2459" s="1">
        <v>45350</v>
      </c>
      <c r="I2459" s="1">
        <v>45368</v>
      </c>
      <c r="J2459">
        <v>21</v>
      </c>
      <c r="K2459">
        <v>3</v>
      </c>
      <c r="L2459">
        <v>3</v>
      </c>
      <c r="M2459">
        <v>372.62</v>
      </c>
      <c r="N2459">
        <v>1117.8599999999999</v>
      </c>
      <c r="O2459">
        <v>0.09</v>
      </c>
      <c r="P2459">
        <v>100.61</v>
      </c>
      <c r="Q2459">
        <v>1017.25</v>
      </c>
      <c r="R2459">
        <v>737.79</v>
      </c>
      <c r="S2459">
        <v>279.45999999999998</v>
      </c>
    </row>
    <row r="2460" spans="1:19" x14ac:dyDescent="0.35">
      <c r="A2460">
        <v>201198</v>
      </c>
      <c r="B2460">
        <v>2459</v>
      </c>
      <c r="C2460" t="s">
        <v>19</v>
      </c>
      <c r="D2460" t="s">
        <v>29</v>
      </c>
      <c r="E2460" t="s">
        <v>34</v>
      </c>
      <c r="F2460" t="s">
        <v>45</v>
      </c>
      <c r="G2460" s="1">
        <v>45456</v>
      </c>
      <c r="H2460" s="1">
        <v>45458</v>
      </c>
      <c r="I2460" s="1">
        <v>45474</v>
      </c>
      <c r="J2460">
        <v>18</v>
      </c>
      <c r="K2460">
        <v>2</v>
      </c>
      <c r="L2460">
        <v>9</v>
      </c>
      <c r="M2460">
        <v>663.46</v>
      </c>
      <c r="N2460">
        <v>5971.14</v>
      </c>
      <c r="O2460">
        <v>0.1</v>
      </c>
      <c r="P2460">
        <v>597.11</v>
      </c>
      <c r="Q2460">
        <v>5374.03</v>
      </c>
      <c r="R2460">
        <v>3284.13</v>
      </c>
      <c r="S2460">
        <v>2089.9</v>
      </c>
    </row>
    <row r="2461" spans="1:19" x14ac:dyDescent="0.35">
      <c r="A2461">
        <v>201199</v>
      </c>
      <c r="B2461">
        <v>1674</v>
      </c>
      <c r="C2461" t="s">
        <v>28</v>
      </c>
      <c r="D2461" t="s">
        <v>31</v>
      </c>
      <c r="E2461" t="s">
        <v>34</v>
      </c>
      <c r="F2461" t="s">
        <v>35</v>
      </c>
      <c r="G2461" s="1">
        <v>45543</v>
      </c>
      <c r="H2461" s="1">
        <v>45544</v>
      </c>
      <c r="I2461" s="1">
        <v>45563</v>
      </c>
      <c r="J2461">
        <v>20</v>
      </c>
      <c r="K2461">
        <v>1</v>
      </c>
      <c r="L2461">
        <v>13</v>
      </c>
      <c r="M2461">
        <v>632.11</v>
      </c>
      <c r="N2461">
        <v>8217.43</v>
      </c>
      <c r="O2461">
        <v>0.1</v>
      </c>
      <c r="P2461">
        <v>821.74</v>
      </c>
      <c r="Q2461">
        <v>7395.69</v>
      </c>
      <c r="R2461">
        <v>5998.72</v>
      </c>
      <c r="S2461">
        <v>1396.97</v>
      </c>
    </row>
    <row r="2462" spans="1:19" x14ac:dyDescent="0.35">
      <c r="A2462">
        <v>201200</v>
      </c>
      <c r="B2462">
        <v>1836</v>
      </c>
      <c r="C2462" t="s">
        <v>23</v>
      </c>
      <c r="D2462" t="s">
        <v>29</v>
      </c>
      <c r="E2462" t="s">
        <v>34</v>
      </c>
      <c r="F2462" t="s">
        <v>43</v>
      </c>
      <c r="G2462" s="1">
        <v>45530</v>
      </c>
      <c r="H2462" s="1">
        <v>45535</v>
      </c>
      <c r="I2462" s="1">
        <v>45540</v>
      </c>
      <c r="J2462">
        <v>10</v>
      </c>
      <c r="K2462">
        <v>5</v>
      </c>
      <c r="L2462">
        <v>9</v>
      </c>
      <c r="M2462">
        <v>459.41</v>
      </c>
      <c r="N2462">
        <v>4134.6899999999996</v>
      </c>
      <c r="O2462">
        <v>0.06</v>
      </c>
      <c r="P2462">
        <v>248.08</v>
      </c>
      <c r="Q2462">
        <v>3886.61</v>
      </c>
      <c r="R2462">
        <v>2398.12</v>
      </c>
      <c r="S2462">
        <v>1488.49</v>
      </c>
    </row>
    <row r="2463" spans="1:19" x14ac:dyDescent="0.35">
      <c r="A2463">
        <v>201201</v>
      </c>
      <c r="B2463">
        <v>2247</v>
      </c>
      <c r="C2463" t="s">
        <v>19</v>
      </c>
      <c r="D2463" t="s">
        <v>29</v>
      </c>
      <c r="E2463" t="s">
        <v>21</v>
      </c>
      <c r="F2463" t="s">
        <v>39</v>
      </c>
      <c r="G2463" s="1">
        <v>45298</v>
      </c>
      <c r="H2463" s="1">
        <v>45303</v>
      </c>
      <c r="I2463" s="1">
        <v>45303</v>
      </c>
      <c r="J2463">
        <v>5</v>
      </c>
      <c r="K2463">
        <v>5</v>
      </c>
      <c r="L2463">
        <v>7</v>
      </c>
      <c r="M2463">
        <v>93.88</v>
      </c>
      <c r="N2463">
        <v>657.16</v>
      </c>
      <c r="O2463">
        <v>0.05</v>
      </c>
      <c r="P2463">
        <v>32.86</v>
      </c>
      <c r="Q2463">
        <v>624.29999999999995</v>
      </c>
      <c r="R2463">
        <v>433.73</v>
      </c>
      <c r="S2463">
        <v>190.57</v>
      </c>
    </row>
    <row r="2464" spans="1:19" x14ac:dyDescent="0.35">
      <c r="A2464">
        <v>201202</v>
      </c>
      <c r="B2464">
        <v>3208</v>
      </c>
      <c r="C2464" t="s">
        <v>23</v>
      </c>
      <c r="D2464" t="s">
        <v>20</v>
      </c>
      <c r="E2464" t="s">
        <v>24</v>
      </c>
      <c r="F2464" t="s">
        <v>32</v>
      </c>
      <c r="G2464" s="1">
        <v>45376</v>
      </c>
      <c r="H2464" s="1">
        <v>45377</v>
      </c>
      <c r="I2464" s="1">
        <v>45394</v>
      </c>
      <c r="J2464">
        <v>18</v>
      </c>
      <c r="K2464">
        <v>1</v>
      </c>
      <c r="L2464">
        <v>2</v>
      </c>
      <c r="M2464">
        <v>82.19</v>
      </c>
      <c r="N2464">
        <v>164.38</v>
      </c>
      <c r="O2464">
        <v>0.08</v>
      </c>
      <c r="P2464">
        <v>13.15</v>
      </c>
      <c r="Q2464">
        <v>151.22999999999999</v>
      </c>
      <c r="R2464">
        <v>95.34</v>
      </c>
      <c r="S2464">
        <v>55.89</v>
      </c>
    </row>
    <row r="2465" spans="1:19" x14ac:dyDescent="0.35">
      <c r="A2465">
        <v>201203</v>
      </c>
      <c r="B2465">
        <v>2280</v>
      </c>
      <c r="C2465" t="s">
        <v>23</v>
      </c>
      <c r="D2465" t="s">
        <v>20</v>
      </c>
      <c r="E2465" t="s">
        <v>34</v>
      </c>
      <c r="F2465" t="s">
        <v>35</v>
      </c>
      <c r="G2465" s="1">
        <v>45295</v>
      </c>
      <c r="H2465" s="1">
        <v>45296</v>
      </c>
      <c r="I2465" s="1">
        <v>45307</v>
      </c>
      <c r="J2465">
        <v>12</v>
      </c>
      <c r="K2465">
        <v>1</v>
      </c>
      <c r="L2465">
        <v>4</v>
      </c>
      <c r="M2465">
        <v>52.44</v>
      </c>
      <c r="N2465">
        <v>209.76</v>
      </c>
      <c r="O2465">
        <v>0.12</v>
      </c>
      <c r="P2465">
        <v>25.17</v>
      </c>
      <c r="Q2465">
        <v>184.59</v>
      </c>
      <c r="R2465">
        <v>130.05000000000001</v>
      </c>
      <c r="S2465">
        <v>54.54</v>
      </c>
    </row>
    <row r="2466" spans="1:19" x14ac:dyDescent="0.35">
      <c r="A2466">
        <v>201204</v>
      </c>
      <c r="B2466">
        <v>4426</v>
      </c>
      <c r="C2466" t="s">
        <v>33</v>
      </c>
      <c r="D2466" t="s">
        <v>31</v>
      </c>
      <c r="E2466" t="s">
        <v>21</v>
      </c>
      <c r="F2466" t="s">
        <v>41</v>
      </c>
      <c r="G2466" s="1">
        <v>45524</v>
      </c>
      <c r="H2466" s="1">
        <v>45528</v>
      </c>
      <c r="I2466" s="1">
        <v>45527</v>
      </c>
      <c r="J2466">
        <v>3</v>
      </c>
      <c r="K2466">
        <v>4</v>
      </c>
      <c r="L2466">
        <v>7</v>
      </c>
      <c r="M2466">
        <v>275.75</v>
      </c>
      <c r="N2466">
        <v>1930.25</v>
      </c>
      <c r="O2466">
        <v>0</v>
      </c>
      <c r="P2466">
        <v>0</v>
      </c>
      <c r="Q2466">
        <v>1930.25</v>
      </c>
      <c r="R2466">
        <v>1216.06</v>
      </c>
      <c r="S2466">
        <v>714.19</v>
      </c>
    </row>
    <row r="2467" spans="1:19" x14ac:dyDescent="0.35">
      <c r="A2467">
        <v>201205</v>
      </c>
      <c r="B2467">
        <v>4545</v>
      </c>
      <c r="C2467" t="s">
        <v>23</v>
      </c>
      <c r="D2467" t="s">
        <v>29</v>
      </c>
      <c r="E2467" t="s">
        <v>26</v>
      </c>
      <c r="F2467" t="s">
        <v>27</v>
      </c>
      <c r="G2467" s="1">
        <v>45407</v>
      </c>
      <c r="H2467" s="1">
        <v>45408</v>
      </c>
      <c r="I2467" s="1">
        <v>45430</v>
      </c>
      <c r="J2467">
        <v>23</v>
      </c>
      <c r="K2467">
        <v>1</v>
      </c>
      <c r="L2467">
        <v>9</v>
      </c>
      <c r="M2467">
        <v>607.04</v>
      </c>
      <c r="N2467">
        <v>5463.36</v>
      </c>
      <c r="O2467">
        <v>0.16</v>
      </c>
      <c r="P2467">
        <v>874.14</v>
      </c>
      <c r="Q2467">
        <v>4589.22</v>
      </c>
      <c r="R2467">
        <v>3605.82</v>
      </c>
      <c r="S2467">
        <v>983.4</v>
      </c>
    </row>
    <row r="2468" spans="1:19" x14ac:dyDescent="0.35">
      <c r="A2468">
        <v>201206</v>
      </c>
      <c r="B2468">
        <v>2603</v>
      </c>
      <c r="C2468" t="s">
        <v>19</v>
      </c>
      <c r="D2468" t="s">
        <v>29</v>
      </c>
      <c r="E2468" t="s">
        <v>24</v>
      </c>
      <c r="F2468" t="s">
        <v>25</v>
      </c>
      <c r="G2468" s="1">
        <v>45475</v>
      </c>
      <c r="H2468" s="1">
        <v>45478</v>
      </c>
      <c r="I2468" s="1">
        <v>45501</v>
      </c>
      <c r="J2468">
        <v>26</v>
      </c>
      <c r="K2468">
        <v>3</v>
      </c>
      <c r="L2468">
        <v>12</v>
      </c>
      <c r="M2468">
        <v>755.36</v>
      </c>
      <c r="N2468">
        <v>9064.32</v>
      </c>
      <c r="O2468">
        <v>0.05</v>
      </c>
      <c r="P2468">
        <v>453.22</v>
      </c>
      <c r="Q2468">
        <v>8611.1</v>
      </c>
      <c r="R2468">
        <v>5347.95</v>
      </c>
      <c r="S2468">
        <v>3263.15</v>
      </c>
    </row>
    <row r="2469" spans="1:19" x14ac:dyDescent="0.35">
      <c r="A2469">
        <v>201207</v>
      </c>
      <c r="B2469">
        <v>4180</v>
      </c>
      <c r="C2469" t="s">
        <v>23</v>
      </c>
      <c r="D2469" t="s">
        <v>29</v>
      </c>
      <c r="E2469" t="s">
        <v>21</v>
      </c>
      <c r="F2469" t="s">
        <v>39</v>
      </c>
      <c r="G2469" s="1">
        <v>45412</v>
      </c>
      <c r="H2469" s="1">
        <v>45417</v>
      </c>
      <c r="I2469" s="1">
        <v>45442</v>
      </c>
      <c r="J2469">
        <v>30</v>
      </c>
      <c r="K2469">
        <v>5</v>
      </c>
      <c r="L2469">
        <v>12</v>
      </c>
      <c r="M2469">
        <v>768.68</v>
      </c>
      <c r="N2469">
        <v>9224.16</v>
      </c>
      <c r="O2469">
        <v>0.1</v>
      </c>
      <c r="P2469">
        <v>922.42</v>
      </c>
      <c r="Q2469">
        <v>8301.74</v>
      </c>
      <c r="R2469">
        <v>5995.7</v>
      </c>
      <c r="S2469">
        <v>2306.04</v>
      </c>
    </row>
    <row r="2470" spans="1:19" x14ac:dyDescent="0.35">
      <c r="A2470">
        <v>201208</v>
      </c>
      <c r="B2470">
        <v>1770</v>
      </c>
      <c r="C2470" t="s">
        <v>33</v>
      </c>
      <c r="D2470" t="s">
        <v>20</v>
      </c>
      <c r="E2470" t="s">
        <v>24</v>
      </c>
      <c r="F2470" t="s">
        <v>30</v>
      </c>
      <c r="G2470" s="1">
        <v>45337</v>
      </c>
      <c r="H2470" s="1">
        <v>45338</v>
      </c>
      <c r="I2470" s="1">
        <v>45363</v>
      </c>
      <c r="J2470">
        <v>26</v>
      </c>
      <c r="K2470">
        <v>1</v>
      </c>
      <c r="L2470">
        <v>12</v>
      </c>
      <c r="M2470">
        <v>128</v>
      </c>
      <c r="N2470">
        <v>1536</v>
      </c>
      <c r="O2470">
        <v>0.09</v>
      </c>
      <c r="P2470">
        <v>138.24</v>
      </c>
      <c r="Q2470">
        <v>1397.76</v>
      </c>
      <c r="R2470">
        <v>936.96</v>
      </c>
      <c r="S2470">
        <v>460.8</v>
      </c>
    </row>
    <row r="2471" spans="1:19" x14ac:dyDescent="0.35">
      <c r="A2471">
        <v>201209</v>
      </c>
      <c r="B2471">
        <v>3209</v>
      </c>
      <c r="C2471" t="s">
        <v>23</v>
      </c>
      <c r="D2471" t="s">
        <v>31</v>
      </c>
      <c r="E2471" t="s">
        <v>24</v>
      </c>
      <c r="F2471" t="s">
        <v>32</v>
      </c>
      <c r="G2471" s="1">
        <v>45654</v>
      </c>
      <c r="H2471" s="1">
        <v>45655</v>
      </c>
      <c r="I2471" s="1">
        <v>45663</v>
      </c>
      <c r="J2471">
        <v>9</v>
      </c>
      <c r="K2471">
        <v>1</v>
      </c>
      <c r="L2471">
        <v>1</v>
      </c>
      <c r="M2471">
        <v>714.77</v>
      </c>
      <c r="N2471">
        <v>714.77</v>
      </c>
      <c r="O2471">
        <v>0.14000000000000001</v>
      </c>
      <c r="P2471">
        <v>100.07</v>
      </c>
      <c r="Q2471">
        <v>614.70000000000005</v>
      </c>
      <c r="R2471">
        <v>543.23</v>
      </c>
      <c r="S2471">
        <v>71.47</v>
      </c>
    </row>
    <row r="2472" spans="1:19" x14ac:dyDescent="0.35">
      <c r="A2472">
        <v>201210</v>
      </c>
      <c r="B2472">
        <v>4143</v>
      </c>
      <c r="C2472" t="s">
        <v>33</v>
      </c>
      <c r="D2472" t="s">
        <v>29</v>
      </c>
      <c r="E2472" t="s">
        <v>21</v>
      </c>
      <c r="F2472" t="s">
        <v>38</v>
      </c>
      <c r="G2472" s="1">
        <v>45470</v>
      </c>
      <c r="H2472" s="1">
        <v>45475</v>
      </c>
      <c r="I2472" s="1">
        <v>45481</v>
      </c>
      <c r="J2472">
        <v>11</v>
      </c>
      <c r="K2472">
        <v>5</v>
      </c>
      <c r="L2472">
        <v>6</v>
      </c>
      <c r="M2472">
        <v>677.75</v>
      </c>
      <c r="N2472">
        <v>4066.5</v>
      </c>
      <c r="O2472">
        <v>0.08</v>
      </c>
      <c r="P2472">
        <v>325.32</v>
      </c>
      <c r="Q2472">
        <v>3741.18</v>
      </c>
      <c r="R2472">
        <v>2521.23</v>
      </c>
      <c r="S2472">
        <v>1219.95</v>
      </c>
    </row>
    <row r="2473" spans="1:19" x14ac:dyDescent="0.35">
      <c r="A2473">
        <v>201211</v>
      </c>
      <c r="B2473">
        <v>3301</v>
      </c>
      <c r="C2473" t="s">
        <v>19</v>
      </c>
      <c r="D2473" t="s">
        <v>29</v>
      </c>
      <c r="E2473" t="s">
        <v>21</v>
      </c>
      <c r="F2473" t="s">
        <v>22</v>
      </c>
      <c r="G2473" s="1">
        <v>45447</v>
      </c>
      <c r="H2473" s="1">
        <v>45451</v>
      </c>
      <c r="I2473" s="1">
        <v>45463</v>
      </c>
      <c r="J2473">
        <v>16</v>
      </c>
      <c r="K2473">
        <v>4</v>
      </c>
      <c r="L2473">
        <v>3</v>
      </c>
      <c r="M2473">
        <v>45.56</v>
      </c>
      <c r="N2473">
        <v>136.68</v>
      </c>
      <c r="O2473">
        <v>0.08</v>
      </c>
      <c r="P2473">
        <v>10.93</v>
      </c>
      <c r="Q2473">
        <v>125.75</v>
      </c>
      <c r="R2473">
        <v>83.37</v>
      </c>
      <c r="S2473">
        <v>42.38</v>
      </c>
    </row>
    <row r="2474" spans="1:19" x14ac:dyDescent="0.35">
      <c r="A2474">
        <v>201212</v>
      </c>
      <c r="B2474">
        <v>4794</v>
      </c>
      <c r="C2474" t="s">
        <v>23</v>
      </c>
      <c r="D2474" t="s">
        <v>29</v>
      </c>
      <c r="E2474" t="s">
        <v>21</v>
      </c>
      <c r="F2474" t="s">
        <v>38</v>
      </c>
      <c r="G2474" s="1">
        <v>45312</v>
      </c>
      <c r="H2474" s="1">
        <v>45317</v>
      </c>
      <c r="I2474" s="1">
        <v>45314</v>
      </c>
      <c r="J2474">
        <v>2</v>
      </c>
      <c r="K2474">
        <v>5</v>
      </c>
      <c r="L2474">
        <v>9</v>
      </c>
      <c r="M2474">
        <v>43.23</v>
      </c>
      <c r="N2474">
        <v>389.07</v>
      </c>
      <c r="O2474">
        <v>0.13</v>
      </c>
      <c r="P2474">
        <v>50.58</v>
      </c>
      <c r="Q2474">
        <v>338.49</v>
      </c>
      <c r="R2474">
        <v>264.57</v>
      </c>
      <c r="S2474">
        <v>73.92</v>
      </c>
    </row>
    <row r="2475" spans="1:19" x14ac:dyDescent="0.35">
      <c r="A2475">
        <v>201213</v>
      </c>
      <c r="B2475">
        <v>3627</v>
      </c>
      <c r="C2475" t="s">
        <v>28</v>
      </c>
      <c r="D2475" t="s">
        <v>31</v>
      </c>
      <c r="E2475" t="s">
        <v>24</v>
      </c>
      <c r="F2475" t="s">
        <v>42</v>
      </c>
      <c r="G2475" s="1">
        <v>45559</v>
      </c>
      <c r="H2475" s="1">
        <v>45563</v>
      </c>
      <c r="I2475" s="1">
        <v>45567</v>
      </c>
      <c r="J2475">
        <v>8</v>
      </c>
      <c r="K2475">
        <v>4</v>
      </c>
      <c r="L2475">
        <v>6</v>
      </c>
      <c r="M2475">
        <v>593.79</v>
      </c>
      <c r="N2475">
        <v>3562.74</v>
      </c>
      <c r="O2475">
        <v>0.12</v>
      </c>
      <c r="P2475">
        <v>427.53</v>
      </c>
      <c r="Q2475">
        <v>3135.21</v>
      </c>
      <c r="R2475">
        <v>2137.64</v>
      </c>
      <c r="S2475">
        <v>997.57</v>
      </c>
    </row>
    <row r="2476" spans="1:19" x14ac:dyDescent="0.35">
      <c r="A2476">
        <v>201214</v>
      </c>
      <c r="B2476">
        <v>4483</v>
      </c>
      <c r="C2476" t="s">
        <v>19</v>
      </c>
      <c r="D2476" t="s">
        <v>31</v>
      </c>
      <c r="E2476" t="s">
        <v>24</v>
      </c>
      <c r="F2476" t="s">
        <v>30</v>
      </c>
      <c r="G2476" s="1">
        <v>45651</v>
      </c>
      <c r="H2476" s="1">
        <v>45653</v>
      </c>
      <c r="I2476" s="1">
        <v>45665</v>
      </c>
      <c r="J2476">
        <v>14</v>
      </c>
      <c r="K2476">
        <v>2</v>
      </c>
      <c r="L2476">
        <v>5</v>
      </c>
      <c r="M2476">
        <v>23.4</v>
      </c>
      <c r="N2476">
        <v>117</v>
      </c>
      <c r="O2476">
        <v>0.1</v>
      </c>
      <c r="P2476">
        <v>11.7</v>
      </c>
      <c r="Q2476">
        <v>105.3</v>
      </c>
      <c r="R2476">
        <v>69.03</v>
      </c>
      <c r="S2476">
        <v>36.270000000000003</v>
      </c>
    </row>
    <row r="2477" spans="1:19" x14ac:dyDescent="0.35">
      <c r="A2477">
        <v>201215</v>
      </c>
      <c r="B2477">
        <v>2448</v>
      </c>
      <c r="C2477" t="s">
        <v>33</v>
      </c>
      <c r="D2477" t="s">
        <v>31</v>
      </c>
      <c r="E2477" t="s">
        <v>34</v>
      </c>
      <c r="F2477" t="s">
        <v>40</v>
      </c>
      <c r="G2477" s="1">
        <v>45555</v>
      </c>
      <c r="H2477" s="1">
        <v>45556</v>
      </c>
      <c r="I2477" s="1">
        <v>45578</v>
      </c>
      <c r="J2477">
        <v>23</v>
      </c>
      <c r="K2477">
        <v>1</v>
      </c>
      <c r="L2477">
        <v>11</v>
      </c>
      <c r="M2477">
        <v>32.799999999999997</v>
      </c>
      <c r="N2477">
        <v>360.8</v>
      </c>
      <c r="O2477">
        <v>0.08</v>
      </c>
      <c r="P2477">
        <v>28.86</v>
      </c>
      <c r="Q2477">
        <v>331.94</v>
      </c>
      <c r="R2477">
        <v>220.09</v>
      </c>
      <c r="S2477">
        <v>111.85</v>
      </c>
    </row>
    <row r="2478" spans="1:19" x14ac:dyDescent="0.35">
      <c r="A2478">
        <v>201216</v>
      </c>
      <c r="B2478">
        <v>3487</v>
      </c>
      <c r="C2478" t="s">
        <v>33</v>
      </c>
      <c r="D2478" t="s">
        <v>31</v>
      </c>
      <c r="E2478" t="s">
        <v>24</v>
      </c>
      <c r="F2478" t="s">
        <v>32</v>
      </c>
      <c r="G2478" s="1">
        <v>45631</v>
      </c>
      <c r="H2478" s="1">
        <v>45633</v>
      </c>
      <c r="I2478" s="1">
        <v>45653</v>
      </c>
      <c r="J2478">
        <v>22</v>
      </c>
      <c r="K2478">
        <v>2</v>
      </c>
      <c r="L2478">
        <v>1</v>
      </c>
      <c r="M2478">
        <v>231.55</v>
      </c>
      <c r="N2478">
        <v>231.55</v>
      </c>
      <c r="O2478">
        <v>0.08</v>
      </c>
      <c r="P2478">
        <v>18.52</v>
      </c>
      <c r="Q2478">
        <v>213.03</v>
      </c>
      <c r="R2478">
        <v>141.25</v>
      </c>
      <c r="S2478">
        <v>71.78</v>
      </c>
    </row>
    <row r="2479" spans="1:19" x14ac:dyDescent="0.35">
      <c r="A2479">
        <v>201217</v>
      </c>
      <c r="B2479">
        <v>4615</v>
      </c>
      <c r="C2479" t="s">
        <v>19</v>
      </c>
      <c r="D2479" t="s">
        <v>31</v>
      </c>
      <c r="E2479" t="s">
        <v>24</v>
      </c>
      <c r="F2479" t="s">
        <v>32</v>
      </c>
      <c r="G2479" s="1">
        <v>45333</v>
      </c>
      <c r="H2479" s="1">
        <v>45334</v>
      </c>
      <c r="I2479" s="1">
        <v>45361</v>
      </c>
      <c r="J2479">
        <v>28</v>
      </c>
      <c r="K2479">
        <v>1</v>
      </c>
      <c r="L2479">
        <v>1</v>
      </c>
      <c r="M2479">
        <v>250.61</v>
      </c>
      <c r="N2479">
        <v>250.61</v>
      </c>
      <c r="O2479">
        <v>0.14000000000000001</v>
      </c>
      <c r="P2479">
        <v>35.090000000000003</v>
      </c>
      <c r="Q2479">
        <v>215.52</v>
      </c>
      <c r="R2479">
        <v>137.84</v>
      </c>
      <c r="S2479">
        <v>77.680000000000007</v>
      </c>
    </row>
    <row r="2480" spans="1:19" x14ac:dyDescent="0.35">
      <c r="A2480">
        <v>201218</v>
      </c>
      <c r="B2480">
        <v>2213</v>
      </c>
      <c r="C2480" t="s">
        <v>23</v>
      </c>
      <c r="D2480" t="s">
        <v>20</v>
      </c>
      <c r="E2480" t="s">
        <v>26</v>
      </c>
      <c r="F2480" t="s">
        <v>27</v>
      </c>
      <c r="G2480" s="1">
        <v>45491</v>
      </c>
      <c r="H2480" s="1">
        <v>45496</v>
      </c>
      <c r="I2480" s="1">
        <v>45497</v>
      </c>
      <c r="J2480">
        <v>6</v>
      </c>
      <c r="K2480">
        <v>5</v>
      </c>
      <c r="L2480">
        <v>1</v>
      </c>
      <c r="M2480">
        <v>152.55000000000001</v>
      </c>
      <c r="N2480">
        <v>152.55000000000001</v>
      </c>
      <c r="O2480">
        <v>0</v>
      </c>
      <c r="P2480">
        <v>0</v>
      </c>
      <c r="Q2480">
        <v>152.55000000000001</v>
      </c>
      <c r="R2480">
        <v>97.63</v>
      </c>
      <c r="S2480">
        <v>54.92</v>
      </c>
    </row>
    <row r="2481" spans="1:19" x14ac:dyDescent="0.35">
      <c r="A2481">
        <v>201219</v>
      </c>
      <c r="B2481">
        <v>4562</v>
      </c>
      <c r="C2481" t="s">
        <v>19</v>
      </c>
      <c r="D2481" t="s">
        <v>31</v>
      </c>
      <c r="E2481" t="s">
        <v>21</v>
      </c>
      <c r="F2481" t="s">
        <v>22</v>
      </c>
      <c r="G2481" s="1">
        <v>45584</v>
      </c>
      <c r="H2481" s="1">
        <v>45588</v>
      </c>
      <c r="I2481" s="1">
        <v>45614</v>
      </c>
      <c r="J2481">
        <v>30</v>
      </c>
      <c r="K2481">
        <v>4</v>
      </c>
      <c r="L2481">
        <v>12</v>
      </c>
      <c r="M2481">
        <v>525.15</v>
      </c>
      <c r="N2481">
        <v>6301.8</v>
      </c>
      <c r="O2481">
        <v>0.08</v>
      </c>
      <c r="P2481">
        <v>504.14</v>
      </c>
      <c r="Q2481">
        <v>5797.66</v>
      </c>
      <c r="R2481">
        <v>3592.03</v>
      </c>
      <c r="S2481">
        <v>2205.63</v>
      </c>
    </row>
    <row r="2482" spans="1:19" x14ac:dyDescent="0.35">
      <c r="A2482">
        <v>201220</v>
      </c>
      <c r="B2482">
        <v>2794</v>
      </c>
      <c r="C2482" t="s">
        <v>23</v>
      </c>
      <c r="D2482" t="s">
        <v>31</v>
      </c>
      <c r="E2482" t="s">
        <v>24</v>
      </c>
      <c r="F2482" t="s">
        <v>42</v>
      </c>
      <c r="G2482" s="1">
        <v>45537</v>
      </c>
      <c r="H2482" s="1">
        <v>45538</v>
      </c>
      <c r="I2482" s="1">
        <v>45566</v>
      </c>
      <c r="J2482">
        <v>29</v>
      </c>
      <c r="K2482">
        <v>1</v>
      </c>
      <c r="L2482">
        <v>14</v>
      </c>
      <c r="M2482">
        <v>696.5</v>
      </c>
      <c r="N2482">
        <v>9751</v>
      </c>
      <c r="O2482">
        <v>0.1</v>
      </c>
      <c r="P2482">
        <v>975.1</v>
      </c>
      <c r="Q2482">
        <v>8775.9</v>
      </c>
      <c r="R2482">
        <v>5753.09</v>
      </c>
      <c r="S2482">
        <v>3022.81</v>
      </c>
    </row>
    <row r="2483" spans="1:19" x14ac:dyDescent="0.35">
      <c r="A2483">
        <v>201221</v>
      </c>
      <c r="B2483">
        <v>2258</v>
      </c>
      <c r="C2483" t="s">
        <v>33</v>
      </c>
      <c r="D2483" t="s">
        <v>29</v>
      </c>
      <c r="E2483" t="s">
        <v>21</v>
      </c>
      <c r="F2483" t="s">
        <v>41</v>
      </c>
      <c r="G2483" s="1">
        <v>45298</v>
      </c>
      <c r="H2483" s="1">
        <v>45302</v>
      </c>
      <c r="I2483" s="1">
        <v>45309</v>
      </c>
      <c r="J2483">
        <v>11</v>
      </c>
      <c r="K2483">
        <v>4</v>
      </c>
      <c r="L2483">
        <v>8</v>
      </c>
      <c r="M2483">
        <v>770.56</v>
      </c>
      <c r="N2483">
        <v>6164.48</v>
      </c>
      <c r="O2483">
        <v>0.02</v>
      </c>
      <c r="P2483">
        <v>123.29</v>
      </c>
      <c r="Q2483">
        <v>6041.19</v>
      </c>
      <c r="R2483">
        <v>4253.49</v>
      </c>
      <c r="S2483">
        <v>1787.7</v>
      </c>
    </row>
    <row r="2484" spans="1:19" x14ac:dyDescent="0.35">
      <c r="A2484">
        <v>201222</v>
      </c>
      <c r="B2484">
        <v>4502</v>
      </c>
      <c r="C2484" t="s">
        <v>28</v>
      </c>
      <c r="D2484" t="s">
        <v>31</v>
      </c>
      <c r="E2484" t="s">
        <v>26</v>
      </c>
      <c r="F2484" t="s">
        <v>37</v>
      </c>
      <c r="G2484" s="1">
        <v>45296</v>
      </c>
      <c r="H2484" s="1">
        <v>45300</v>
      </c>
      <c r="I2484" s="1">
        <v>45316</v>
      </c>
      <c r="J2484">
        <v>20</v>
      </c>
      <c r="K2484">
        <v>4</v>
      </c>
      <c r="L2484">
        <v>6</v>
      </c>
      <c r="M2484">
        <v>279.27</v>
      </c>
      <c r="N2484">
        <v>1675.62</v>
      </c>
      <c r="O2484">
        <v>0.1</v>
      </c>
      <c r="P2484">
        <v>167.56</v>
      </c>
      <c r="Q2484">
        <v>1508.06</v>
      </c>
      <c r="R2484">
        <v>988.62</v>
      </c>
      <c r="S2484">
        <v>519.44000000000005</v>
      </c>
    </row>
    <row r="2485" spans="1:19" x14ac:dyDescent="0.35">
      <c r="A2485">
        <v>201223</v>
      </c>
      <c r="B2485">
        <v>1754</v>
      </c>
      <c r="C2485" t="s">
        <v>33</v>
      </c>
      <c r="D2485" t="s">
        <v>20</v>
      </c>
      <c r="E2485" t="s">
        <v>21</v>
      </c>
      <c r="F2485" t="s">
        <v>39</v>
      </c>
      <c r="G2485" s="1">
        <v>45591</v>
      </c>
      <c r="H2485" s="1">
        <v>45596</v>
      </c>
      <c r="I2485" s="1">
        <v>45609</v>
      </c>
      <c r="J2485">
        <v>18</v>
      </c>
      <c r="K2485">
        <v>5</v>
      </c>
      <c r="L2485">
        <v>9</v>
      </c>
      <c r="M2485">
        <v>608.22</v>
      </c>
      <c r="N2485">
        <v>5473.98</v>
      </c>
      <c r="O2485">
        <v>0.16</v>
      </c>
      <c r="P2485">
        <v>875.84</v>
      </c>
      <c r="Q2485">
        <v>4598.1400000000003</v>
      </c>
      <c r="R2485">
        <v>3339.13</v>
      </c>
      <c r="S2485">
        <v>1259.01</v>
      </c>
    </row>
    <row r="2486" spans="1:19" x14ac:dyDescent="0.35">
      <c r="A2486">
        <v>201224</v>
      </c>
      <c r="B2486">
        <v>4421</v>
      </c>
      <c r="C2486" t="s">
        <v>33</v>
      </c>
      <c r="D2486" t="s">
        <v>31</v>
      </c>
      <c r="E2486" t="s">
        <v>34</v>
      </c>
      <c r="F2486" t="s">
        <v>43</v>
      </c>
      <c r="G2486" s="1">
        <v>45375</v>
      </c>
      <c r="H2486" s="1">
        <v>45377</v>
      </c>
      <c r="I2486" s="1">
        <v>45386</v>
      </c>
      <c r="J2486">
        <v>11</v>
      </c>
      <c r="K2486">
        <v>2</v>
      </c>
      <c r="L2486">
        <v>9</v>
      </c>
      <c r="M2486">
        <v>609.95000000000005</v>
      </c>
      <c r="N2486">
        <v>5489.55</v>
      </c>
      <c r="O2486">
        <v>0.11</v>
      </c>
      <c r="P2486">
        <v>603.85</v>
      </c>
      <c r="Q2486">
        <v>4885.7</v>
      </c>
      <c r="R2486">
        <v>3293.73</v>
      </c>
      <c r="S2486">
        <v>1591.97</v>
      </c>
    </row>
    <row r="2487" spans="1:19" x14ac:dyDescent="0.35">
      <c r="A2487">
        <v>201225</v>
      </c>
      <c r="B2487">
        <v>1740</v>
      </c>
      <c r="C2487" t="s">
        <v>23</v>
      </c>
      <c r="D2487" t="s">
        <v>20</v>
      </c>
      <c r="E2487" t="s">
        <v>24</v>
      </c>
      <c r="F2487" t="s">
        <v>25</v>
      </c>
      <c r="G2487" s="1">
        <v>45548</v>
      </c>
      <c r="H2487" s="1">
        <v>45553</v>
      </c>
      <c r="I2487" s="1">
        <v>45561</v>
      </c>
      <c r="J2487">
        <v>13</v>
      </c>
      <c r="K2487">
        <v>5</v>
      </c>
      <c r="L2487">
        <v>6</v>
      </c>
      <c r="M2487">
        <v>228.03</v>
      </c>
      <c r="N2487">
        <v>1368.18</v>
      </c>
      <c r="O2487">
        <v>0.03</v>
      </c>
      <c r="P2487">
        <v>41.05</v>
      </c>
      <c r="Q2487">
        <v>1327.13</v>
      </c>
      <c r="R2487">
        <v>656.73</v>
      </c>
      <c r="S2487">
        <v>670.4</v>
      </c>
    </row>
    <row r="2488" spans="1:19" x14ac:dyDescent="0.35">
      <c r="A2488">
        <v>201226</v>
      </c>
      <c r="B2488">
        <v>3267</v>
      </c>
      <c r="C2488" t="s">
        <v>28</v>
      </c>
      <c r="D2488" t="s">
        <v>20</v>
      </c>
      <c r="E2488" t="s">
        <v>34</v>
      </c>
      <c r="F2488" t="s">
        <v>43</v>
      </c>
      <c r="G2488" s="1">
        <v>45607</v>
      </c>
      <c r="H2488" s="1">
        <v>45612</v>
      </c>
      <c r="I2488" s="1">
        <v>45623</v>
      </c>
      <c r="J2488">
        <v>16</v>
      </c>
      <c r="K2488">
        <v>5</v>
      </c>
      <c r="L2488">
        <v>7</v>
      </c>
      <c r="M2488">
        <v>219.43</v>
      </c>
      <c r="N2488">
        <v>1536.01</v>
      </c>
      <c r="O2488">
        <v>7.0000000000000007E-2</v>
      </c>
      <c r="P2488">
        <v>107.52</v>
      </c>
      <c r="Q2488">
        <v>1428.49</v>
      </c>
      <c r="R2488">
        <v>1105.93</v>
      </c>
      <c r="S2488">
        <v>322.56</v>
      </c>
    </row>
    <row r="2489" spans="1:19" x14ac:dyDescent="0.35">
      <c r="A2489">
        <v>201227</v>
      </c>
      <c r="B2489">
        <v>4785</v>
      </c>
      <c r="C2489" t="s">
        <v>28</v>
      </c>
      <c r="D2489" t="s">
        <v>20</v>
      </c>
      <c r="E2489" t="s">
        <v>34</v>
      </c>
      <c r="F2489" t="s">
        <v>43</v>
      </c>
      <c r="G2489" s="1">
        <v>45655</v>
      </c>
      <c r="H2489" s="1">
        <v>45656</v>
      </c>
      <c r="I2489" s="1">
        <v>45662</v>
      </c>
      <c r="J2489">
        <v>7</v>
      </c>
      <c r="K2489">
        <v>1</v>
      </c>
      <c r="L2489">
        <v>6</v>
      </c>
      <c r="M2489">
        <v>400.98</v>
      </c>
      <c r="N2489">
        <v>2405.88</v>
      </c>
      <c r="O2489">
        <v>0.11</v>
      </c>
      <c r="P2489">
        <v>264.64999999999998</v>
      </c>
      <c r="Q2489">
        <v>2141.23</v>
      </c>
      <c r="R2489">
        <v>1636</v>
      </c>
      <c r="S2489">
        <v>505.23</v>
      </c>
    </row>
    <row r="2490" spans="1:19" x14ac:dyDescent="0.35">
      <c r="A2490">
        <v>201228</v>
      </c>
      <c r="B2490">
        <v>2533</v>
      </c>
      <c r="C2490" t="s">
        <v>28</v>
      </c>
      <c r="D2490" t="s">
        <v>29</v>
      </c>
      <c r="E2490" t="s">
        <v>21</v>
      </c>
      <c r="F2490" t="s">
        <v>38</v>
      </c>
      <c r="G2490" s="1">
        <v>45292</v>
      </c>
      <c r="H2490" s="1">
        <v>45294</v>
      </c>
      <c r="I2490" s="1">
        <v>45310</v>
      </c>
      <c r="J2490">
        <v>18</v>
      </c>
      <c r="K2490">
        <v>2</v>
      </c>
      <c r="L2490">
        <v>6</v>
      </c>
      <c r="M2490">
        <v>591.70000000000005</v>
      </c>
      <c r="N2490">
        <v>3550.2</v>
      </c>
      <c r="O2490">
        <v>0.06</v>
      </c>
      <c r="P2490">
        <v>213.01</v>
      </c>
      <c r="Q2490">
        <v>3337.19</v>
      </c>
      <c r="R2490">
        <v>2201.12</v>
      </c>
      <c r="S2490">
        <v>1136.07</v>
      </c>
    </row>
    <row r="2491" spans="1:19" x14ac:dyDescent="0.35">
      <c r="A2491">
        <v>201229</v>
      </c>
      <c r="B2491">
        <v>2589</v>
      </c>
      <c r="C2491" t="s">
        <v>28</v>
      </c>
      <c r="D2491" t="s">
        <v>20</v>
      </c>
      <c r="E2491" t="s">
        <v>24</v>
      </c>
      <c r="F2491" t="s">
        <v>42</v>
      </c>
      <c r="G2491" s="1">
        <v>45644</v>
      </c>
      <c r="H2491" s="1">
        <v>45646</v>
      </c>
      <c r="I2491" s="1">
        <v>45664</v>
      </c>
      <c r="J2491">
        <v>20</v>
      </c>
      <c r="K2491">
        <v>2</v>
      </c>
      <c r="L2491">
        <v>10</v>
      </c>
      <c r="M2491">
        <v>201.79</v>
      </c>
      <c r="N2491">
        <v>2017.9</v>
      </c>
      <c r="O2491">
        <v>0.02</v>
      </c>
      <c r="P2491">
        <v>40.36</v>
      </c>
      <c r="Q2491">
        <v>1977.54</v>
      </c>
      <c r="R2491">
        <v>1210.74</v>
      </c>
      <c r="S2491">
        <v>766.8</v>
      </c>
    </row>
    <row r="2492" spans="1:19" x14ac:dyDescent="0.35">
      <c r="A2492">
        <v>201230</v>
      </c>
      <c r="B2492">
        <v>2192</v>
      </c>
      <c r="C2492" t="s">
        <v>28</v>
      </c>
      <c r="D2492" t="s">
        <v>31</v>
      </c>
      <c r="E2492" t="s">
        <v>26</v>
      </c>
      <c r="F2492" t="s">
        <v>27</v>
      </c>
      <c r="G2492" s="1">
        <v>45469</v>
      </c>
      <c r="H2492" s="1">
        <v>45470</v>
      </c>
      <c r="I2492" s="1">
        <v>45472</v>
      </c>
      <c r="J2492">
        <v>3</v>
      </c>
      <c r="K2492">
        <v>1</v>
      </c>
      <c r="L2492">
        <v>1</v>
      </c>
      <c r="M2492">
        <v>658.64</v>
      </c>
      <c r="N2492">
        <v>658.64</v>
      </c>
      <c r="O2492">
        <v>0.11</v>
      </c>
      <c r="P2492">
        <v>72.45</v>
      </c>
      <c r="Q2492">
        <v>586.19000000000005</v>
      </c>
      <c r="R2492">
        <v>395.18</v>
      </c>
      <c r="S2492">
        <v>191.01</v>
      </c>
    </row>
    <row r="2493" spans="1:19" x14ac:dyDescent="0.35">
      <c r="A2493">
        <v>201231</v>
      </c>
      <c r="B2493">
        <v>2309</v>
      </c>
      <c r="C2493" t="s">
        <v>33</v>
      </c>
      <c r="D2493" t="s">
        <v>29</v>
      </c>
      <c r="E2493" t="s">
        <v>26</v>
      </c>
      <c r="F2493" t="s">
        <v>37</v>
      </c>
      <c r="G2493" s="1">
        <v>45443</v>
      </c>
      <c r="H2493" s="1">
        <v>45445</v>
      </c>
      <c r="I2493" s="1">
        <v>45466</v>
      </c>
      <c r="J2493">
        <v>23</v>
      </c>
      <c r="K2493">
        <v>2</v>
      </c>
      <c r="L2493">
        <v>5</v>
      </c>
      <c r="M2493">
        <v>736.63</v>
      </c>
      <c r="N2493">
        <v>3683.15</v>
      </c>
      <c r="O2493">
        <v>0.12</v>
      </c>
      <c r="P2493">
        <v>441.98</v>
      </c>
      <c r="Q2493">
        <v>3241.17</v>
      </c>
      <c r="R2493">
        <v>2246.7199999999998</v>
      </c>
      <c r="S2493">
        <v>994.45</v>
      </c>
    </row>
    <row r="2494" spans="1:19" x14ac:dyDescent="0.35">
      <c r="A2494">
        <v>201232</v>
      </c>
      <c r="B2494">
        <v>3906</v>
      </c>
      <c r="C2494" t="s">
        <v>23</v>
      </c>
      <c r="D2494" t="s">
        <v>29</v>
      </c>
      <c r="E2494" t="s">
        <v>21</v>
      </c>
      <c r="F2494" t="s">
        <v>22</v>
      </c>
      <c r="G2494" s="1">
        <v>45615</v>
      </c>
      <c r="H2494" s="1">
        <v>45616</v>
      </c>
      <c r="I2494" s="1">
        <v>45637</v>
      </c>
      <c r="J2494">
        <v>22</v>
      </c>
      <c r="K2494">
        <v>1</v>
      </c>
      <c r="L2494">
        <v>13</v>
      </c>
      <c r="M2494">
        <v>722.94</v>
      </c>
      <c r="N2494">
        <v>9398.2199999999993</v>
      </c>
      <c r="O2494">
        <v>0.12</v>
      </c>
      <c r="P2494">
        <v>1127.79</v>
      </c>
      <c r="Q2494">
        <v>8270.43</v>
      </c>
      <c r="R2494">
        <v>6296.81</v>
      </c>
      <c r="S2494">
        <v>1973.62</v>
      </c>
    </row>
    <row r="2495" spans="1:19" x14ac:dyDescent="0.35">
      <c r="A2495">
        <v>201233</v>
      </c>
      <c r="B2495">
        <v>3087</v>
      </c>
      <c r="C2495" t="s">
        <v>28</v>
      </c>
      <c r="D2495" t="s">
        <v>29</v>
      </c>
      <c r="E2495" t="s">
        <v>34</v>
      </c>
      <c r="F2495" t="s">
        <v>43</v>
      </c>
      <c r="G2495" s="1">
        <v>45319</v>
      </c>
      <c r="H2495" s="1">
        <v>45323</v>
      </c>
      <c r="I2495" s="1">
        <v>45329</v>
      </c>
      <c r="J2495">
        <v>10</v>
      </c>
      <c r="K2495">
        <v>4</v>
      </c>
      <c r="L2495">
        <v>11</v>
      </c>
      <c r="M2495">
        <v>278.57</v>
      </c>
      <c r="N2495">
        <v>3064.27</v>
      </c>
      <c r="O2495">
        <v>0.15</v>
      </c>
      <c r="P2495">
        <v>459.64</v>
      </c>
      <c r="Q2495">
        <v>2604.63</v>
      </c>
      <c r="R2495">
        <v>1961.13</v>
      </c>
      <c r="S2495">
        <v>643.5</v>
      </c>
    </row>
    <row r="2496" spans="1:19" x14ac:dyDescent="0.35">
      <c r="A2496">
        <v>201234</v>
      </c>
      <c r="B2496">
        <v>1740</v>
      </c>
      <c r="C2496" t="s">
        <v>28</v>
      </c>
      <c r="D2496" t="s">
        <v>20</v>
      </c>
      <c r="E2496" t="s">
        <v>21</v>
      </c>
      <c r="F2496" t="s">
        <v>22</v>
      </c>
      <c r="G2496" s="1">
        <v>45366</v>
      </c>
      <c r="H2496" s="1">
        <v>45371</v>
      </c>
      <c r="I2496" s="1">
        <v>45393</v>
      </c>
      <c r="J2496">
        <v>27</v>
      </c>
      <c r="K2496">
        <v>5</v>
      </c>
      <c r="L2496">
        <v>1</v>
      </c>
      <c r="M2496">
        <v>214.26</v>
      </c>
      <c r="N2496">
        <v>214.26</v>
      </c>
      <c r="O2496">
        <v>0.15</v>
      </c>
      <c r="P2496">
        <v>32.14</v>
      </c>
      <c r="Q2496">
        <v>182.12</v>
      </c>
      <c r="R2496">
        <v>145.69999999999999</v>
      </c>
      <c r="S2496">
        <v>36.42</v>
      </c>
    </row>
    <row r="2497" spans="1:19" x14ac:dyDescent="0.35">
      <c r="A2497">
        <v>201235</v>
      </c>
      <c r="B2497">
        <v>1589</v>
      </c>
      <c r="C2497" t="s">
        <v>19</v>
      </c>
      <c r="D2497" t="s">
        <v>31</v>
      </c>
      <c r="E2497" t="s">
        <v>34</v>
      </c>
      <c r="F2497" t="s">
        <v>45</v>
      </c>
      <c r="G2497" s="1">
        <v>45528</v>
      </c>
      <c r="H2497" s="1">
        <v>45531</v>
      </c>
      <c r="I2497" s="1">
        <v>45558</v>
      </c>
      <c r="J2497">
        <v>30</v>
      </c>
      <c r="K2497">
        <v>3</v>
      </c>
      <c r="L2497">
        <v>4</v>
      </c>
      <c r="M2497">
        <v>278.58999999999997</v>
      </c>
      <c r="N2497">
        <v>1114.3599999999999</v>
      </c>
      <c r="O2497">
        <v>0.03</v>
      </c>
      <c r="P2497">
        <v>33.43</v>
      </c>
      <c r="Q2497">
        <v>1080.93</v>
      </c>
      <c r="R2497">
        <v>679.76</v>
      </c>
      <c r="S2497">
        <v>401.17</v>
      </c>
    </row>
    <row r="2498" spans="1:19" x14ac:dyDescent="0.35">
      <c r="A2498">
        <v>201236</v>
      </c>
      <c r="B2498">
        <v>4549</v>
      </c>
      <c r="C2498" t="s">
        <v>23</v>
      </c>
      <c r="D2498" t="s">
        <v>31</v>
      </c>
      <c r="E2498" t="s">
        <v>26</v>
      </c>
      <c r="F2498" t="s">
        <v>36</v>
      </c>
      <c r="G2498" s="1">
        <v>45562</v>
      </c>
      <c r="H2498" s="1">
        <v>45563</v>
      </c>
      <c r="I2498" s="1">
        <v>45580</v>
      </c>
      <c r="J2498">
        <v>18</v>
      </c>
      <c r="K2498">
        <v>1</v>
      </c>
      <c r="L2498">
        <v>5</v>
      </c>
      <c r="M2498">
        <v>664.89</v>
      </c>
      <c r="N2498">
        <v>3324.45</v>
      </c>
      <c r="O2498">
        <v>0.06</v>
      </c>
      <c r="P2498">
        <v>199.47</v>
      </c>
      <c r="Q2498">
        <v>3124.98</v>
      </c>
      <c r="R2498">
        <v>1928.18</v>
      </c>
      <c r="S2498">
        <v>1196.8</v>
      </c>
    </row>
    <row r="2499" spans="1:19" x14ac:dyDescent="0.35">
      <c r="A2499">
        <v>201237</v>
      </c>
      <c r="B2499">
        <v>3252</v>
      </c>
      <c r="C2499" t="s">
        <v>19</v>
      </c>
      <c r="D2499" t="s">
        <v>31</v>
      </c>
      <c r="E2499" t="s">
        <v>24</v>
      </c>
      <c r="F2499" t="s">
        <v>42</v>
      </c>
      <c r="G2499" s="1">
        <v>45441</v>
      </c>
      <c r="H2499" s="1">
        <v>45444</v>
      </c>
      <c r="I2499" s="1">
        <v>45462</v>
      </c>
      <c r="J2499">
        <v>21</v>
      </c>
      <c r="K2499">
        <v>3</v>
      </c>
      <c r="L2499">
        <v>2</v>
      </c>
      <c r="M2499">
        <v>526</v>
      </c>
      <c r="N2499">
        <v>1052</v>
      </c>
      <c r="O2499">
        <v>0.05</v>
      </c>
      <c r="P2499">
        <v>52.6</v>
      </c>
      <c r="Q2499">
        <v>999.4</v>
      </c>
      <c r="R2499">
        <v>652.24</v>
      </c>
      <c r="S2499">
        <v>347.16</v>
      </c>
    </row>
    <row r="2500" spans="1:19" x14ac:dyDescent="0.35">
      <c r="A2500">
        <v>201238</v>
      </c>
      <c r="B2500">
        <v>2925</v>
      </c>
      <c r="C2500" t="s">
        <v>19</v>
      </c>
      <c r="D2500" t="s">
        <v>29</v>
      </c>
      <c r="E2500" t="s">
        <v>34</v>
      </c>
      <c r="F2500" t="s">
        <v>40</v>
      </c>
      <c r="G2500" s="1">
        <v>45321</v>
      </c>
      <c r="H2500" s="1">
        <v>45326</v>
      </c>
      <c r="I2500" s="1">
        <v>45325</v>
      </c>
      <c r="J2500">
        <v>4</v>
      </c>
      <c r="K2500">
        <v>5</v>
      </c>
      <c r="L2500">
        <v>10</v>
      </c>
      <c r="M2500">
        <v>661.34</v>
      </c>
      <c r="N2500">
        <v>6613.4</v>
      </c>
      <c r="O2500">
        <v>0.17</v>
      </c>
      <c r="P2500">
        <v>1124.28</v>
      </c>
      <c r="Q2500">
        <v>5489.12</v>
      </c>
      <c r="R2500">
        <v>4232.58</v>
      </c>
      <c r="S2500">
        <v>1256.54</v>
      </c>
    </row>
    <row r="2501" spans="1:19" x14ac:dyDescent="0.35">
      <c r="A2501">
        <v>201239</v>
      </c>
      <c r="B2501">
        <v>2978</v>
      </c>
      <c r="C2501" t="s">
        <v>23</v>
      </c>
      <c r="D2501" t="s">
        <v>20</v>
      </c>
      <c r="E2501" t="s">
        <v>21</v>
      </c>
      <c r="F2501" t="s">
        <v>41</v>
      </c>
      <c r="G2501" s="1">
        <v>45637</v>
      </c>
      <c r="H2501" s="1">
        <v>45640</v>
      </c>
      <c r="I2501" s="1">
        <v>45651</v>
      </c>
      <c r="J2501">
        <v>14</v>
      </c>
      <c r="K2501">
        <v>3</v>
      </c>
      <c r="L2501">
        <v>11</v>
      </c>
      <c r="M2501">
        <v>281.19</v>
      </c>
      <c r="N2501">
        <v>3093.09</v>
      </c>
      <c r="O2501">
        <v>0.13</v>
      </c>
      <c r="P2501">
        <v>402.1</v>
      </c>
      <c r="Q2501">
        <v>2690.99</v>
      </c>
      <c r="R2501">
        <v>2041.44</v>
      </c>
      <c r="S2501">
        <v>649.54999999999995</v>
      </c>
    </row>
    <row r="2502" spans="1:19" x14ac:dyDescent="0.35">
      <c r="A2502">
        <v>201240</v>
      </c>
      <c r="B2502">
        <v>1830</v>
      </c>
      <c r="C2502" t="s">
        <v>19</v>
      </c>
      <c r="D2502" t="s">
        <v>20</v>
      </c>
      <c r="E2502" t="s">
        <v>21</v>
      </c>
      <c r="F2502" t="s">
        <v>41</v>
      </c>
      <c r="G2502" s="1">
        <v>45434</v>
      </c>
      <c r="H2502" s="1">
        <v>45438</v>
      </c>
      <c r="I2502" s="1">
        <v>45454</v>
      </c>
      <c r="J2502">
        <v>20</v>
      </c>
      <c r="K2502">
        <v>4</v>
      </c>
      <c r="L2502">
        <v>9</v>
      </c>
      <c r="M2502">
        <v>221.82</v>
      </c>
      <c r="N2502">
        <v>1996.38</v>
      </c>
      <c r="O2502">
        <v>0.09</v>
      </c>
      <c r="P2502">
        <v>179.67</v>
      </c>
      <c r="Q2502">
        <v>1816.71</v>
      </c>
      <c r="R2502">
        <v>1437.39</v>
      </c>
      <c r="S2502">
        <v>379.32</v>
      </c>
    </row>
    <row r="2503" spans="1:19" x14ac:dyDescent="0.35">
      <c r="A2503">
        <v>201241</v>
      </c>
      <c r="B2503">
        <v>2108</v>
      </c>
      <c r="C2503" t="s">
        <v>23</v>
      </c>
      <c r="D2503" t="s">
        <v>29</v>
      </c>
      <c r="E2503" t="s">
        <v>21</v>
      </c>
      <c r="F2503" t="s">
        <v>41</v>
      </c>
      <c r="G2503" s="1">
        <v>45505</v>
      </c>
      <c r="H2503" s="1">
        <v>45506</v>
      </c>
      <c r="I2503" s="1">
        <v>45516</v>
      </c>
      <c r="J2503">
        <v>11</v>
      </c>
      <c r="K2503">
        <v>1</v>
      </c>
      <c r="L2503">
        <v>6</v>
      </c>
      <c r="M2503">
        <v>617.45000000000005</v>
      </c>
      <c r="N2503">
        <v>3704.7</v>
      </c>
      <c r="O2503">
        <v>0.17</v>
      </c>
      <c r="P2503">
        <v>629.79999999999995</v>
      </c>
      <c r="Q2503">
        <v>3074.9</v>
      </c>
      <c r="R2503">
        <v>2222.8200000000002</v>
      </c>
      <c r="S2503">
        <v>852.08</v>
      </c>
    </row>
    <row r="2504" spans="1:19" x14ac:dyDescent="0.35">
      <c r="A2504">
        <v>201242</v>
      </c>
      <c r="B2504">
        <v>2336</v>
      </c>
      <c r="C2504" t="s">
        <v>19</v>
      </c>
      <c r="D2504" t="s">
        <v>31</v>
      </c>
      <c r="E2504" t="s">
        <v>26</v>
      </c>
      <c r="F2504" t="s">
        <v>44</v>
      </c>
      <c r="G2504" s="1">
        <v>45604</v>
      </c>
      <c r="H2504" s="1">
        <v>45606</v>
      </c>
      <c r="I2504" s="1">
        <v>45620</v>
      </c>
      <c r="J2504">
        <v>16</v>
      </c>
      <c r="K2504">
        <v>2</v>
      </c>
      <c r="L2504">
        <v>2</v>
      </c>
      <c r="M2504">
        <v>429.61</v>
      </c>
      <c r="N2504">
        <v>859.22</v>
      </c>
      <c r="O2504">
        <v>7.0000000000000007E-2</v>
      </c>
      <c r="P2504">
        <v>60.15</v>
      </c>
      <c r="Q2504">
        <v>799.07</v>
      </c>
      <c r="R2504">
        <v>506.94</v>
      </c>
      <c r="S2504">
        <v>292.13</v>
      </c>
    </row>
    <row r="2505" spans="1:19" x14ac:dyDescent="0.35">
      <c r="A2505">
        <v>201243</v>
      </c>
      <c r="B2505">
        <v>1346</v>
      </c>
      <c r="C2505" t="s">
        <v>19</v>
      </c>
      <c r="D2505" t="s">
        <v>20</v>
      </c>
      <c r="E2505" t="s">
        <v>34</v>
      </c>
      <c r="F2505" t="s">
        <v>40</v>
      </c>
      <c r="G2505" s="1">
        <v>45486</v>
      </c>
      <c r="H2505" s="1">
        <v>45491</v>
      </c>
      <c r="I2505" s="1">
        <v>45492</v>
      </c>
      <c r="J2505">
        <v>6</v>
      </c>
      <c r="K2505">
        <v>5</v>
      </c>
      <c r="L2505">
        <v>3</v>
      </c>
      <c r="M2505">
        <v>310.27</v>
      </c>
      <c r="N2505">
        <v>930.81</v>
      </c>
      <c r="O2505">
        <v>0.11</v>
      </c>
      <c r="P2505">
        <v>102.39</v>
      </c>
      <c r="Q2505">
        <v>828.42</v>
      </c>
      <c r="R2505">
        <v>558.49</v>
      </c>
      <c r="S2505">
        <v>269.93</v>
      </c>
    </row>
    <row r="2506" spans="1:19" x14ac:dyDescent="0.35">
      <c r="A2506">
        <v>201244</v>
      </c>
      <c r="B2506">
        <v>3540</v>
      </c>
      <c r="C2506" t="s">
        <v>23</v>
      </c>
      <c r="D2506" t="s">
        <v>29</v>
      </c>
      <c r="E2506" t="s">
        <v>24</v>
      </c>
      <c r="F2506" t="s">
        <v>32</v>
      </c>
      <c r="G2506" s="1">
        <v>45529</v>
      </c>
      <c r="H2506" s="1">
        <v>45533</v>
      </c>
      <c r="I2506" s="1">
        <v>45533</v>
      </c>
      <c r="J2506">
        <v>4</v>
      </c>
      <c r="K2506">
        <v>4</v>
      </c>
      <c r="L2506">
        <v>1</v>
      </c>
      <c r="M2506">
        <v>432.85</v>
      </c>
      <c r="N2506">
        <v>432.85</v>
      </c>
      <c r="O2506">
        <v>0.05</v>
      </c>
      <c r="P2506">
        <v>21.64</v>
      </c>
      <c r="Q2506">
        <v>411.21</v>
      </c>
      <c r="R2506">
        <v>225.08</v>
      </c>
      <c r="S2506">
        <v>186.13</v>
      </c>
    </row>
    <row r="2507" spans="1:19" x14ac:dyDescent="0.35">
      <c r="A2507">
        <v>201245</v>
      </c>
      <c r="B2507">
        <v>4005</v>
      </c>
      <c r="C2507" t="s">
        <v>19</v>
      </c>
      <c r="D2507" t="s">
        <v>31</v>
      </c>
      <c r="E2507" t="s">
        <v>34</v>
      </c>
      <c r="F2507" t="s">
        <v>45</v>
      </c>
      <c r="G2507" s="1">
        <v>45510</v>
      </c>
      <c r="H2507" s="1">
        <v>45514</v>
      </c>
      <c r="I2507" s="1">
        <v>45531</v>
      </c>
      <c r="J2507">
        <v>21</v>
      </c>
      <c r="K2507">
        <v>4</v>
      </c>
      <c r="L2507">
        <v>10</v>
      </c>
      <c r="M2507">
        <v>235.28</v>
      </c>
      <c r="N2507">
        <v>2352.8000000000002</v>
      </c>
      <c r="O2507">
        <v>0.09</v>
      </c>
      <c r="P2507">
        <v>211.75</v>
      </c>
      <c r="Q2507">
        <v>2141.0500000000002</v>
      </c>
      <c r="R2507">
        <v>1623.43</v>
      </c>
      <c r="S2507">
        <v>517.62</v>
      </c>
    </row>
    <row r="2508" spans="1:19" x14ac:dyDescent="0.35">
      <c r="A2508">
        <v>201246</v>
      </c>
      <c r="B2508">
        <v>2851</v>
      </c>
      <c r="C2508" t="s">
        <v>33</v>
      </c>
      <c r="D2508" t="s">
        <v>20</v>
      </c>
      <c r="E2508" t="s">
        <v>34</v>
      </c>
      <c r="F2508" t="s">
        <v>45</v>
      </c>
      <c r="G2508" s="1">
        <v>45638</v>
      </c>
      <c r="H2508" s="1">
        <v>45640</v>
      </c>
      <c r="I2508" s="1">
        <v>45667</v>
      </c>
      <c r="J2508">
        <v>29</v>
      </c>
      <c r="K2508">
        <v>2</v>
      </c>
      <c r="L2508">
        <v>2</v>
      </c>
      <c r="M2508">
        <v>726.73</v>
      </c>
      <c r="N2508">
        <v>1453.46</v>
      </c>
      <c r="O2508">
        <v>0.16</v>
      </c>
      <c r="P2508">
        <v>232.55</v>
      </c>
      <c r="Q2508">
        <v>1220.9100000000001</v>
      </c>
      <c r="R2508">
        <v>901.15</v>
      </c>
      <c r="S2508">
        <v>319.76</v>
      </c>
    </row>
    <row r="2509" spans="1:19" x14ac:dyDescent="0.35">
      <c r="A2509">
        <v>201247</v>
      </c>
      <c r="B2509">
        <v>3747</v>
      </c>
      <c r="C2509" t="s">
        <v>33</v>
      </c>
      <c r="D2509" t="s">
        <v>31</v>
      </c>
      <c r="E2509" t="s">
        <v>24</v>
      </c>
      <c r="F2509" t="s">
        <v>42</v>
      </c>
      <c r="G2509" s="1">
        <v>45525</v>
      </c>
      <c r="H2509" s="1">
        <v>45526</v>
      </c>
      <c r="I2509" s="1">
        <v>45546</v>
      </c>
      <c r="J2509">
        <v>21</v>
      </c>
      <c r="K2509">
        <v>1</v>
      </c>
      <c r="L2509">
        <v>4</v>
      </c>
      <c r="M2509">
        <v>723.38</v>
      </c>
      <c r="N2509">
        <v>2893.52</v>
      </c>
      <c r="O2509">
        <v>0.06</v>
      </c>
      <c r="P2509">
        <v>173.61</v>
      </c>
      <c r="Q2509">
        <v>2719.91</v>
      </c>
      <c r="R2509">
        <v>1678.24</v>
      </c>
      <c r="S2509">
        <v>1041.67</v>
      </c>
    </row>
    <row r="2510" spans="1:19" x14ac:dyDescent="0.35">
      <c r="A2510">
        <v>201248</v>
      </c>
      <c r="B2510">
        <v>1682</v>
      </c>
      <c r="C2510" t="s">
        <v>28</v>
      </c>
      <c r="D2510" t="s">
        <v>20</v>
      </c>
      <c r="E2510" t="s">
        <v>34</v>
      </c>
      <c r="F2510" t="s">
        <v>35</v>
      </c>
      <c r="G2510" s="1">
        <v>45488</v>
      </c>
      <c r="H2510" s="1">
        <v>45491</v>
      </c>
      <c r="I2510" s="1">
        <v>45504</v>
      </c>
      <c r="J2510">
        <v>16</v>
      </c>
      <c r="K2510">
        <v>3</v>
      </c>
      <c r="L2510">
        <v>7</v>
      </c>
      <c r="M2510">
        <v>474.32</v>
      </c>
      <c r="N2510">
        <v>3320.24</v>
      </c>
      <c r="O2510">
        <v>0.1</v>
      </c>
      <c r="P2510">
        <v>332.02</v>
      </c>
      <c r="Q2510">
        <v>2988.22</v>
      </c>
      <c r="R2510">
        <v>2025.35</v>
      </c>
      <c r="S2510">
        <v>962.87</v>
      </c>
    </row>
    <row r="2511" spans="1:19" x14ac:dyDescent="0.35">
      <c r="A2511">
        <v>201249</v>
      </c>
      <c r="B2511">
        <v>3118</v>
      </c>
      <c r="C2511" t="s">
        <v>23</v>
      </c>
      <c r="D2511" t="s">
        <v>20</v>
      </c>
      <c r="E2511" t="s">
        <v>34</v>
      </c>
      <c r="F2511" t="s">
        <v>35</v>
      </c>
      <c r="G2511" s="1">
        <v>45390</v>
      </c>
      <c r="H2511" s="1">
        <v>45395</v>
      </c>
      <c r="I2511" s="1">
        <v>45400</v>
      </c>
      <c r="J2511">
        <v>10</v>
      </c>
      <c r="K2511">
        <v>5</v>
      </c>
      <c r="L2511">
        <v>11</v>
      </c>
      <c r="M2511">
        <v>565.72</v>
      </c>
      <c r="N2511">
        <v>6222.92</v>
      </c>
      <c r="O2511">
        <v>0.13</v>
      </c>
      <c r="P2511">
        <v>808.98</v>
      </c>
      <c r="Q2511">
        <v>5413.94</v>
      </c>
      <c r="R2511">
        <v>3484.84</v>
      </c>
      <c r="S2511">
        <v>1929.1</v>
      </c>
    </row>
    <row r="2512" spans="1:19" x14ac:dyDescent="0.35">
      <c r="A2512">
        <v>201250</v>
      </c>
      <c r="B2512">
        <v>2501</v>
      </c>
      <c r="C2512" t="s">
        <v>28</v>
      </c>
      <c r="D2512" t="s">
        <v>29</v>
      </c>
      <c r="E2512" t="s">
        <v>34</v>
      </c>
      <c r="F2512" t="s">
        <v>43</v>
      </c>
      <c r="G2512" s="1">
        <v>45614</v>
      </c>
      <c r="H2512" s="1">
        <v>45619</v>
      </c>
      <c r="I2512" s="1">
        <v>45636</v>
      </c>
      <c r="J2512">
        <v>22</v>
      </c>
      <c r="K2512">
        <v>5</v>
      </c>
      <c r="L2512">
        <v>6</v>
      </c>
      <c r="M2512">
        <v>238.84</v>
      </c>
      <c r="N2512">
        <v>1433.04</v>
      </c>
      <c r="O2512">
        <v>0.03</v>
      </c>
      <c r="P2512">
        <v>42.99</v>
      </c>
      <c r="Q2512">
        <v>1390.05</v>
      </c>
      <c r="R2512">
        <v>888.48</v>
      </c>
      <c r="S2512">
        <v>501.57</v>
      </c>
    </row>
    <row r="2513" spans="1:19" x14ac:dyDescent="0.35">
      <c r="A2513">
        <v>201251</v>
      </c>
      <c r="B2513">
        <v>1620</v>
      </c>
      <c r="C2513" t="s">
        <v>33</v>
      </c>
      <c r="D2513" t="s">
        <v>29</v>
      </c>
      <c r="E2513" t="s">
        <v>26</v>
      </c>
      <c r="F2513" t="s">
        <v>44</v>
      </c>
      <c r="G2513" s="1">
        <v>45656</v>
      </c>
      <c r="H2513" s="1">
        <v>45659</v>
      </c>
      <c r="I2513" s="1">
        <v>45662</v>
      </c>
      <c r="J2513">
        <v>6</v>
      </c>
      <c r="K2513">
        <v>3</v>
      </c>
      <c r="L2513">
        <v>6</v>
      </c>
      <c r="M2513">
        <v>107.22</v>
      </c>
      <c r="N2513">
        <v>643.32000000000005</v>
      </c>
      <c r="O2513">
        <v>0.11</v>
      </c>
      <c r="P2513">
        <v>70.77</v>
      </c>
      <c r="Q2513">
        <v>572.54999999999995</v>
      </c>
      <c r="R2513">
        <v>418.16</v>
      </c>
      <c r="S2513">
        <v>154.38999999999999</v>
      </c>
    </row>
    <row r="2514" spans="1:19" x14ac:dyDescent="0.35">
      <c r="A2514">
        <v>201252</v>
      </c>
      <c r="B2514">
        <v>4889</v>
      </c>
      <c r="C2514" t="s">
        <v>23</v>
      </c>
      <c r="D2514" t="s">
        <v>29</v>
      </c>
      <c r="E2514" t="s">
        <v>21</v>
      </c>
      <c r="F2514" t="s">
        <v>41</v>
      </c>
      <c r="G2514" s="1">
        <v>45625</v>
      </c>
      <c r="H2514" s="1">
        <v>45629</v>
      </c>
      <c r="I2514" s="1">
        <v>45642</v>
      </c>
      <c r="J2514">
        <v>17</v>
      </c>
      <c r="K2514">
        <v>4</v>
      </c>
      <c r="L2514">
        <v>14</v>
      </c>
      <c r="M2514">
        <v>340.71</v>
      </c>
      <c r="N2514">
        <v>4769.9399999999996</v>
      </c>
      <c r="O2514">
        <v>0</v>
      </c>
      <c r="P2514">
        <v>0</v>
      </c>
      <c r="Q2514">
        <v>4769.9399999999996</v>
      </c>
      <c r="R2514">
        <v>3338.96</v>
      </c>
      <c r="S2514">
        <v>1430.98</v>
      </c>
    </row>
    <row r="2515" spans="1:19" x14ac:dyDescent="0.35">
      <c r="A2515">
        <v>201253</v>
      </c>
      <c r="B2515">
        <v>3577</v>
      </c>
      <c r="C2515" t="s">
        <v>19</v>
      </c>
      <c r="D2515" t="s">
        <v>29</v>
      </c>
      <c r="E2515" t="s">
        <v>26</v>
      </c>
      <c r="F2515" t="s">
        <v>36</v>
      </c>
      <c r="G2515" s="1">
        <v>45447</v>
      </c>
      <c r="H2515" s="1">
        <v>45448</v>
      </c>
      <c r="I2515" s="1">
        <v>45453</v>
      </c>
      <c r="J2515">
        <v>6</v>
      </c>
      <c r="K2515">
        <v>1</v>
      </c>
      <c r="L2515">
        <v>3</v>
      </c>
      <c r="M2515">
        <v>146.15</v>
      </c>
      <c r="N2515">
        <v>438.45</v>
      </c>
      <c r="O2515">
        <v>0</v>
      </c>
      <c r="P2515">
        <v>0</v>
      </c>
      <c r="Q2515">
        <v>438.45</v>
      </c>
      <c r="R2515">
        <v>306.92</v>
      </c>
      <c r="S2515">
        <v>131.53</v>
      </c>
    </row>
    <row r="2516" spans="1:19" x14ac:dyDescent="0.35">
      <c r="A2516">
        <v>201254</v>
      </c>
      <c r="B2516">
        <v>2047</v>
      </c>
      <c r="C2516" t="s">
        <v>19</v>
      </c>
      <c r="D2516" t="s">
        <v>20</v>
      </c>
      <c r="E2516" t="s">
        <v>24</v>
      </c>
      <c r="F2516" t="s">
        <v>32</v>
      </c>
      <c r="G2516" s="1">
        <v>45421</v>
      </c>
      <c r="H2516" s="1">
        <v>45426</v>
      </c>
      <c r="I2516" s="1">
        <v>45451</v>
      </c>
      <c r="J2516">
        <v>30</v>
      </c>
      <c r="K2516">
        <v>5</v>
      </c>
      <c r="L2516">
        <v>4</v>
      </c>
      <c r="M2516">
        <v>546.62</v>
      </c>
      <c r="N2516">
        <v>2186.48</v>
      </c>
      <c r="O2516">
        <v>0.03</v>
      </c>
      <c r="P2516">
        <v>65.59</v>
      </c>
      <c r="Q2516">
        <v>2120.89</v>
      </c>
      <c r="R2516">
        <v>1224.43</v>
      </c>
      <c r="S2516">
        <v>896.46</v>
      </c>
    </row>
    <row r="2517" spans="1:19" x14ac:dyDescent="0.35">
      <c r="A2517">
        <v>201255</v>
      </c>
      <c r="B2517">
        <v>2767</v>
      </c>
      <c r="C2517" t="s">
        <v>28</v>
      </c>
      <c r="D2517" t="s">
        <v>20</v>
      </c>
      <c r="E2517" t="s">
        <v>26</v>
      </c>
      <c r="F2517" t="s">
        <v>27</v>
      </c>
      <c r="G2517" s="1">
        <v>45318</v>
      </c>
      <c r="H2517" s="1">
        <v>45322</v>
      </c>
      <c r="I2517" s="1">
        <v>45340</v>
      </c>
      <c r="J2517">
        <v>22</v>
      </c>
      <c r="K2517">
        <v>4</v>
      </c>
      <c r="L2517">
        <v>9</v>
      </c>
      <c r="M2517">
        <v>225.05</v>
      </c>
      <c r="N2517">
        <v>2025.45</v>
      </c>
      <c r="O2517">
        <v>0.16</v>
      </c>
      <c r="P2517">
        <v>324.07</v>
      </c>
      <c r="Q2517">
        <v>1701.38</v>
      </c>
      <c r="R2517">
        <v>1438.07</v>
      </c>
      <c r="S2517">
        <v>263.31</v>
      </c>
    </row>
    <row r="2518" spans="1:19" x14ac:dyDescent="0.35">
      <c r="A2518">
        <v>201256</v>
      </c>
      <c r="B2518">
        <v>4630</v>
      </c>
      <c r="C2518" t="s">
        <v>33</v>
      </c>
      <c r="D2518" t="s">
        <v>20</v>
      </c>
      <c r="E2518" t="s">
        <v>24</v>
      </c>
      <c r="F2518" t="s">
        <v>25</v>
      </c>
      <c r="G2518" s="1">
        <v>45346</v>
      </c>
      <c r="H2518" s="1">
        <v>45350</v>
      </c>
      <c r="I2518" s="1">
        <v>45367</v>
      </c>
      <c r="J2518">
        <v>21</v>
      </c>
      <c r="K2518">
        <v>4</v>
      </c>
      <c r="L2518">
        <v>6</v>
      </c>
      <c r="M2518">
        <v>192.41</v>
      </c>
      <c r="N2518">
        <v>1154.46</v>
      </c>
      <c r="O2518">
        <v>0.17</v>
      </c>
      <c r="P2518">
        <v>196.26</v>
      </c>
      <c r="Q2518">
        <v>958.2</v>
      </c>
      <c r="R2518">
        <v>842.76</v>
      </c>
      <c r="S2518">
        <v>115.44</v>
      </c>
    </row>
    <row r="2519" spans="1:19" x14ac:dyDescent="0.35">
      <c r="A2519">
        <v>201257</v>
      </c>
      <c r="B2519">
        <v>3417</v>
      </c>
      <c r="C2519" t="s">
        <v>23</v>
      </c>
      <c r="D2519" t="s">
        <v>29</v>
      </c>
      <c r="E2519" t="s">
        <v>26</v>
      </c>
      <c r="F2519" t="s">
        <v>44</v>
      </c>
      <c r="G2519" s="1">
        <v>45636</v>
      </c>
      <c r="H2519" s="1">
        <v>45641</v>
      </c>
      <c r="I2519" s="1">
        <v>45656</v>
      </c>
      <c r="J2519">
        <v>20</v>
      </c>
      <c r="K2519">
        <v>5</v>
      </c>
      <c r="L2519">
        <v>8</v>
      </c>
      <c r="M2519">
        <v>659.09</v>
      </c>
      <c r="N2519">
        <v>5272.72</v>
      </c>
      <c r="O2519">
        <v>0.12</v>
      </c>
      <c r="P2519">
        <v>632.73</v>
      </c>
      <c r="Q2519">
        <v>4639.99</v>
      </c>
      <c r="R2519">
        <v>3480</v>
      </c>
      <c r="S2519">
        <v>1159.99</v>
      </c>
    </row>
    <row r="2520" spans="1:19" x14ac:dyDescent="0.35">
      <c r="A2520">
        <v>201258</v>
      </c>
      <c r="B2520">
        <v>2843</v>
      </c>
      <c r="C2520" t="s">
        <v>23</v>
      </c>
      <c r="D2520" t="s">
        <v>20</v>
      </c>
      <c r="E2520" t="s">
        <v>34</v>
      </c>
      <c r="F2520" t="s">
        <v>40</v>
      </c>
      <c r="G2520" s="1">
        <v>45471</v>
      </c>
      <c r="H2520" s="1">
        <v>45474</v>
      </c>
      <c r="I2520" s="1">
        <v>45489</v>
      </c>
      <c r="J2520">
        <v>18</v>
      </c>
      <c r="K2520">
        <v>3</v>
      </c>
      <c r="L2520">
        <v>9</v>
      </c>
      <c r="M2520">
        <v>531.9</v>
      </c>
      <c r="N2520">
        <v>4787.1000000000004</v>
      </c>
      <c r="O2520">
        <v>0.12</v>
      </c>
      <c r="P2520">
        <v>574.45000000000005</v>
      </c>
      <c r="Q2520">
        <v>4212.6499999999996</v>
      </c>
      <c r="R2520">
        <v>3350.97</v>
      </c>
      <c r="S2520">
        <v>861.68</v>
      </c>
    </row>
    <row r="2521" spans="1:19" x14ac:dyDescent="0.35">
      <c r="A2521">
        <v>201259</v>
      </c>
      <c r="B2521">
        <v>1665</v>
      </c>
      <c r="C2521" t="s">
        <v>19</v>
      </c>
      <c r="D2521" t="s">
        <v>29</v>
      </c>
      <c r="E2521" t="s">
        <v>24</v>
      </c>
      <c r="F2521" t="s">
        <v>25</v>
      </c>
      <c r="G2521" s="1">
        <v>45461</v>
      </c>
      <c r="H2521" s="1">
        <v>45463</v>
      </c>
      <c r="I2521" s="1">
        <v>45473</v>
      </c>
      <c r="J2521">
        <v>12</v>
      </c>
      <c r="K2521">
        <v>2</v>
      </c>
      <c r="L2521">
        <v>13</v>
      </c>
      <c r="M2521">
        <v>541.12</v>
      </c>
      <c r="N2521">
        <v>7034.56</v>
      </c>
      <c r="O2521">
        <v>0.06</v>
      </c>
      <c r="P2521">
        <v>422.07</v>
      </c>
      <c r="Q2521">
        <v>6612.49</v>
      </c>
      <c r="R2521">
        <v>4291.08</v>
      </c>
      <c r="S2521">
        <v>2321.41</v>
      </c>
    </row>
    <row r="2522" spans="1:19" x14ac:dyDescent="0.35">
      <c r="A2522">
        <v>201260</v>
      </c>
      <c r="B2522">
        <v>4333</v>
      </c>
      <c r="C2522" t="s">
        <v>33</v>
      </c>
      <c r="D2522" t="s">
        <v>29</v>
      </c>
      <c r="E2522" t="s">
        <v>21</v>
      </c>
      <c r="F2522" t="s">
        <v>41</v>
      </c>
      <c r="G2522" s="1">
        <v>45657</v>
      </c>
      <c r="H2522" s="1">
        <v>45661</v>
      </c>
      <c r="I2522" s="1">
        <v>45662</v>
      </c>
      <c r="J2522">
        <v>5</v>
      </c>
      <c r="K2522">
        <v>4</v>
      </c>
      <c r="L2522">
        <v>5</v>
      </c>
      <c r="M2522">
        <v>366.05</v>
      </c>
      <c r="N2522">
        <v>1830.25</v>
      </c>
      <c r="O2522">
        <v>0.08</v>
      </c>
      <c r="P2522">
        <v>146.41999999999999</v>
      </c>
      <c r="Q2522">
        <v>1683.83</v>
      </c>
      <c r="R2522">
        <v>1134.75</v>
      </c>
      <c r="S2522">
        <v>549.08000000000004</v>
      </c>
    </row>
    <row r="2523" spans="1:19" x14ac:dyDescent="0.35">
      <c r="A2523">
        <v>201261</v>
      </c>
      <c r="B2523">
        <v>2733</v>
      </c>
      <c r="C2523" t="s">
        <v>28</v>
      </c>
      <c r="D2523" t="s">
        <v>29</v>
      </c>
      <c r="E2523" t="s">
        <v>34</v>
      </c>
      <c r="F2523" t="s">
        <v>40</v>
      </c>
      <c r="G2523" s="1">
        <v>45589</v>
      </c>
      <c r="H2523" s="1">
        <v>45594</v>
      </c>
      <c r="I2523" s="1">
        <v>45616</v>
      </c>
      <c r="J2523">
        <v>27</v>
      </c>
      <c r="K2523">
        <v>5</v>
      </c>
      <c r="L2523">
        <v>7</v>
      </c>
      <c r="M2523">
        <v>753.87</v>
      </c>
      <c r="N2523">
        <v>5277.09</v>
      </c>
      <c r="O2523">
        <v>0.11</v>
      </c>
      <c r="P2523">
        <v>580.48</v>
      </c>
      <c r="Q2523">
        <v>4696.6099999999997</v>
      </c>
      <c r="R2523">
        <v>3588.42</v>
      </c>
      <c r="S2523">
        <v>1108.19</v>
      </c>
    </row>
    <row r="2524" spans="1:19" x14ac:dyDescent="0.35">
      <c r="A2524">
        <v>201262</v>
      </c>
      <c r="B2524">
        <v>1557</v>
      </c>
      <c r="C2524" t="s">
        <v>28</v>
      </c>
      <c r="D2524" t="s">
        <v>29</v>
      </c>
      <c r="E2524" t="s">
        <v>21</v>
      </c>
      <c r="F2524" t="s">
        <v>41</v>
      </c>
      <c r="G2524" s="1">
        <v>45506</v>
      </c>
      <c r="H2524" s="1">
        <v>45511</v>
      </c>
      <c r="I2524" s="1">
        <v>45521</v>
      </c>
      <c r="J2524">
        <v>15</v>
      </c>
      <c r="K2524">
        <v>5</v>
      </c>
      <c r="L2524">
        <v>10</v>
      </c>
      <c r="M2524">
        <v>289.82</v>
      </c>
      <c r="N2524">
        <v>2898.2</v>
      </c>
      <c r="O2524">
        <v>0.13</v>
      </c>
      <c r="P2524">
        <v>376.77</v>
      </c>
      <c r="Q2524">
        <v>2521.4299999999998</v>
      </c>
      <c r="R2524">
        <v>1767.9</v>
      </c>
      <c r="S2524">
        <v>753.53</v>
      </c>
    </row>
    <row r="2525" spans="1:19" x14ac:dyDescent="0.35">
      <c r="A2525">
        <v>201263</v>
      </c>
      <c r="B2525">
        <v>1257</v>
      </c>
      <c r="C2525" t="s">
        <v>33</v>
      </c>
      <c r="D2525" t="s">
        <v>31</v>
      </c>
      <c r="E2525" t="s">
        <v>24</v>
      </c>
      <c r="F2525" t="s">
        <v>25</v>
      </c>
      <c r="G2525" s="1">
        <v>45355</v>
      </c>
      <c r="H2525" s="1">
        <v>45360</v>
      </c>
      <c r="I2525" s="1">
        <v>45376</v>
      </c>
      <c r="J2525">
        <v>21</v>
      </c>
      <c r="K2525">
        <v>5</v>
      </c>
      <c r="L2525">
        <v>7</v>
      </c>
      <c r="M2525">
        <v>341.48</v>
      </c>
      <c r="N2525">
        <v>2390.36</v>
      </c>
      <c r="O2525">
        <v>0.16</v>
      </c>
      <c r="P2525">
        <v>382.46</v>
      </c>
      <c r="Q2525">
        <v>2007.9</v>
      </c>
      <c r="R2525">
        <v>1625.44</v>
      </c>
      <c r="S2525">
        <v>382.46</v>
      </c>
    </row>
    <row r="2526" spans="1:19" x14ac:dyDescent="0.35">
      <c r="A2526">
        <v>201264</v>
      </c>
      <c r="B2526">
        <v>4467</v>
      </c>
      <c r="C2526" t="s">
        <v>19</v>
      </c>
      <c r="D2526" t="s">
        <v>29</v>
      </c>
      <c r="E2526" t="s">
        <v>21</v>
      </c>
      <c r="F2526" t="s">
        <v>39</v>
      </c>
      <c r="G2526" s="1">
        <v>45416</v>
      </c>
      <c r="H2526" s="1">
        <v>45420</v>
      </c>
      <c r="I2526" s="1">
        <v>45444</v>
      </c>
      <c r="J2526">
        <v>28</v>
      </c>
      <c r="K2526">
        <v>4</v>
      </c>
      <c r="L2526">
        <v>8</v>
      </c>
      <c r="M2526">
        <v>786.18</v>
      </c>
      <c r="N2526">
        <v>6289.44</v>
      </c>
      <c r="O2526">
        <v>0.05</v>
      </c>
      <c r="P2526">
        <v>314.47000000000003</v>
      </c>
      <c r="Q2526">
        <v>5974.97</v>
      </c>
      <c r="R2526">
        <v>4654.1899999999996</v>
      </c>
      <c r="S2526">
        <v>1320.78</v>
      </c>
    </row>
    <row r="2527" spans="1:19" x14ac:dyDescent="0.35">
      <c r="A2527">
        <v>201265</v>
      </c>
      <c r="B2527">
        <v>3853</v>
      </c>
      <c r="C2527" t="s">
        <v>33</v>
      </c>
      <c r="D2527" t="s">
        <v>31</v>
      </c>
      <c r="E2527" t="s">
        <v>26</v>
      </c>
      <c r="F2527" t="s">
        <v>44</v>
      </c>
      <c r="G2527" s="1">
        <v>45635</v>
      </c>
      <c r="H2527" s="1">
        <v>45639</v>
      </c>
      <c r="I2527" s="1">
        <v>45644</v>
      </c>
      <c r="J2527">
        <v>9</v>
      </c>
      <c r="K2527">
        <v>4</v>
      </c>
      <c r="L2527">
        <v>1</v>
      </c>
      <c r="M2527">
        <v>425.76</v>
      </c>
      <c r="N2527">
        <v>425.76</v>
      </c>
      <c r="O2527">
        <v>0.11</v>
      </c>
      <c r="P2527">
        <v>46.83</v>
      </c>
      <c r="Q2527">
        <v>378.93</v>
      </c>
      <c r="R2527">
        <v>285.26</v>
      </c>
      <c r="S2527">
        <v>93.67</v>
      </c>
    </row>
    <row r="2528" spans="1:19" x14ac:dyDescent="0.35">
      <c r="A2528">
        <v>201266</v>
      </c>
      <c r="B2528">
        <v>3963</v>
      </c>
      <c r="C2528" t="s">
        <v>28</v>
      </c>
      <c r="D2528" t="s">
        <v>29</v>
      </c>
      <c r="E2528" t="s">
        <v>26</v>
      </c>
      <c r="F2528" t="s">
        <v>44</v>
      </c>
      <c r="G2528" s="1">
        <v>45329</v>
      </c>
      <c r="H2528" s="1">
        <v>45333</v>
      </c>
      <c r="I2528" s="1">
        <v>45340</v>
      </c>
      <c r="J2528">
        <v>11</v>
      </c>
      <c r="K2528">
        <v>4</v>
      </c>
      <c r="L2528">
        <v>2</v>
      </c>
      <c r="M2528">
        <v>125.39</v>
      </c>
      <c r="N2528">
        <v>250.78</v>
      </c>
      <c r="O2528">
        <v>0.12</v>
      </c>
      <c r="P2528">
        <v>30.09</v>
      </c>
      <c r="Q2528">
        <v>220.69</v>
      </c>
      <c r="R2528">
        <v>163.01</v>
      </c>
      <c r="S2528">
        <v>57.68</v>
      </c>
    </row>
    <row r="2529" spans="1:19" x14ac:dyDescent="0.35">
      <c r="A2529">
        <v>201267</v>
      </c>
      <c r="B2529">
        <v>2480</v>
      </c>
      <c r="C2529" t="s">
        <v>33</v>
      </c>
      <c r="D2529" t="s">
        <v>29</v>
      </c>
      <c r="E2529" t="s">
        <v>26</v>
      </c>
      <c r="F2529" t="s">
        <v>27</v>
      </c>
      <c r="G2529" s="1">
        <v>45540</v>
      </c>
      <c r="H2529" s="1">
        <v>45542</v>
      </c>
      <c r="I2529" s="1">
        <v>45564</v>
      </c>
      <c r="J2529">
        <v>24</v>
      </c>
      <c r="K2529">
        <v>2</v>
      </c>
      <c r="L2529">
        <v>8</v>
      </c>
      <c r="M2529">
        <v>161.31</v>
      </c>
      <c r="N2529">
        <v>1290.48</v>
      </c>
      <c r="O2529">
        <v>7.0000000000000007E-2</v>
      </c>
      <c r="P2529">
        <v>90.33</v>
      </c>
      <c r="Q2529">
        <v>1200.1500000000001</v>
      </c>
      <c r="R2529">
        <v>838.81</v>
      </c>
      <c r="S2529">
        <v>361.34</v>
      </c>
    </row>
    <row r="2530" spans="1:19" x14ac:dyDescent="0.35">
      <c r="A2530">
        <v>201268</v>
      </c>
      <c r="B2530">
        <v>2861</v>
      </c>
      <c r="C2530" t="s">
        <v>23</v>
      </c>
      <c r="D2530" t="s">
        <v>31</v>
      </c>
      <c r="E2530" t="s">
        <v>24</v>
      </c>
      <c r="F2530" t="s">
        <v>30</v>
      </c>
      <c r="G2530" s="1">
        <v>45343</v>
      </c>
      <c r="H2530" s="1">
        <v>45346</v>
      </c>
      <c r="I2530" s="1">
        <v>45364</v>
      </c>
      <c r="J2530">
        <v>21</v>
      </c>
      <c r="K2530">
        <v>3</v>
      </c>
      <c r="L2530">
        <v>11</v>
      </c>
      <c r="M2530">
        <v>219.26</v>
      </c>
      <c r="N2530">
        <v>2411.86</v>
      </c>
      <c r="O2530">
        <v>0.14000000000000001</v>
      </c>
      <c r="P2530">
        <v>337.66</v>
      </c>
      <c r="Q2530">
        <v>2074.1999999999998</v>
      </c>
      <c r="R2530">
        <v>1712.42</v>
      </c>
      <c r="S2530">
        <v>361.78</v>
      </c>
    </row>
    <row r="2531" spans="1:19" x14ac:dyDescent="0.35">
      <c r="A2531">
        <v>201269</v>
      </c>
      <c r="B2531">
        <v>1325</v>
      </c>
      <c r="C2531" t="s">
        <v>28</v>
      </c>
      <c r="D2531" t="s">
        <v>29</v>
      </c>
      <c r="E2531" t="s">
        <v>26</v>
      </c>
      <c r="F2531" t="s">
        <v>44</v>
      </c>
      <c r="G2531" s="1">
        <v>45471</v>
      </c>
      <c r="H2531" s="1">
        <v>45475</v>
      </c>
      <c r="I2531" s="1">
        <v>45496</v>
      </c>
      <c r="J2531">
        <v>25</v>
      </c>
      <c r="K2531">
        <v>4</v>
      </c>
      <c r="L2531">
        <v>12</v>
      </c>
      <c r="M2531">
        <v>461.22</v>
      </c>
      <c r="N2531">
        <v>5534.64</v>
      </c>
      <c r="O2531">
        <v>0.15</v>
      </c>
      <c r="P2531">
        <v>830.2</v>
      </c>
      <c r="Q2531">
        <v>4704.4399999999996</v>
      </c>
      <c r="R2531">
        <v>3320.78</v>
      </c>
      <c r="S2531">
        <v>1383.66</v>
      </c>
    </row>
    <row r="2532" spans="1:19" x14ac:dyDescent="0.35">
      <c r="A2532">
        <v>201270</v>
      </c>
      <c r="B2532">
        <v>1363</v>
      </c>
      <c r="C2532" t="s">
        <v>28</v>
      </c>
      <c r="D2532" t="s">
        <v>20</v>
      </c>
      <c r="E2532" t="s">
        <v>24</v>
      </c>
      <c r="F2532" t="s">
        <v>30</v>
      </c>
      <c r="G2532" s="1">
        <v>45503</v>
      </c>
      <c r="H2532" s="1">
        <v>45506</v>
      </c>
      <c r="I2532" s="1">
        <v>45524</v>
      </c>
      <c r="J2532">
        <v>21</v>
      </c>
      <c r="K2532">
        <v>3</v>
      </c>
      <c r="L2532">
        <v>6</v>
      </c>
      <c r="M2532">
        <v>119.37</v>
      </c>
      <c r="N2532">
        <v>716.22</v>
      </c>
      <c r="O2532">
        <v>0.04</v>
      </c>
      <c r="P2532">
        <v>28.65</v>
      </c>
      <c r="Q2532">
        <v>687.57</v>
      </c>
      <c r="R2532">
        <v>451.22</v>
      </c>
      <c r="S2532">
        <v>236.35</v>
      </c>
    </row>
    <row r="2533" spans="1:19" x14ac:dyDescent="0.35">
      <c r="A2533">
        <v>201271</v>
      </c>
      <c r="B2533">
        <v>1877</v>
      </c>
      <c r="C2533" t="s">
        <v>19</v>
      </c>
      <c r="D2533" t="s">
        <v>31</v>
      </c>
      <c r="E2533" t="s">
        <v>34</v>
      </c>
      <c r="F2533" t="s">
        <v>35</v>
      </c>
      <c r="G2533" s="1">
        <v>45439</v>
      </c>
      <c r="H2533" s="1">
        <v>45443</v>
      </c>
      <c r="I2533" s="1">
        <v>45465</v>
      </c>
      <c r="J2533">
        <v>26</v>
      </c>
      <c r="K2533">
        <v>4</v>
      </c>
      <c r="L2533">
        <v>7</v>
      </c>
      <c r="M2533">
        <v>431.9</v>
      </c>
      <c r="N2533">
        <v>3023.3</v>
      </c>
      <c r="O2533">
        <v>0.13</v>
      </c>
      <c r="P2533">
        <v>393.03</v>
      </c>
      <c r="Q2533">
        <v>2630.27</v>
      </c>
      <c r="R2533">
        <v>1783.75</v>
      </c>
      <c r="S2533">
        <v>846.52</v>
      </c>
    </row>
    <row r="2534" spans="1:19" x14ac:dyDescent="0.35">
      <c r="A2534">
        <v>201272</v>
      </c>
      <c r="B2534">
        <v>2326</v>
      </c>
      <c r="C2534" t="s">
        <v>23</v>
      </c>
      <c r="D2534" t="s">
        <v>31</v>
      </c>
      <c r="E2534" t="s">
        <v>24</v>
      </c>
      <c r="F2534" t="s">
        <v>30</v>
      </c>
      <c r="G2534" s="1">
        <v>45465</v>
      </c>
      <c r="H2534" s="1">
        <v>45466</v>
      </c>
      <c r="I2534" s="1">
        <v>45467</v>
      </c>
      <c r="J2534">
        <v>2</v>
      </c>
      <c r="K2534">
        <v>1</v>
      </c>
      <c r="L2534">
        <v>6</v>
      </c>
      <c r="M2534">
        <v>29.89</v>
      </c>
      <c r="N2534">
        <v>179.34</v>
      </c>
      <c r="O2534">
        <v>0.15</v>
      </c>
      <c r="P2534">
        <v>26.9</v>
      </c>
      <c r="Q2534">
        <v>152.44</v>
      </c>
      <c r="R2534">
        <v>112.98</v>
      </c>
      <c r="S2534">
        <v>39.46</v>
      </c>
    </row>
    <row r="2535" spans="1:19" x14ac:dyDescent="0.35">
      <c r="A2535">
        <v>201273</v>
      </c>
      <c r="B2535">
        <v>2237</v>
      </c>
      <c r="C2535" t="s">
        <v>23</v>
      </c>
      <c r="D2535" t="s">
        <v>29</v>
      </c>
      <c r="E2535" t="s">
        <v>34</v>
      </c>
      <c r="F2535" t="s">
        <v>45</v>
      </c>
      <c r="G2535" s="1">
        <v>45520</v>
      </c>
      <c r="H2535" s="1">
        <v>45525</v>
      </c>
      <c r="I2535" s="1">
        <v>45531</v>
      </c>
      <c r="J2535">
        <v>11</v>
      </c>
      <c r="K2535">
        <v>5</v>
      </c>
      <c r="L2535">
        <v>2</v>
      </c>
      <c r="M2535">
        <v>197.47</v>
      </c>
      <c r="N2535">
        <v>394.94</v>
      </c>
      <c r="O2535">
        <v>0.09</v>
      </c>
      <c r="P2535">
        <v>35.54</v>
      </c>
      <c r="Q2535">
        <v>359.4</v>
      </c>
      <c r="R2535">
        <v>240.91</v>
      </c>
      <c r="S2535">
        <v>118.49</v>
      </c>
    </row>
    <row r="2536" spans="1:19" x14ac:dyDescent="0.35">
      <c r="A2536">
        <v>201274</v>
      </c>
      <c r="B2536">
        <v>4596</v>
      </c>
      <c r="C2536" t="s">
        <v>23</v>
      </c>
      <c r="D2536" t="s">
        <v>20</v>
      </c>
      <c r="E2536" t="s">
        <v>26</v>
      </c>
      <c r="F2536" t="s">
        <v>44</v>
      </c>
      <c r="G2536" s="1">
        <v>45468</v>
      </c>
      <c r="H2536" s="1">
        <v>45471</v>
      </c>
      <c r="I2536" s="1">
        <v>45481</v>
      </c>
      <c r="J2536">
        <v>13</v>
      </c>
      <c r="K2536">
        <v>3</v>
      </c>
      <c r="L2536">
        <v>3</v>
      </c>
      <c r="M2536">
        <v>306.58</v>
      </c>
      <c r="N2536">
        <v>919.74</v>
      </c>
      <c r="O2536">
        <v>0.06</v>
      </c>
      <c r="P2536">
        <v>55.18</v>
      </c>
      <c r="Q2536">
        <v>864.56</v>
      </c>
      <c r="R2536">
        <v>616.23</v>
      </c>
      <c r="S2536">
        <v>248.33</v>
      </c>
    </row>
    <row r="2537" spans="1:19" x14ac:dyDescent="0.35">
      <c r="A2537">
        <v>201275</v>
      </c>
      <c r="B2537">
        <v>3261</v>
      </c>
      <c r="C2537" t="s">
        <v>23</v>
      </c>
      <c r="D2537" t="s">
        <v>29</v>
      </c>
      <c r="E2537" t="s">
        <v>24</v>
      </c>
      <c r="F2537" t="s">
        <v>30</v>
      </c>
      <c r="G2537" s="1">
        <v>45597</v>
      </c>
      <c r="H2537" s="1">
        <v>45601</v>
      </c>
      <c r="I2537" s="1">
        <v>45617</v>
      </c>
      <c r="J2537">
        <v>20</v>
      </c>
      <c r="K2537">
        <v>4</v>
      </c>
      <c r="L2537">
        <v>8</v>
      </c>
      <c r="M2537">
        <v>658.09</v>
      </c>
      <c r="N2537">
        <v>5264.72</v>
      </c>
      <c r="O2537">
        <v>0.16</v>
      </c>
      <c r="P2537">
        <v>842.36</v>
      </c>
      <c r="Q2537">
        <v>4422.3599999999997</v>
      </c>
      <c r="R2537">
        <v>3422.07</v>
      </c>
      <c r="S2537">
        <v>1000.29</v>
      </c>
    </row>
    <row r="2538" spans="1:19" x14ac:dyDescent="0.35">
      <c r="A2538">
        <v>201276</v>
      </c>
      <c r="B2538">
        <v>4438</v>
      </c>
      <c r="C2538" t="s">
        <v>19</v>
      </c>
      <c r="D2538" t="s">
        <v>31</v>
      </c>
      <c r="E2538" t="s">
        <v>34</v>
      </c>
      <c r="F2538" t="s">
        <v>35</v>
      </c>
      <c r="G2538" s="1">
        <v>45549</v>
      </c>
      <c r="H2538" s="1">
        <v>45554</v>
      </c>
      <c r="I2538" s="1">
        <v>45570</v>
      </c>
      <c r="J2538">
        <v>21</v>
      </c>
      <c r="K2538">
        <v>5</v>
      </c>
      <c r="L2538">
        <v>1</v>
      </c>
      <c r="M2538">
        <v>30.65</v>
      </c>
      <c r="N2538">
        <v>30.65</v>
      </c>
      <c r="O2538">
        <v>0.14000000000000001</v>
      </c>
      <c r="P2538">
        <v>4.29</v>
      </c>
      <c r="Q2538">
        <v>26.36</v>
      </c>
      <c r="R2538">
        <v>19.920000000000002</v>
      </c>
      <c r="S2538">
        <v>6.44</v>
      </c>
    </row>
    <row r="2539" spans="1:19" x14ac:dyDescent="0.35">
      <c r="A2539">
        <v>201277</v>
      </c>
      <c r="B2539">
        <v>4140</v>
      </c>
      <c r="C2539" t="s">
        <v>28</v>
      </c>
      <c r="D2539" t="s">
        <v>20</v>
      </c>
      <c r="E2539" t="s">
        <v>26</v>
      </c>
      <c r="F2539" t="s">
        <v>37</v>
      </c>
      <c r="G2539" s="1">
        <v>45519</v>
      </c>
      <c r="H2539" s="1">
        <v>45521</v>
      </c>
      <c r="I2539" s="1">
        <v>45548</v>
      </c>
      <c r="J2539">
        <v>29</v>
      </c>
      <c r="K2539">
        <v>2</v>
      </c>
      <c r="L2539">
        <v>3</v>
      </c>
      <c r="M2539">
        <v>551.76</v>
      </c>
      <c r="N2539">
        <v>1655.28</v>
      </c>
      <c r="O2539">
        <v>0.12</v>
      </c>
      <c r="P2539">
        <v>198.63</v>
      </c>
      <c r="Q2539">
        <v>1456.65</v>
      </c>
      <c r="R2539">
        <v>1026.27</v>
      </c>
      <c r="S2539">
        <v>430.38</v>
      </c>
    </row>
    <row r="2540" spans="1:19" x14ac:dyDescent="0.35">
      <c r="A2540">
        <v>201278</v>
      </c>
      <c r="B2540">
        <v>3017</v>
      </c>
      <c r="C2540" t="s">
        <v>23</v>
      </c>
      <c r="D2540" t="s">
        <v>31</v>
      </c>
      <c r="E2540" t="s">
        <v>21</v>
      </c>
      <c r="F2540" t="s">
        <v>39</v>
      </c>
      <c r="G2540" s="1">
        <v>45449</v>
      </c>
      <c r="H2540" s="1">
        <v>45450</v>
      </c>
      <c r="I2540" s="1">
        <v>45473</v>
      </c>
      <c r="J2540">
        <v>24</v>
      </c>
      <c r="K2540">
        <v>1</v>
      </c>
      <c r="L2540">
        <v>8</v>
      </c>
      <c r="M2540">
        <v>266.64999999999998</v>
      </c>
      <c r="N2540">
        <v>2133.1999999999998</v>
      </c>
      <c r="O2540">
        <v>0.12</v>
      </c>
      <c r="P2540">
        <v>255.98</v>
      </c>
      <c r="Q2540">
        <v>1877.22</v>
      </c>
      <c r="R2540">
        <v>1407.91</v>
      </c>
      <c r="S2540">
        <v>469.31</v>
      </c>
    </row>
    <row r="2541" spans="1:19" x14ac:dyDescent="0.35">
      <c r="A2541">
        <v>201279</v>
      </c>
      <c r="B2541">
        <v>4788</v>
      </c>
      <c r="C2541" t="s">
        <v>33</v>
      </c>
      <c r="D2541" t="s">
        <v>31</v>
      </c>
      <c r="E2541" t="s">
        <v>21</v>
      </c>
      <c r="F2541" t="s">
        <v>38</v>
      </c>
      <c r="G2541" s="1">
        <v>45503</v>
      </c>
      <c r="H2541" s="1">
        <v>45506</v>
      </c>
      <c r="I2541" s="1">
        <v>45516</v>
      </c>
      <c r="J2541">
        <v>13</v>
      </c>
      <c r="K2541">
        <v>3</v>
      </c>
      <c r="L2541">
        <v>3</v>
      </c>
      <c r="M2541">
        <v>555.54999999999995</v>
      </c>
      <c r="N2541">
        <v>1666.65</v>
      </c>
      <c r="O2541">
        <v>0.04</v>
      </c>
      <c r="P2541">
        <v>66.67</v>
      </c>
      <c r="Q2541">
        <v>1599.98</v>
      </c>
      <c r="R2541">
        <v>1049.99</v>
      </c>
      <c r="S2541">
        <v>549.99</v>
      </c>
    </row>
    <row r="2542" spans="1:19" x14ac:dyDescent="0.35">
      <c r="A2542">
        <v>201280</v>
      </c>
      <c r="B2542">
        <v>4654</v>
      </c>
      <c r="C2542" t="s">
        <v>23</v>
      </c>
      <c r="D2542" t="s">
        <v>20</v>
      </c>
      <c r="E2542" t="s">
        <v>26</v>
      </c>
      <c r="F2542" t="s">
        <v>37</v>
      </c>
      <c r="G2542" s="1">
        <v>45501</v>
      </c>
      <c r="H2542" s="1">
        <v>45506</v>
      </c>
      <c r="I2542" s="1">
        <v>45513</v>
      </c>
      <c r="J2542">
        <v>12</v>
      </c>
      <c r="K2542">
        <v>5</v>
      </c>
      <c r="L2542">
        <v>10</v>
      </c>
      <c r="M2542">
        <v>729.8</v>
      </c>
      <c r="N2542">
        <v>7298</v>
      </c>
      <c r="O2542">
        <v>0.12</v>
      </c>
      <c r="P2542">
        <v>875.76</v>
      </c>
      <c r="Q2542">
        <v>6422.24</v>
      </c>
      <c r="R2542">
        <v>4816.68</v>
      </c>
      <c r="S2542">
        <v>1605.56</v>
      </c>
    </row>
    <row r="2543" spans="1:19" x14ac:dyDescent="0.35">
      <c r="A2543">
        <v>201281</v>
      </c>
      <c r="B2543">
        <v>2313</v>
      </c>
      <c r="C2543" t="s">
        <v>28</v>
      </c>
      <c r="D2543" t="s">
        <v>20</v>
      </c>
      <c r="E2543" t="s">
        <v>24</v>
      </c>
      <c r="F2543" t="s">
        <v>42</v>
      </c>
      <c r="G2543" s="1">
        <v>45609</v>
      </c>
      <c r="H2543" s="1">
        <v>45611</v>
      </c>
      <c r="I2543" s="1">
        <v>45638</v>
      </c>
      <c r="J2543">
        <v>29</v>
      </c>
      <c r="K2543">
        <v>2</v>
      </c>
      <c r="L2543">
        <v>6</v>
      </c>
      <c r="M2543">
        <v>173.17</v>
      </c>
      <c r="N2543">
        <v>1039.02</v>
      </c>
      <c r="O2543">
        <v>0.11</v>
      </c>
      <c r="P2543">
        <v>114.29</v>
      </c>
      <c r="Q2543">
        <v>924.73</v>
      </c>
      <c r="R2543">
        <v>623.41</v>
      </c>
      <c r="S2543">
        <v>301.32</v>
      </c>
    </row>
    <row r="2544" spans="1:19" x14ac:dyDescent="0.35">
      <c r="A2544">
        <v>201282</v>
      </c>
      <c r="B2544">
        <v>1974</v>
      </c>
      <c r="C2544" t="s">
        <v>19</v>
      </c>
      <c r="D2544" t="s">
        <v>20</v>
      </c>
      <c r="E2544" t="s">
        <v>34</v>
      </c>
      <c r="F2544" t="s">
        <v>45</v>
      </c>
      <c r="G2544" s="1">
        <v>45465</v>
      </c>
      <c r="H2544" s="1">
        <v>45469</v>
      </c>
      <c r="I2544" s="1">
        <v>45485</v>
      </c>
      <c r="J2544">
        <v>20</v>
      </c>
      <c r="K2544">
        <v>4</v>
      </c>
      <c r="L2544">
        <v>12</v>
      </c>
      <c r="M2544">
        <v>510.69</v>
      </c>
      <c r="N2544">
        <v>6128.28</v>
      </c>
      <c r="O2544">
        <v>0.21</v>
      </c>
      <c r="P2544">
        <v>1286.94</v>
      </c>
      <c r="Q2544">
        <v>4841.34</v>
      </c>
      <c r="R2544">
        <v>4105.95</v>
      </c>
      <c r="S2544">
        <v>735.39</v>
      </c>
    </row>
    <row r="2545" spans="1:19" x14ac:dyDescent="0.35">
      <c r="A2545">
        <v>201283</v>
      </c>
      <c r="B2545">
        <v>3583</v>
      </c>
      <c r="C2545" t="s">
        <v>19</v>
      </c>
      <c r="D2545" t="s">
        <v>20</v>
      </c>
      <c r="E2545" t="s">
        <v>21</v>
      </c>
      <c r="F2545" t="s">
        <v>38</v>
      </c>
      <c r="G2545" s="1">
        <v>45296</v>
      </c>
      <c r="H2545" s="1">
        <v>45301</v>
      </c>
      <c r="I2545" s="1">
        <v>45316</v>
      </c>
      <c r="J2545">
        <v>20</v>
      </c>
      <c r="K2545">
        <v>5</v>
      </c>
      <c r="L2545">
        <v>2</v>
      </c>
      <c r="M2545">
        <v>250.72</v>
      </c>
      <c r="N2545">
        <v>501.44</v>
      </c>
      <c r="O2545">
        <v>0.17</v>
      </c>
      <c r="P2545">
        <v>85.24</v>
      </c>
      <c r="Q2545">
        <v>416.2</v>
      </c>
      <c r="R2545">
        <v>340.98</v>
      </c>
      <c r="S2545">
        <v>75.22</v>
      </c>
    </row>
    <row r="2546" spans="1:19" x14ac:dyDescent="0.35">
      <c r="A2546">
        <v>201284</v>
      </c>
      <c r="B2546">
        <v>4016</v>
      </c>
      <c r="C2546" t="s">
        <v>23</v>
      </c>
      <c r="D2546" t="s">
        <v>20</v>
      </c>
      <c r="E2546" t="s">
        <v>26</v>
      </c>
      <c r="F2546" t="s">
        <v>37</v>
      </c>
      <c r="G2546" s="1">
        <v>45350</v>
      </c>
      <c r="H2546" s="1">
        <v>45352</v>
      </c>
      <c r="I2546" s="1">
        <v>45353</v>
      </c>
      <c r="J2546">
        <v>3</v>
      </c>
      <c r="K2546">
        <v>2</v>
      </c>
      <c r="L2546">
        <v>10</v>
      </c>
      <c r="M2546">
        <v>477.85</v>
      </c>
      <c r="N2546">
        <v>4778.5</v>
      </c>
      <c r="O2546">
        <v>0.16</v>
      </c>
      <c r="P2546">
        <v>764.56</v>
      </c>
      <c r="Q2546">
        <v>4013.94</v>
      </c>
      <c r="R2546">
        <v>2819.32</v>
      </c>
      <c r="S2546">
        <v>1194.6199999999999</v>
      </c>
    </row>
    <row r="2547" spans="1:19" x14ac:dyDescent="0.35">
      <c r="A2547">
        <v>201285</v>
      </c>
      <c r="B2547">
        <v>3691</v>
      </c>
      <c r="C2547" t="s">
        <v>28</v>
      </c>
      <c r="D2547" t="s">
        <v>29</v>
      </c>
      <c r="E2547" t="s">
        <v>26</v>
      </c>
      <c r="F2547" t="s">
        <v>44</v>
      </c>
      <c r="G2547" s="1">
        <v>45593</v>
      </c>
      <c r="H2547" s="1">
        <v>45595</v>
      </c>
      <c r="I2547" s="1">
        <v>45623</v>
      </c>
      <c r="J2547">
        <v>30</v>
      </c>
      <c r="K2547">
        <v>2</v>
      </c>
      <c r="L2547">
        <v>10</v>
      </c>
      <c r="M2547">
        <v>169.22</v>
      </c>
      <c r="N2547">
        <v>1692.2</v>
      </c>
      <c r="O2547">
        <v>0.08</v>
      </c>
      <c r="P2547">
        <v>135.38</v>
      </c>
      <c r="Q2547">
        <v>1556.82</v>
      </c>
      <c r="R2547">
        <v>1150.7</v>
      </c>
      <c r="S2547">
        <v>406.12</v>
      </c>
    </row>
    <row r="2548" spans="1:19" x14ac:dyDescent="0.35">
      <c r="A2548">
        <v>201286</v>
      </c>
      <c r="B2548">
        <v>1683</v>
      </c>
      <c r="C2548" t="s">
        <v>33</v>
      </c>
      <c r="D2548" t="s">
        <v>29</v>
      </c>
      <c r="E2548" t="s">
        <v>21</v>
      </c>
      <c r="F2548" t="s">
        <v>39</v>
      </c>
      <c r="G2548" s="1">
        <v>45567</v>
      </c>
      <c r="H2548" s="1">
        <v>45571</v>
      </c>
      <c r="I2548" s="1">
        <v>45569</v>
      </c>
      <c r="J2548">
        <v>2</v>
      </c>
      <c r="K2548">
        <v>4</v>
      </c>
      <c r="L2548">
        <v>14</v>
      </c>
      <c r="M2548">
        <v>187.85</v>
      </c>
      <c r="N2548">
        <v>2629.9</v>
      </c>
      <c r="O2548">
        <v>0.1</v>
      </c>
      <c r="P2548">
        <v>262.99</v>
      </c>
      <c r="Q2548">
        <v>2366.91</v>
      </c>
      <c r="R2548">
        <v>1919.83</v>
      </c>
      <c r="S2548">
        <v>447.08</v>
      </c>
    </row>
    <row r="2549" spans="1:19" x14ac:dyDescent="0.35">
      <c r="A2549">
        <v>201287</v>
      </c>
      <c r="B2549">
        <v>4329</v>
      </c>
      <c r="C2549" t="s">
        <v>19</v>
      </c>
      <c r="D2549" t="s">
        <v>29</v>
      </c>
      <c r="E2549" t="s">
        <v>26</v>
      </c>
      <c r="F2549" t="s">
        <v>44</v>
      </c>
      <c r="G2549" s="1">
        <v>45485</v>
      </c>
      <c r="H2549" s="1">
        <v>45487</v>
      </c>
      <c r="I2549" s="1">
        <v>45514</v>
      </c>
      <c r="J2549">
        <v>29</v>
      </c>
      <c r="K2549">
        <v>2</v>
      </c>
      <c r="L2549">
        <v>6</v>
      </c>
      <c r="M2549">
        <v>258.04000000000002</v>
      </c>
      <c r="N2549">
        <v>1548.24</v>
      </c>
      <c r="O2549">
        <v>0.14000000000000001</v>
      </c>
      <c r="P2549">
        <v>216.75</v>
      </c>
      <c r="Q2549">
        <v>1331.49</v>
      </c>
      <c r="R2549">
        <v>975.39</v>
      </c>
      <c r="S2549">
        <v>356.1</v>
      </c>
    </row>
    <row r="2550" spans="1:19" x14ac:dyDescent="0.35">
      <c r="A2550">
        <v>201288</v>
      </c>
      <c r="B2550">
        <v>2377</v>
      </c>
      <c r="C2550" t="s">
        <v>23</v>
      </c>
      <c r="D2550" t="s">
        <v>20</v>
      </c>
      <c r="E2550" t="s">
        <v>26</v>
      </c>
      <c r="F2550" t="s">
        <v>27</v>
      </c>
      <c r="G2550" s="1">
        <v>45505</v>
      </c>
      <c r="H2550" s="1">
        <v>45507</v>
      </c>
      <c r="I2550" s="1">
        <v>45508</v>
      </c>
      <c r="J2550">
        <v>3</v>
      </c>
      <c r="K2550">
        <v>2</v>
      </c>
      <c r="L2550">
        <v>14</v>
      </c>
      <c r="M2550">
        <v>355.69</v>
      </c>
      <c r="N2550">
        <v>4979.66</v>
      </c>
      <c r="O2550">
        <v>0.1</v>
      </c>
      <c r="P2550">
        <v>497.97</v>
      </c>
      <c r="Q2550">
        <v>4481.6899999999996</v>
      </c>
      <c r="R2550">
        <v>3435.97</v>
      </c>
      <c r="S2550">
        <v>1045.72</v>
      </c>
    </row>
    <row r="2551" spans="1:19" x14ac:dyDescent="0.35">
      <c r="A2551">
        <v>201289</v>
      </c>
      <c r="B2551">
        <v>3497</v>
      </c>
      <c r="C2551" t="s">
        <v>33</v>
      </c>
      <c r="D2551" t="s">
        <v>29</v>
      </c>
      <c r="E2551" t="s">
        <v>21</v>
      </c>
      <c r="F2551" t="s">
        <v>39</v>
      </c>
      <c r="G2551" s="1">
        <v>45531</v>
      </c>
      <c r="H2551" s="1">
        <v>45534</v>
      </c>
      <c r="I2551" s="1">
        <v>45555</v>
      </c>
      <c r="J2551">
        <v>24</v>
      </c>
      <c r="K2551">
        <v>3</v>
      </c>
      <c r="L2551">
        <v>11</v>
      </c>
      <c r="M2551">
        <v>57.69</v>
      </c>
      <c r="N2551">
        <v>634.59</v>
      </c>
      <c r="O2551">
        <v>0.1</v>
      </c>
      <c r="P2551">
        <v>63.46</v>
      </c>
      <c r="Q2551">
        <v>571.13</v>
      </c>
      <c r="R2551">
        <v>387.1</v>
      </c>
      <c r="S2551">
        <v>184.03</v>
      </c>
    </row>
    <row r="2552" spans="1:19" x14ac:dyDescent="0.35">
      <c r="A2552">
        <v>201290</v>
      </c>
      <c r="B2552">
        <v>2496</v>
      </c>
      <c r="C2552" t="s">
        <v>23</v>
      </c>
      <c r="D2552" t="s">
        <v>20</v>
      </c>
      <c r="E2552" t="s">
        <v>26</v>
      </c>
      <c r="F2552" t="s">
        <v>37</v>
      </c>
      <c r="G2552" s="1">
        <v>45636</v>
      </c>
      <c r="H2552" s="1">
        <v>45637</v>
      </c>
      <c r="I2552" s="1">
        <v>45640</v>
      </c>
      <c r="J2552">
        <v>4</v>
      </c>
      <c r="K2552">
        <v>1</v>
      </c>
      <c r="L2552">
        <v>3</v>
      </c>
      <c r="M2552">
        <v>639.11</v>
      </c>
      <c r="N2552">
        <v>1917.33</v>
      </c>
      <c r="O2552">
        <v>0.08</v>
      </c>
      <c r="P2552">
        <v>153.38999999999999</v>
      </c>
      <c r="Q2552">
        <v>1763.94</v>
      </c>
      <c r="R2552">
        <v>1035.3599999999999</v>
      </c>
      <c r="S2552">
        <v>728.58</v>
      </c>
    </row>
    <row r="2553" spans="1:19" x14ac:dyDescent="0.35">
      <c r="A2553">
        <v>201291</v>
      </c>
      <c r="B2553">
        <v>3598</v>
      </c>
      <c r="C2553" t="s">
        <v>19</v>
      </c>
      <c r="D2553" t="s">
        <v>20</v>
      </c>
      <c r="E2553" t="s">
        <v>21</v>
      </c>
      <c r="F2553" t="s">
        <v>22</v>
      </c>
      <c r="G2553" s="1">
        <v>45515</v>
      </c>
      <c r="H2553" s="1">
        <v>45520</v>
      </c>
      <c r="I2553" s="1">
        <v>45523</v>
      </c>
      <c r="J2553">
        <v>8</v>
      </c>
      <c r="K2553">
        <v>5</v>
      </c>
      <c r="L2553">
        <v>4</v>
      </c>
      <c r="M2553">
        <v>279.77</v>
      </c>
      <c r="N2553">
        <v>1119.08</v>
      </c>
      <c r="O2553">
        <v>0.2</v>
      </c>
      <c r="P2553">
        <v>223.82</v>
      </c>
      <c r="Q2553">
        <v>895.26</v>
      </c>
      <c r="R2553">
        <v>671.45</v>
      </c>
      <c r="S2553">
        <v>223.81</v>
      </c>
    </row>
    <row r="2554" spans="1:19" x14ac:dyDescent="0.35">
      <c r="A2554">
        <v>201292</v>
      </c>
      <c r="B2554">
        <v>1254</v>
      </c>
      <c r="C2554" t="s">
        <v>33</v>
      </c>
      <c r="D2554" t="s">
        <v>29</v>
      </c>
      <c r="E2554" t="s">
        <v>26</v>
      </c>
      <c r="F2554" t="s">
        <v>37</v>
      </c>
      <c r="G2554" s="1">
        <v>45646</v>
      </c>
      <c r="H2554" s="1">
        <v>45651</v>
      </c>
      <c r="I2554" s="1">
        <v>45667</v>
      </c>
      <c r="J2554">
        <v>21</v>
      </c>
      <c r="K2554">
        <v>5</v>
      </c>
      <c r="L2554">
        <v>9</v>
      </c>
      <c r="M2554">
        <v>469.37</v>
      </c>
      <c r="N2554">
        <v>4224.33</v>
      </c>
      <c r="O2554">
        <v>0.05</v>
      </c>
      <c r="P2554">
        <v>211.22</v>
      </c>
      <c r="Q2554">
        <v>4013.11</v>
      </c>
      <c r="R2554">
        <v>2661.33</v>
      </c>
      <c r="S2554">
        <v>1351.78</v>
      </c>
    </row>
    <row r="2555" spans="1:19" x14ac:dyDescent="0.35">
      <c r="A2555">
        <v>201293</v>
      </c>
      <c r="B2555">
        <v>2083</v>
      </c>
      <c r="C2555" t="s">
        <v>28</v>
      </c>
      <c r="D2555" t="s">
        <v>29</v>
      </c>
      <c r="E2555" t="s">
        <v>21</v>
      </c>
      <c r="F2555" t="s">
        <v>38</v>
      </c>
      <c r="G2555" s="1">
        <v>45544</v>
      </c>
      <c r="H2555" s="1">
        <v>45549</v>
      </c>
      <c r="I2555" s="1">
        <v>45555</v>
      </c>
      <c r="J2555">
        <v>11</v>
      </c>
      <c r="K2555">
        <v>5</v>
      </c>
      <c r="L2555">
        <v>9</v>
      </c>
      <c r="M2555">
        <v>527.16999999999996</v>
      </c>
      <c r="N2555">
        <v>4744.53</v>
      </c>
      <c r="O2555">
        <v>0.09</v>
      </c>
      <c r="P2555">
        <v>427.01</v>
      </c>
      <c r="Q2555">
        <v>4317.5200000000004</v>
      </c>
      <c r="R2555">
        <v>3321.17</v>
      </c>
      <c r="S2555">
        <v>996.35</v>
      </c>
    </row>
    <row r="2556" spans="1:19" x14ac:dyDescent="0.35">
      <c r="A2556">
        <v>201294</v>
      </c>
      <c r="B2556">
        <v>3892</v>
      </c>
      <c r="C2556" t="s">
        <v>33</v>
      </c>
      <c r="D2556" t="s">
        <v>31</v>
      </c>
      <c r="E2556" t="s">
        <v>34</v>
      </c>
      <c r="F2556" t="s">
        <v>35</v>
      </c>
      <c r="G2556" s="1">
        <v>45627</v>
      </c>
      <c r="H2556" s="1">
        <v>45630</v>
      </c>
      <c r="I2556" s="1">
        <v>45643</v>
      </c>
      <c r="J2556">
        <v>16</v>
      </c>
      <c r="K2556">
        <v>3</v>
      </c>
      <c r="L2556">
        <v>11</v>
      </c>
      <c r="M2556">
        <v>712.84</v>
      </c>
      <c r="N2556">
        <v>7841.24</v>
      </c>
      <c r="O2556">
        <v>0.13</v>
      </c>
      <c r="P2556">
        <v>1019.36</v>
      </c>
      <c r="Q2556">
        <v>6821.88</v>
      </c>
      <c r="R2556">
        <v>5802.52</v>
      </c>
      <c r="S2556">
        <v>1019.36</v>
      </c>
    </row>
    <row r="2557" spans="1:19" x14ac:dyDescent="0.35">
      <c r="A2557">
        <v>201295</v>
      </c>
      <c r="B2557">
        <v>1957</v>
      </c>
      <c r="C2557" t="s">
        <v>28</v>
      </c>
      <c r="D2557" t="s">
        <v>29</v>
      </c>
      <c r="E2557" t="s">
        <v>24</v>
      </c>
      <c r="F2557" t="s">
        <v>32</v>
      </c>
      <c r="G2557" s="1">
        <v>45393</v>
      </c>
      <c r="H2557" s="1">
        <v>45396</v>
      </c>
      <c r="I2557" s="1">
        <v>45395</v>
      </c>
      <c r="J2557">
        <v>2</v>
      </c>
      <c r="K2557">
        <v>3</v>
      </c>
      <c r="L2557">
        <v>12</v>
      </c>
      <c r="M2557">
        <v>63.18</v>
      </c>
      <c r="N2557">
        <v>758.16</v>
      </c>
      <c r="O2557">
        <v>0.11</v>
      </c>
      <c r="P2557">
        <v>83.4</v>
      </c>
      <c r="Q2557">
        <v>674.76</v>
      </c>
      <c r="R2557">
        <v>500.39</v>
      </c>
      <c r="S2557">
        <v>174.37</v>
      </c>
    </row>
    <row r="2558" spans="1:19" x14ac:dyDescent="0.35">
      <c r="A2558">
        <v>201296</v>
      </c>
      <c r="B2558">
        <v>4734</v>
      </c>
      <c r="C2558" t="s">
        <v>23</v>
      </c>
      <c r="D2558" t="s">
        <v>29</v>
      </c>
      <c r="E2558" t="s">
        <v>34</v>
      </c>
      <c r="F2558" t="s">
        <v>43</v>
      </c>
      <c r="G2558" s="1">
        <v>45464</v>
      </c>
      <c r="H2558" s="1">
        <v>45467</v>
      </c>
      <c r="I2558" s="1">
        <v>45469</v>
      </c>
      <c r="J2558">
        <v>5</v>
      </c>
      <c r="K2558">
        <v>3</v>
      </c>
      <c r="L2558">
        <v>8</v>
      </c>
      <c r="M2558">
        <v>583.92999999999995</v>
      </c>
      <c r="N2558">
        <v>4671.4399999999996</v>
      </c>
      <c r="O2558">
        <v>0.06</v>
      </c>
      <c r="P2558">
        <v>280.29000000000002</v>
      </c>
      <c r="Q2558">
        <v>4391.1499999999996</v>
      </c>
      <c r="R2558">
        <v>2662.72</v>
      </c>
      <c r="S2558">
        <v>1728.43</v>
      </c>
    </row>
    <row r="2559" spans="1:19" x14ac:dyDescent="0.35">
      <c r="A2559">
        <v>201297</v>
      </c>
      <c r="B2559">
        <v>4453</v>
      </c>
      <c r="C2559" t="s">
        <v>28</v>
      </c>
      <c r="D2559" t="s">
        <v>29</v>
      </c>
      <c r="E2559" t="s">
        <v>24</v>
      </c>
      <c r="F2559" t="s">
        <v>30</v>
      </c>
      <c r="G2559" s="1">
        <v>45600</v>
      </c>
      <c r="H2559" s="1">
        <v>45603</v>
      </c>
      <c r="I2559" s="1">
        <v>45624</v>
      </c>
      <c r="J2559">
        <v>24</v>
      </c>
      <c r="K2559">
        <v>3</v>
      </c>
      <c r="L2559">
        <v>6</v>
      </c>
      <c r="M2559">
        <v>153</v>
      </c>
      <c r="N2559">
        <v>918</v>
      </c>
      <c r="O2559">
        <v>0.05</v>
      </c>
      <c r="P2559">
        <v>45.9</v>
      </c>
      <c r="Q2559">
        <v>872.1</v>
      </c>
      <c r="R2559">
        <v>559.98</v>
      </c>
      <c r="S2559">
        <v>312.12</v>
      </c>
    </row>
    <row r="2560" spans="1:19" x14ac:dyDescent="0.35">
      <c r="A2560">
        <v>201298</v>
      </c>
      <c r="B2560">
        <v>2230</v>
      </c>
      <c r="C2560" t="s">
        <v>19</v>
      </c>
      <c r="D2560" t="s">
        <v>29</v>
      </c>
      <c r="E2560" t="s">
        <v>21</v>
      </c>
      <c r="F2560" t="s">
        <v>39</v>
      </c>
      <c r="G2560" s="1">
        <v>45350</v>
      </c>
      <c r="H2560" s="1">
        <v>45352</v>
      </c>
      <c r="I2560" s="1">
        <v>45352</v>
      </c>
      <c r="J2560">
        <v>2</v>
      </c>
      <c r="K2560">
        <v>2</v>
      </c>
      <c r="L2560">
        <v>5</v>
      </c>
      <c r="M2560">
        <v>234.17</v>
      </c>
      <c r="N2560">
        <v>1170.8499999999999</v>
      </c>
      <c r="O2560">
        <v>0.14000000000000001</v>
      </c>
      <c r="P2560">
        <v>163.92</v>
      </c>
      <c r="Q2560">
        <v>1006.93</v>
      </c>
      <c r="R2560">
        <v>714.22</v>
      </c>
      <c r="S2560">
        <v>292.70999999999998</v>
      </c>
    </row>
    <row r="2561" spans="1:19" x14ac:dyDescent="0.35">
      <c r="A2561">
        <v>201299</v>
      </c>
      <c r="B2561">
        <v>1643</v>
      </c>
      <c r="C2561" t="s">
        <v>28</v>
      </c>
      <c r="D2561" t="s">
        <v>20</v>
      </c>
      <c r="E2561" t="s">
        <v>21</v>
      </c>
      <c r="F2561" t="s">
        <v>39</v>
      </c>
      <c r="G2561" s="1">
        <v>45565</v>
      </c>
      <c r="H2561" s="1">
        <v>45570</v>
      </c>
      <c r="I2561" s="1">
        <v>45587</v>
      </c>
      <c r="J2561">
        <v>22</v>
      </c>
      <c r="K2561">
        <v>5</v>
      </c>
      <c r="L2561">
        <v>11</v>
      </c>
      <c r="M2561">
        <v>313.95</v>
      </c>
      <c r="N2561">
        <v>3453.45</v>
      </c>
      <c r="O2561">
        <v>0.09</v>
      </c>
      <c r="P2561">
        <v>310.81</v>
      </c>
      <c r="Q2561">
        <v>3142.64</v>
      </c>
      <c r="R2561">
        <v>2141.14</v>
      </c>
      <c r="S2561">
        <v>1001.5</v>
      </c>
    </row>
    <row r="2562" spans="1:19" x14ac:dyDescent="0.35">
      <c r="A2562">
        <v>201300</v>
      </c>
      <c r="B2562">
        <v>2382</v>
      </c>
      <c r="C2562" t="s">
        <v>33</v>
      </c>
      <c r="D2562" t="s">
        <v>20</v>
      </c>
      <c r="E2562" t="s">
        <v>24</v>
      </c>
      <c r="F2562" t="s">
        <v>25</v>
      </c>
      <c r="G2562" s="1">
        <v>45433</v>
      </c>
      <c r="H2562" s="1">
        <v>45434</v>
      </c>
      <c r="I2562" s="1">
        <v>45442</v>
      </c>
      <c r="J2562">
        <v>9</v>
      </c>
      <c r="K2562">
        <v>1</v>
      </c>
      <c r="L2562">
        <v>3</v>
      </c>
      <c r="M2562">
        <v>775.88</v>
      </c>
      <c r="N2562">
        <v>2327.64</v>
      </c>
      <c r="O2562">
        <v>0.15</v>
      </c>
      <c r="P2562">
        <v>349.15</v>
      </c>
      <c r="Q2562">
        <v>1978.49</v>
      </c>
      <c r="R2562">
        <v>1373.31</v>
      </c>
      <c r="S2562">
        <v>605.17999999999995</v>
      </c>
    </row>
    <row r="2563" spans="1:19" x14ac:dyDescent="0.35">
      <c r="A2563">
        <v>201301</v>
      </c>
      <c r="B2563">
        <v>2841</v>
      </c>
      <c r="C2563" t="s">
        <v>23</v>
      </c>
      <c r="D2563" t="s">
        <v>31</v>
      </c>
      <c r="E2563" t="s">
        <v>24</v>
      </c>
      <c r="F2563" t="s">
        <v>32</v>
      </c>
      <c r="G2563" s="1">
        <v>45320</v>
      </c>
      <c r="H2563" s="1">
        <v>45324</v>
      </c>
      <c r="I2563" s="1">
        <v>45346</v>
      </c>
      <c r="J2563">
        <v>26</v>
      </c>
      <c r="K2563">
        <v>4</v>
      </c>
      <c r="L2563">
        <v>13</v>
      </c>
      <c r="M2563">
        <v>734.99</v>
      </c>
      <c r="N2563">
        <v>9554.8700000000008</v>
      </c>
      <c r="O2563">
        <v>0.1</v>
      </c>
      <c r="P2563">
        <v>955.49</v>
      </c>
      <c r="Q2563">
        <v>8599.3799999999992</v>
      </c>
      <c r="R2563">
        <v>6115.12</v>
      </c>
      <c r="S2563">
        <v>2484.2600000000002</v>
      </c>
    </row>
    <row r="2564" spans="1:19" x14ac:dyDescent="0.35">
      <c r="A2564">
        <v>201302</v>
      </c>
      <c r="B2564">
        <v>3198</v>
      </c>
      <c r="C2564" t="s">
        <v>28</v>
      </c>
      <c r="D2564" t="s">
        <v>31</v>
      </c>
      <c r="E2564" t="s">
        <v>26</v>
      </c>
      <c r="F2564" t="s">
        <v>27</v>
      </c>
      <c r="G2564" s="1">
        <v>45478</v>
      </c>
      <c r="H2564" s="1">
        <v>45481</v>
      </c>
      <c r="I2564" s="1">
        <v>45504</v>
      </c>
      <c r="J2564">
        <v>26</v>
      </c>
      <c r="K2564">
        <v>3</v>
      </c>
      <c r="L2564">
        <v>4</v>
      </c>
      <c r="M2564">
        <v>327.33999999999997</v>
      </c>
      <c r="N2564">
        <v>1309.3599999999999</v>
      </c>
      <c r="O2564">
        <v>0.15</v>
      </c>
      <c r="P2564">
        <v>196.4</v>
      </c>
      <c r="Q2564">
        <v>1112.96</v>
      </c>
      <c r="R2564">
        <v>877.27</v>
      </c>
      <c r="S2564">
        <v>235.69</v>
      </c>
    </row>
    <row r="2565" spans="1:19" x14ac:dyDescent="0.35">
      <c r="A2565">
        <v>201303</v>
      </c>
      <c r="B2565">
        <v>3179</v>
      </c>
      <c r="C2565" t="s">
        <v>28</v>
      </c>
      <c r="D2565" t="s">
        <v>31</v>
      </c>
      <c r="E2565" t="s">
        <v>24</v>
      </c>
      <c r="F2565" t="s">
        <v>25</v>
      </c>
      <c r="G2565" s="1">
        <v>45345</v>
      </c>
      <c r="H2565" s="1">
        <v>45346</v>
      </c>
      <c r="I2565" s="1">
        <v>45358</v>
      </c>
      <c r="J2565">
        <v>13</v>
      </c>
      <c r="K2565">
        <v>1</v>
      </c>
      <c r="L2565">
        <v>8</v>
      </c>
      <c r="M2565">
        <v>483.16</v>
      </c>
      <c r="N2565">
        <v>3865.28</v>
      </c>
      <c r="O2565">
        <v>7.0000000000000007E-2</v>
      </c>
      <c r="P2565">
        <v>270.57</v>
      </c>
      <c r="Q2565">
        <v>3594.71</v>
      </c>
      <c r="R2565">
        <v>2473.7800000000002</v>
      </c>
      <c r="S2565">
        <v>1120.93</v>
      </c>
    </row>
    <row r="2566" spans="1:19" x14ac:dyDescent="0.35">
      <c r="A2566">
        <v>201304</v>
      </c>
      <c r="B2566">
        <v>2659</v>
      </c>
      <c r="C2566" t="s">
        <v>19</v>
      </c>
      <c r="D2566" t="s">
        <v>31</v>
      </c>
      <c r="E2566" t="s">
        <v>21</v>
      </c>
      <c r="F2566" t="s">
        <v>38</v>
      </c>
      <c r="G2566" s="1">
        <v>45469</v>
      </c>
      <c r="H2566" s="1">
        <v>45473</v>
      </c>
      <c r="I2566" s="1">
        <v>45485</v>
      </c>
      <c r="J2566">
        <v>16</v>
      </c>
      <c r="K2566">
        <v>4</v>
      </c>
      <c r="L2566">
        <v>11</v>
      </c>
      <c r="M2566">
        <v>268.56</v>
      </c>
      <c r="N2566">
        <v>2954.16</v>
      </c>
      <c r="O2566">
        <v>0.03</v>
      </c>
      <c r="P2566">
        <v>88.62</v>
      </c>
      <c r="Q2566">
        <v>2865.54</v>
      </c>
      <c r="R2566">
        <v>1979.29</v>
      </c>
      <c r="S2566">
        <v>886.25</v>
      </c>
    </row>
    <row r="2567" spans="1:19" x14ac:dyDescent="0.35">
      <c r="A2567">
        <v>201305</v>
      </c>
      <c r="B2567">
        <v>3246</v>
      </c>
      <c r="C2567" t="s">
        <v>33</v>
      </c>
      <c r="D2567" t="s">
        <v>29</v>
      </c>
      <c r="E2567" t="s">
        <v>24</v>
      </c>
      <c r="F2567" t="s">
        <v>30</v>
      </c>
      <c r="G2567" s="1">
        <v>45578</v>
      </c>
      <c r="H2567" s="1">
        <v>45579</v>
      </c>
      <c r="I2567" s="1">
        <v>45608</v>
      </c>
      <c r="J2567">
        <v>30</v>
      </c>
      <c r="K2567">
        <v>1</v>
      </c>
      <c r="L2567">
        <v>7</v>
      </c>
      <c r="M2567">
        <v>497.52</v>
      </c>
      <c r="N2567">
        <v>3482.64</v>
      </c>
      <c r="O2567">
        <v>0.14000000000000001</v>
      </c>
      <c r="P2567">
        <v>487.57</v>
      </c>
      <c r="Q2567">
        <v>2995.07</v>
      </c>
      <c r="R2567">
        <v>2194.06</v>
      </c>
      <c r="S2567">
        <v>801.01</v>
      </c>
    </row>
    <row r="2568" spans="1:19" x14ac:dyDescent="0.35">
      <c r="A2568">
        <v>201306</v>
      </c>
      <c r="B2568">
        <v>3494</v>
      </c>
      <c r="C2568" t="s">
        <v>33</v>
      </c>
      <c r="D2568" t="s">
        <v>29</v>
      </c>
      <c r="E2568" t="s">
        <v>26</v>
      </c>
      <c r="F2568" t="s">
        <v>27</v>
      </c>
      <c r="G2568" s="1">
        <v>45325</v>
      </c>
      <c r="H2568" s="1">
        <v>45328</v>
      </c>
      <c r="I2568" s="1">
        <v>45344</v>
      </c>
      <c r="J2568">
        <v>19</v>
      </c>
      <c r="K2568">
        <v>3</v>
      </c>
      <c r="L2568">
        <v>12</v>
      </c>
      <c r="M2568">
        <v>532.95000000000005</v>
      </c>
      <c r="N2568">
        <v>6395.4</v>
      </c>
      <c r="O2568">
        <v>0.08</v>
      </c>
      <c r="P2568">
        <v>511.63</v>
      </c>
      <c r="Q2568">
        <v>5883.77</v>
      </c>
      <c r="R2568">
        <v>3773.29</v>
      </c>
      <c r="S2568">
        <v>2110.48</v>
      </c>
    </row>
    <row r="2569" spans="1:19" x14ac:dyDescent="0.35">
      <c r="A2569">
        <v>201307</v>
      </c>
      <c r="B2569">
        <v>1476</v>
      </c>
      <c r="C2569" t="s">
        <v>33</v>
      </c>
      <c r="D2569" t="s">
        <v>20</v>
      </c>
      <c r="E2569" t="s">
        <v>24</v>
      </c>
      <c r="F2569" t="s">
        <v>32</v>
      </c>
      <c r="G2569" s="1">
        <v>45463</v>
      </c>
      <c r="H2569" s="1">
        <v>45465</v>
      </c>
      <c r="I2569" s="1">
        <v>45476</v>
      </c>
      <c r="J2569">
        <v>13</v>
      </c>
      <c r="K2569">
        <v>2</v>
      </c>
      <c r="L2569">
        <v>7</v>
      </c>
      <c r="M2569">
        <v>506.89</v>
      </c>
      <c r="N2569">
        <v>3548.23</v>
      </c>
      <c r="O2569">
        <v>0.09</v>
      </c>
      <c r="P2569">
        <v>319.33999999999997</v>
      </c>
      <c r="Q2569">
        <v>3228.89</v>
      </c>
      <c r="R2569">
        <v>2164.42</v>
      </c>
      <c r="S2569">
        <v>1064.47</v>
      </c>
    </row>
    <row r="2570" spans="1:19" x14ac:dyDescent="0.35">
      <c r="A2570">
        <v>201308</v>
      </c>
      <c r="B2570">
        <v>3159</v>
      </c>
      <c r="C2570" t="s">
        <v>23</v>
      </c>
      <c r="D2570" t="s">
        <v>29</v>
      </c>
      <c r="E2570" t="s">
        <v>21</v>
      </c>
      <c r="F2570" t="s">
        <v>22</v>
      </c>
      <c r="G2570" s="1">
        <v>45637</v>
      </c>
      <c r="H2570" s="1">
        <v>45641</v>
      </c>
      <c r="I2570" s="1">
        <v>45655</v>
      </c>
      <c r="J2570">
        <v>18</v>
      </c>
      <c r="K2570">
        <v>4</v>
      </c>
      <c r="L2570">
        <v>4</v>
      </c>
      <c r="M2570">
        <v>450.51</v>
      </c>
      <c r="N2570">
        <v>1802.04</v>
      </c>
      <c r="O2570">
        <v>0.11</v>
      </c>
      <c r="P2570">
        <v>198.22</v>
      </c>
      <c r="Q2570">
        <v>1603.82</v>
      </c>
      <c r="R2570">
        <v>1243.4100000000001</v>
      </c>
      <c r="S2570">
        <v>360.41</v>
      </c>
    </row>
    <row r="2571" spans="1:19" x14ac:dyDescent="0.35">
      <c r="A2571">
        <v>201309</v>
      </c>
      <c r="B2571">
        <v>3204</v>
      </c>
      <c r="C2571" t="s">
        <v>23</v>
      </c>
      <c r="D2571" t="s">
        <v>20</v>
      </c>
      <c r="E2571" t="s">
        <v>34</v>
      </c>
      <c r="F2571" t="s">
        <v>45</v>
      </c>
      <c r="G2571" s="1">
        <v>45536</v>
      </c>
      <c r="H2571" s="1">
        <v>45538</v>
      </c>
      <c r="I2571" s="1">
        <v>45539</v>
      </c>
      <c r="J2571">
        <v>3</v>
      </c>
      <c r="K2571">
        <v>2</v>
      </c>
      <c r="L2571">
        <v>8</v>
      </c>
      <c r="M2571">
        <v>550.99</v>
      </c>
      <c r="N2571">
        <v>4407.92</v>
      </c>
      <c r="O2571">
        <v>0.13</v>
      </c>
      <c r="P2571">
        <v>573.03</v>
      </c>
      <c r="Q2571">
        <v>3834.89</v>
      </c>
      <c r="R2571">
        <v>2909.23</v>
      </c>
      <c r="S2571">
        <v>925.66</v>
      </c>
    </row>
    <row r="2572" spans="1:19" x14ac:dyDescent="0.35">
      <c r="A2572">
        <v>201310</v>
      </c>
      <c r="B2572">
        <v>4678</v>
      </c>
      <c r="C2572" t="s">
        <v>23</v>
      </c>
      <c r="D2572" t="s">
        <v>20</v>
      </c>
      <c r="E2572" t="s">
        <v>24</v>
      </c>
      <c r="F2572" t="s">
        <v>42</v>
      </c>
      <c r="G2572" s="1">
        <v>45520</v>
      </c>
      <c r="H2572" s="1">
        <v>45522</v>
      </c>
      <c r="I2572" s="1">
        <v>45528</v>
      </c>
      <c r="J2572">
        <v>8</v>
      </c>
      <c r="K2572">
        <v>2</v>
      </c>
      <c r="L2572">
        <v>11</v>
      </c>
      <c r="M2572">
        <v>602.9</v>
      </c>
      <c r="N2572">
        <v>6631.9</v>
      </c>
      <c r="O2572">
        <v>0.17</v>
      </c>
      <c r="P2572">
        <v>1127.42</v>
      </c>
      <c r="Q2572">
        <v>5504.48</v>
      </c>
      <c r="R2572">
        <v>4111.78</v>
      </c>
      <c r="S2572">
        <v>1392.7</v>
      </c>
    </row>
    <row r="2573" spans="1:19" x14ac:dyDescent="0.35">
      <c r="A2573">
        <v>201311</v>
      </c>
      <c r="B2573">
        <v>1331</v>
      </c>
      <c r="C2573" t="s">
        <v>19</v>
      </c>
      <c r="D2573" t="s">
        <v>29</v>
      </c>
      <c r="E2573" t="s">
        <v>34</v>
      </c>
      <c r="F2573" t="s">
        <v>40</v>
      </c>
      <c r="G2573" s="1">
        <v>45655</v>
      </c>
      <c r="H2573" s="1">
        <v>45658</v>
      </c>
      <c r="I2573" s="1">
        <v>45670</v>
      </c>
      <c r="J2573">
        <v>15</v>
      </c>
      <c r="K2573">
        <v>3</v>
      </c>
      <c r="L2573">
        <v>13</v>
      </c>
      <c r="M2573">
        <v>306.67</v>
      </c>
      <c r="N2573">
        <v>3986.71</v>
      </c>
      <c r="O2573">
        <v>0.09</v>
      </c>
      <c r="P2573">
        <v>358.8</v>
      </c>
      <c r="Q2573">
        <v>3627.91</v>
      </c>
      <c r="R2573">
        <v>2392.0300000000002</v>
      </c>
      <c r="S2573">
        <v>1235.8800000000001</v>
      </c>
    </row>
    <row r="2574" spans="1:19" x14ac:dyDescent="0.35">
      <c r="A2574">
        <v>201312</v>
      </c>
      <c r="B2574">
        <v>3828</v>
      </c>
      <c r="C2574" t="s">
        <v>19</v>
      </c>
      <c r="D2574" t="s">
        <v>29</v>
      </c>
      <c r="E2574" t="s">
        <v>34</v>
      </c>
      <c r="F2574" t="s">
        <v>35</v>
      </c>
      <c r="G2574" s="1">
        <v>45461</v>
      </c>
      <c r="H2574" s="1">
        <v>45466</v>
      </c>
      <c r="I2574" s="1">
        <v>45466</v>
      </c>
      <c r="J2574">
        <v>5</v>
      </c>
      <c r="K2574">
        <v>5</v>
      </c>
      <c r="L2574">
        <v>4</v>
      </c>
      <c r="M2574">
        <v>564.99</v>
      </c>
      <c r="N2574">
        <v>2259.96</v>
      </c>
      <c r="O2574">
        <v>0.08</v>
      </c>
      <c r="P2574">
        <v>180.8</v>
      </c>
      <c r="Q2574">
        <v>2079.16</v>
      </c>
      <c r="R2574">
        <v>1559.37</v>
      </c>
      <c r="S2574">
        <v>519.79</v>
      </c>
    </row>
    <row r="2575" spans="1:19" x14ac:dyDescent="0.35">
      <c r="A2575">
        <v>201313</v>
      </c>
      <c r="B2575">
        <v>1721</v>
      </c>
      <c r="C2575" t="s">
        <v>23</v>
      </c>
      <c r="D2575" t="s">
        <v>31</v>
      </c>
      <c r="E2575" t="s">
        <v>21</v>
      </c>
      <c r="F2575" t="s">
        <v>22</v>
      </c>
      <c r="G2575" s="1">
        <v>45638</v>
      </c>
      <c r="H2575" s="1">
        <v>45641</v>
      </c>
      <c r="I2575" s="1">
        <v>45663</v>
      </c>
      <c r="J2575">
        <v>25</v>
      </c>
      <c r="K2575">
        <v>3</v>
      </c>
      <c r="L2575">
        <v>14</v>
      </c>
      <c r="M2575">
        <v>606.97</v>
      </c>
      <c r="N2575">
        <v>8497.58</v>
      </c>
      <c r="O2575">
        <v>0.04</v>
      </c>
      <c r="P2575">
        <v>339.9</v>
      </c>
      <c r="Q2575">
        <v>8157.68</v>
      </c>
      <c r="R2575">
        <v>5608.4</v>
      </c>
      <c r="S2575">
        <v>2549.2800000000002</v>
      </c>
    </row>
    <row r="2576" spans="1:19" x14ac:dyDescent="0.35">
      <c r="A2576">
        <v>201314</v>
      </c>
      <c r="B2576">
        <v>2388</v>
      </c>
      <c r="C2576" t="s">
        <v>33</v>
      </c>
      <c r="D2576" t="s">
        <v>20</v>
      </c>
      <c r="E2576" t="s">
        <v>34</v>
      </c>
      <c r="F2576" t="s">
        <v>45</v>
      </c>
      <c r="G2576" s="1">
        <v>45643</v>
      </c>
      <c r="H2576" s="1">
        <v>45645</v>
      </c>
      <c r="I2576" s="1">
        <v>45672</v>
      </c>
      <c r="J2576">
        <v>29</v>
      </c>
      <c r="K2576">
        <v>2</v>
      </c>
      <c r="L2576">
        <v>11</v>
      </c>
      <c r="M2576">
        <v>80.48</v>
      </c>
      <c r="N2576">
        <v>885.28</v>
      </c>
      <c r="O2576">
        <v>0.08</v>
      </c>
      <c r="P2576">
        <v>70.819999999999993</v>
      </c>
      <c r="Q2576">
        <v>814.46</v>
      </c>
      <c r="R2576">
        <v>478.05</v>
      </c>
      <c r="S2576">
        <v>336.41</v>
      </c>
    </row>
    <row r="2577" spans="1:19" x14ac:dyDescent="0.35">
      <c r="A2577">
        <v>201315</v>
      </c>
      <c r="B2577">
        <v>1098</v>
      </c>
      <c r="C2577" t="s">
        <v>33</v>
      </c>
      <c r="D2577" t="s">
        <v>29</v>
      </c>
      <c r="E2577" t="s">
        <v>24</v>
      </c>
      <c r="F2577" t="s">
        <v>32</v>
      </c>
      <c r="G2577" s="1">
        <v>45533</v>
      </c>
      <c r="H2577" s="1">
        <v>45537</v>
      </c>
      <c r="I2577" s="1">
        <v>45545</v>
      </c>
      <c r="J2577">
        <v>12</v>
      </c>
      <c r="K2577">
        <v>4</v>
      </c>
      <c r="L2577">
        <v>8</v>
      </c>
      <c r="M2577">
        <v>485.31</v>
      </c>
      <c r="N2577">
        <v>3882.48</v>
      </c>
      <c r="O2577">
        <v>0.12</v>
      </c>
      <c r="P2577">
        <v>465.9</v>
      </c>
      <c r="Q2577">
        <v>3416.58</v>
      </c>
      <c r="R2577">
        <v>2717.74</v>
      </c>
      <c r="S2577">
        <v>698.84</v>
      </c>
    </row>
    <row r="2578" spans="1:19" x14ac:dyDescent="0.35">
      <c r="A2578">
        <v>201316</v>
      </c>
      <c r="B2578">
        <v>3850</v>
      </c>
      <c r="C2578" t="s">
        <v>19</v>
      </c>
      <c r="D2578" t="s">
        <v>20</v>
      </c>
      <c r="E2578" t="s">
        <v>24</v>
      </c>
      <c r="F2578" t="s">
        <v>25</v>
      </c>
      <c r="G2578" s="1">
        <v>45560</v>
      </c>
      <c r="H2578" s="1">
        <v>45562</v>
      </c>
      <c r="I2578" s="1">
        <v>45577</v>
      </c>
      <c r="J2578">
        <v>17</v>
      </c>
      <c r="K2578">
        <v>2</v>
      </c>
      <c r="L2578">
        <v>8</v>
      </c>
      <c r="M2578">
        <v>478.81</v>
      </c>
      <c r="N2578">
        <v>3830.48</v>
      </c>
      <c r="O2578">
        <v>0.05</v>
      </c>
      <c r="P2578">
        <v>191.52</v>
      </c>
      <c r="Q2578">
        <v>3638.96</v>
      </c>
      <c r="R2578">
        <v>2413.1999999999998</v>
      </c>
      <c r="S2578">
        <v>1225.76</v>
      </c>
    </row>
    <row r="2579" spans="1:19" x14ac:dyDescent="0.35">
      <c r="A2579">
        <v>201317</v>
      </c>
      <c r="B2579">
        <v>3768</v>
      </c>
      <c r="C2579" t="s">
        <v>33</v>
      </c>
      <c r="D2579" t="s">
        <v>29</v>
      </c>
      <c r="E2579" t="s">
        <v>34</v>
      </c>
      <c r="F2579" t="s">
        <v>43</v>
      </c>
      <c r="G2579" s="1">
        <v>45638</v>
      </c>
      <c r="H2579" s="1">
        <v>45640</v>
      </c>
      <c r="I2579" s="1">
        <v>45663</v>
      </c>
      <c r="J2579">
        <v>25</v>
      </c>
      <c r="K2579">
        <v>2</v>
      </c>
      <c r="L2579">
        <v>9</v>
      </c>
      <c r="M2579">
        <v>358.97</v>
      </c>
      <c r="N2579">
        <v>3230.73</v>
      </c>
      <c r="O2579">
        <v>0.13</v>
      </c>
      <c r="P2579">
        <v>419.99</v>
      </c>
      <c r="Q2579">
        <v>2810.74</v>
      </c>
      <c r="R2579">
        <v>2196.9</v>
      </c>
      <c r="S2579">
        <v>613.84</v>
      </c>
    </row>
    <row r="2580" spans="1:19" x14ac:dyDescent="0.35">
      <c r="A2580">
        <v>201318</v>
      </c>
      <c r="B2580">
        <v>4842</v>
      </c>
      <c r="C2580" t="s">
        <v>33</v>
      </c>
      <c r="D2580" t="s">
        <v>20</v>
      </c>
      <c r="E2580" t="s">
        <v>26</v>
      </c>
      <c r="F2580" t="s">
        <v>37</v>
      </c>
      <c r="G2580" s="1">
        <v>45485</v>
      </c>
      <c r="H2580" s="1">
        <v>45487</v>
      </c>
      <c r="I2580" s="1">
        <v>45507</v>
      </c>
      <c r="J2580">
        <v>22</v>
      </c>
      <c r="K2580">
        <v>2</v>
      </c>
      <c r="L2580">
        <v>4</v>
      </c>
      <c r="M2580">
        <v>784.7</v>
      </c>
      <c r="N2580">
        <v>3138.8</v>
      </c>
      <c r="O2580">
        <v>7.0000000000000007E-2</v>
      </c>
      <c r="P2580">
        <v>219.72</v>
      </c>
      <c r="Q2580">
        <v>2919.08</v>
      </c>
      <c r="R2580">
        <v>2008.83</v>
      </c>
      <c r="S2580">
        <v>910.25</v>
      </c>
    </row>
    <row r="2581" spans="1:19" x14ac:dyDescent="0.35">
      <c r="A2581">
        <v>201319</v>
      </c>
      <c r="B2581">
        <v>3681</v>
      </c>
      <c r="C2581" t="s">
        <v>33</v>
      </c>
      <c r="D2581" t="s">
        <v>29</v>
      </c>
      <c r="E2581" t="s">
        <v>21</v>
      </c>
      <c r="F2581" t="s">
        <v>41</v>
      </c>
      <c r="G2581" s="1">
        <v>45605</v>
      </c>
      <c r="H2581" s="1">
        <v>45607</v>
      </c>
      <c r="I2581" s="1">
        <v>45609</v>
      </c>
      <c r="J2581">
        <v>4</v>
      </c>
      <c r="K2581">
        <v>2</v>
      </c>
      <c r="L2581">
        <v>7</v>
      </c>
      <c r="M2581">
        <v>609.87</v>
      </c>
      <c r="N2581">
        <v>4269.09</v>
      </c>
      <c r="O2581">
        <v>0.14000000000000001</v>
      </c>
      <c r="P2581">
        <v>597.66999999999996</v>
      </c>
      <c r="Q2581">
        <v>3671.42</v>
      </c>
      <c r="R2581">
        <v>2561.4499999999998</v>
      </c>
      <c r="S2581">
        <v>1109.97</v>
      </c>
    </row>
    <row r="2582" spans="1:19" x14ac:dyDescent="0.35">
      <c r="A2582">
        <v>201320</v>
      </c>
      <c r="B2582">
        <v>3835</v>
      </c>
      <c r="C2582" t="s">
        <v>23</v>
      </c>
      <c r="D2582" t="s">
        <v>20</v>
      </c>
      <c r="E2582" t="s">
        <v>24</v>
      </c>
      <c r="F2582" t="s">
        <v>32</v>
      </c>
      <c r="G2582" s="1">
        <v>45400</v>
      </c>
      <c r="H2582" s="1">
        <v>45402</v>
      </c>
      <c r="I2582" s="1">
        <v>45416</v>
      </c>
      <c r="J2582">
        <v>16</v>
      </c>
      <c r="K2582">
        <v>2</v>
      </c>
      <c r="L2582">
        <v>9</v>
      </c>
      <c r="M2582">
        <v>791.16</v>
      </c>
      <c r="N2582">
        <v>7120.44</v>
      </c>
      <c r="O2582">
        <v>0.15</v>
      </c>
      <c r="P2582">
        <v>1068.07</v>
      </c>
      <c r="Q2582">
        <v>6052.37</v>
      </c>
      <c r="R2582">
        <v>4485.88</v>
      </c>
      <c r="S2582">
        <v>1566.49</v>
      </c>
    </row>
    <row r="2583" spans="1:19" x14ac:dyDescent="0.35">
      <c r="A2583">
        <v>201321</v>
      </c>
      <c r="B2583">
        <v>4781</v>
      </c>
      <c r="C2583" t="s">
        <v>28</v>
      </c>
      <c r="D2583" t="s">
        <v>20</v>
      </c>
      <c r="E2583" t="s">
        <v>34</v>
      </c>
      <c r="F2583" t="s">
        <v>45</v>
      </c>
      <c r="G2583" s="1">
        <v>45590</v>
      </c>
      <c r="H2583" s="1">
        <v>45595</v>
      </c>
      <c r="I2583" s="1">
        <v>45605</v>
      </c>
      <c r="J2583">
        <v>15</v>
      </c>
      <c r="K2583">
        <v>5</v>
      </c>
      <c r="L2583">
        <v>6</v>
      </c>
      <c r="M2583">
        <v>678.56</v>
      </c>
      <c r="N2583">
        <v>4071.36</v>
      </c>
      <c r="O2583">
        <v>0.06</v>
      </c>
      <c r="P2583">
        <v>244.28</v>
      </c>
      <c r="Q2583">
        <v>3827.08</v>
      </c>
      <c r="R2583">
        <v>2646.38</v>
      </c>
      <c r="S2583">
        <v>1180.7</v>
      </c>
    </row>
    <row r="2584" spans="1:19" x14ac:dyDescent="0.35">
      <c r="A2584">
        <v>201322</v>
      </c>
      <c r="B2584">
        <v>4165</v>
      </c>
      <c r="C2584" t="s">
        <v>28</v>
      </c>
      <c r="D2584" t="s">
        <v>31</v>
      </c>
      <c r="E2584" t="s">
        <v>34</v>
      </c>
      <c r="F2584" t="s">
        <v>40</v>
      </c>
      <c r="G2584" s="1">
        <v>45469</v>
      </c>
      <c r="H2584" s="1">
        <v>45474</v>
      </c>
      <c r="I2584" s="1">
        <v>45489</v>
      </c>
      <c r="J2584">
        <v>20</v>
      </c>
      <c r="K2584">
        <v>5</v>
      </c>
      <c r="L2584">
        <v>5</v>
      </c>
      <c r="M2584">
        <v>796.71</v>
      </c>
      <c r="N2584">
        <v>3983.55</v>
      </c>
      <c r="O2584">
        <v>0.12</v>
      </c>
      <c r="P2584">
        <v>478.03</v>
      </c>
      <c r="Q2584">
        <v>3505.52</v>
      </c>
      <c r="R2584">
        <v>2668.98</v>
      </c>
      <c r="S2584">
        <v>836.54</v>
      </c>
    </row>
    <row r="2585" spans="1:19" x14ac:dyDescent="0.35">
      <c r="A2585">
        <v>201323</v>
      </c>
      <c r="B2585">
        <v>1685</v>
      </c>
      <c r="C2585" t="s">
        <v>19</v>
      </c>
      <c r="D2585" t="s">
        <v>29</v>
      </c>
      <c r="E2585" t="s">
        <v>24</v>
      </c>
      <c r="F2585" t="s">
        <v>30</v>
      </c>
      <c r="G2585" s="1">
        <v>45515</v>
      </c>
      <c r="H2585" s="1">
        <v>45520</v>
      </c>
      <c r="I2585" s="1">
        <v>45538</v>
      </c>
      <c r="J2585">
        <v>23</v>
      </c>
      <c r="K2585">
        <v>5</v>
      </c>
      <c r="L2585">
        <v>4</v>
      </c>
      <c r="M2585">
        <v>389.46</v>
      </c>
      <c r="N2585">
        <v>1557.84</v>
      </c>
      <c r="O2585">
        <v>0.08</v>
      </c>
      <c r="P2585">
        <v>124.63</v>
      </c>
      <c r="Q2585">
        <v>1433.21</v>
      </c>
      <c r="R2585">
        <v>1090.49</v>
      </c>
      <c r="S2585">
        <v>342.72</v>
      </c>
    </row>
    <row r="2586" spans="1:19" x14ac:dyDescent="0.35">
      <c r="A2586">
        <v>201324</v>
      </c>
      <c r="B2586">
        <v>3316</v>
      </c>
      <c r="C2586" t="s">
        <v>28</v>
      </c>
      <c r="D2586" t="s">
        <v>29</v>
      </c>
      <c r="E2586" t="s">
        <v>21</v>
      </c>
      <c r="F2586" t="s">
        <v>38</v>
      </c>
      <c r="G2586" s="1">
        <v>45627</v>
      </c>
      <c r="H2586" s="1">
        <v>45629</v>
      </c>
      <c r="I2586" s="1">
        <v>45656</v>
      </c>
      <c r="J2586">
        <v>29</v>
      </c>
      <c r="K2586">
        <v>2</v>
      </c>
      <c r="L2586">
        <v>5</v>
      </c>
      <c r="M2586">
        <v>28.9</v>
      </c>
      <c r="N2586">
        <v>144.5</v>
      </c>
      <c r="O2586">
        <v>0.1</v>
      </c>
      <c r="P2586">
        <v>14.45</v>
      </c>
      <c r="Q2586">
        <v>130.05000000000001</v>
      </c>
      <c r="R2586">
        <v>86.7</v>
      </c>
      <c r="S2586">
        <v>43.35</v>
      </c>
    </row>
    <row r="2587" spans="1:19" x14ac:dyDescent="0.35">
      <c r="A2587">
        <v>201325</v>
      </c>
      <c r="B2587">
        <v>2075</v>
      </c>
      <c r="C2587" t="s">
        <v>28</v>
      </c>
      <c r="D2587" t="s">
        <v>29</v>
      </c>
      <c r="E2587" t="s">
        <v>34</v>
      </c>
      <c r="F2587" t="s">
        <v>40</v>
      </c>
      <c r="G2587" s="1">
        <v>45549</v>
      </c>
      <c r="H2587" s="1">
        <v>45551</v>
      </c>
      <c r="I2587" s="1">
        <v>45573</v>
      </c>
      <c r="J2587">
        <v>24</v>
      </c>
      <c r="K2587">
        <v>2</v>
      </c>
      <c r="L2587">
        <v>13</v>
      </c>
      <c r="M2587">
        <v>746.54</v>
      </c>
      <c r="N2587">
        <v>9705.02</v>
      </c>
      <c r="O2587">
        <v>0.1</v>
      </c>
      <c r="P2587">
        <v>970.5</v>
      </c>
      <c r="Q2587">
        <v>8734.52</v>
      </c>
      <c r="R2587">
        <v>5823.01</v>
      </c>
      <c r="S2587">
        <v>2911.51</v>
      </c>
    </row>
    <row r="2588" spans="1:19" x14ac:dyDescent="0.35">
      <c r="A2588">
        <v>201326</v>
      </c>
      <c r="B2588">
        <v>2861</v>
      </c>
      <c r="C2588" t="s">
        <v>23</v>
      </c>
      <c r="D2588" t="s">
        <v>31</v>
      </c>
      <c r="E2588" t="s">
        <v>24</v>
      </c>
      <c r="F2588" t="s">
        <v>30</v>
      </c>
      <c r="G2588" s="1">
        <v>45343</v>
      </c>
      <c r="H2588" s="1">
        <v>45346</v>
      </c>
      <c r="I2588" s="1">
        <v>45364</v>
      </c>
      <c r="J2588">
        <v>21</v>
      </c>
      <c r="K2588">
        <v>3</v>
      </c>
      <c r="L2588">
        <v>11</v>
      </c>
      <c r="M2588">
        <v>219.26</v>
      </c>
      <c r="N2588">
        <v>2411.86</v>
      </c>
      <c r="O2588">
        <v>0.14000000000000001</v>
      </c>
      <c r="P2588">
        <v>337.66</v>
      </c>
      <c r="Q2588">
        <v>2074.1999999999998</v>
      </c>
      <c r="R2588">
        <v>1712.42</v>
      </c>
      <c r="S2588">
        <v>361.78</v>
      </c>
    </row>
    <row r="2589" spans="1:19" x14ac:dyDescent="0.35">
      <c r="A2589">
        <v>201327</v>
      </c>
      <c r="B2589">
        <v>2970</v>
      </c>
      <c r="C2589" t="s">
        <v>28</v>
      </c>
      <c r="D2589" t="s">
        <v>31</v>
      </c>
      <c r="E2589" t="s">
        <v>26</v>
      </c>
      <c r="F2589" t="s">
        <v>36</v>
      </c>
      <c r="G2589" s="1">
        <v>45549</v>
      </c>
      <c r="H2589" s="1">
        <v>45550</v>
      </c>
      <c r="I2589" s="1">
        <v>45554</v>
      </c>
      <c r="J2589">
        <v>5</v>
      </c>
      <c r="K2589">
        <v>1</v>
      </c>
      <c r="L2589">
        <v>4</v>
      </c>
      <c r="M2589">
        <v>675.09</v>
      </c>
      <c r="N2589">
        <v>2700.36</v>
      </c>
      <c r="O2589">
        <v>0.13</v>
      </c>
      <c r="P2589">
        <v>351.05</v>
      </c>
      <c r="Q2589">
        <v>2349.31</v>
      </c>
      <c r="R2589">
        <v>1836.24</v>
      </c>
      <c r="S2589">
        <v>513.07000000000005</v>
      </c>
    </row>
    <row r="2590" spans="1:19" x14ac:dyDescent="0.35">
      <c r="A2590">
        <v>201328</v>
      </c>
      <c r="B2590">
        <v>2357</v>
      </c>
      <c r="C2590" t="s">
        <v>33</v>
      </c>
      <c r="D2590" t="s">
        <v>20</v>
      </c>
      <c r="E2590" t="s">
        <v>26</v>
      </c>
      <c r="F2590" t="s">
        <v>27</v>
      </c>
      <c r="G2590" s="1">
        <v>45447</v>
      </c>
      <c r="H2590" s="1">
        <v>45452</v>
      </c>
      <c r="I2590" s="1">
        <v>45461</v>
      </c>
      <c r="J2590">
        <v>14</v>
      </c>
      <c r="K2590">
        <v>5</v>
      </c>
      <c r="L2590">
        <v>1</v>
      </c>
      <c r="M2590">
        <v>376.78</v>
      </c>
      <c r="N2590">
        <v>376.78</v>
      </c>
      <c r="O2590">
        <v>0.18</v>
      </c>
      <c r="P2590">
        <v>67.819999999999993</v>
      </c>
      <c r="Q2590">
        <v>308.95999999999998</v>
      </c>
      <c r="R2590">
        <v>259.98</v>
      </c>
      <c r="S2590">
        <v>48.98</v>
      </c>
    </row>
    <row r="2591" spans="1:19" x14ac:dyDescent="0.35">
      <c r="A2591">
        <v>201329</v>
      </c>
      <c r="B2591">
        <v>2470</v>
      </c>
      <c r="C2591" t="s">
        <v>19</v>
      </c>
      <c r="D2591" t="s">
        <v>20</v>
      </c>
      <c r="E2591" t="s">
        <v>26</v>
      </c>
      <c r="F2591" t="s">
        <v>44</v>
      </c>
      <c r="G2591" s="1">
        <v>45361</v>
      </c>
      <c r="H2591" s="1">
        <v>45362</v>
      </c>
      <c r="I2591" s="1">
        <v>45384</v>
      </c>
      <c r="J2591">
        <v>23</v>
      </c>
      <c r="K2591">
        <v>1</v>
      </c>
      <c r="L2591">
        <v>7</v>
      </c>
      <c r="M2591">
        <v>173.39</v>
      </c>
      <c r="N2591">
        <v>1213.73</v>
      </c>
      <c r="O2591">
        <v>7.0000000000000007E-2</v>
      </c>
      <c r="P2591">
        <v>84.96</v>
      </c>
      <c r="Q2591">
        <v>1128.77</v>
      </c>
      <c r="R2591">
        <v>776.79</v>
      </c>
      <c r="S2591">
        <v>351.98</v>
      </c>
    </row>
    <row r="2592" spans="1:19" x14ac:dyDescent="0.35">
      <c r="A2592">
        <v>201330</v>
      </c>
      <c r="B2592">
        <v>3208</v>
      </c>
      <c r="C2592" t="s">
        <v>23</v>
      </c>
      <c r="D2592" t="s">
        <v>20</v>
      </c>
      <c r="E2592" t="s">
        <v>24</v>
      </c>
      <c r="F2592" t="s">
        <v>32</v>
      </c>
      <c r="G2592" s="1">
        <v>45376</v>
      </c>
      <c r="H2592" s="1">
        <v>45377</v>
      </c>
      <c r="I2592" s="1">
        <v>45394</v>
      </c>
      <c r="J2592">
        <v>18</v>
      </c>
      <c r="K2592">
        <v>1</v>
      </c>
      <c r="L2592">
        <v>2</v>
      </c>
      <c r="M2592">
        <v>82.19</v>
      </c>
      <c r="N2592">
        <v>164.38</v>
      </c>
      <c r="O2592">
        <v>0.08</v>
      </c>
      <c r="P2592">
        <v>13.15</v>
      </c>
      <c r="Q2592">
        <v>151.22999999999999</v>
      </c>
      <c r="R2592">
        <v>95.34</v>
      </c>
      <c r="S2592">
        <v>55.89</v>
      </c>
    </row>
    <row r="2593" spans="1:19" x14ac:dyDescent="0.35">
      <c r="A2593">
        <v>201331</v>
      </c>
      <c r="B2593">
        <v>4832</v>
      </c>
      <c r="C2593" t="s">
        <v>19</v>
      </c>
      <c r="D2593" t="s">
        <v>20</v>
      </c>
      <c r="E2593" t="s">
        <v>21</v>
      </c>
      <c r="F2593" t="s">
        <v>22</v>
      </c>
      <c r="G2593" s="1">
        <v>45588</v>
      </c>
      <c r="H2593" s="1">
        <v>45593</v>
      </c>
      <c r="I2593" s="1">
        <v>45614</v>
      </c>
      <c r="J2593">
        <v>26</v>
      </c>
      <c r="K2593">
        <v>5</v>
      </c>
      <c r="L2593">
        <v>14</v>
      </c>
      <c r="M2593">
        <v>214.38</v>
      </c>
      <c r="N2593">
        <v>3001.32</v>
      </c>
      <c r="O2593">
        <v>0.17</v>
      </c>
      <c r="P2593">
        <v>510.22</v>
      </c>
      <c r="Q2593">
        <v>2491.1</v>
      </c>
      <c r="R2593">
        <v>2190.96</v>
      </c>
      <c r="S2593">
        <v>300.14</v>
      </c>
    </row>
    <row r="2594" spans="1:19" x14ac:dyDescent="0.35">
      <c r="A2594">
        <v>201332</v>
      </c>
      <c r="B2594">
        <v>1979</v>
      </c>
      <c r="C2594" t="s">
        <v>19</v>
      </c>
      <c r="D2594" t="s">
        <v>29</v>
      </c>
      <c r="E2594" t="s">
        <v>21</v>
      </c>
      <c r="F2594" t="s">
        <v>39</v>
      </c>
      <c r="G2594" s="1">
        <v>45446</v>
      </c>
      <c r="H2594" s="1">
        <v>45451</v>
      </c>
      <c r="I2594" s="1">
        <v>45476</v>
      </c>
      <c r="J2594">
        <v>30</v>
      </c>
      <c r="K2594">
        <v>5</v>
      </c>
      <c r="L2594">
        <v>9</v>
      </c>
      <c r="M2594">
        <v>474.97</v>
      </c>
      <c r="N2594">
        <v>4274.7299999999996</v>
      </c>
      <c r="O2594">
        <v>0.11</v>
      </c>
      <c r="P2594">
        <v>470.22</v>
      </c>
      <c r="Q2594">
        <v>3804.51</v>
      </c>
      <c r="R2594">
        <v>2821.32</v>
      </c>
      <c r="S2594">
        <v>983.19</v>
      </c>
    </row>
    <row r="2595" spans="1:19" x14ac:dyDescent="0.35">
      <c r="A2595">
        <v>201333</v>
      </c>
      <c r="B2595">
        <v>4020</v>
      </c>
      <c r="C2595" t="s">
        <v>28</v>
      </c>
      <c r="D2595" t="s">
        <v>31</v>
      </c>
      <c r="E2595" t="s">
        <v>21</v>
      </c>
      <c r="F2595" t="s">
        <v>22</v>
      </c>
      <c r="G2595" s="1">
        <v>45398</v>
      </c>
      <c r="H2595" s="1">
        <v>45399</v>
      </c>
      <c r="I2595" s="1">
        <v>45418</v>
      </c>
      <c r="J2595">
        <v>20</v>
      </c>
      <c r="K2595">
        <v>1</v>
      </c>
      <c r="L2595">
        <v>6</v>
      </c>
      <c r="M2595">
        <v>757.35</v>
      </c>
      <c r="N2595">
        <v>4544.1000000000004</v>
      </c>
      <c r="O2595">
        <v>0.1</v>
      </c>
      <c r="P2595">
        <v>454.41</v>
      </c>
      <c r="Q2595">
        <v>4089.69</v>
      </c>
      <c r="R2595">
        <v>2908.22</v>
      </c>
      <c r="S2595">
        <v>1181.47</v>
      </c>
    </row>
    <row r="2596" spans="1:19" x14ac:dyDescent="0.35">
      <c r="A2596">
        <v>201334</v>
      </c>
      <c r="B2596">
        <v>3633</v>
      </c>
      <c r="C2596" t="s">
        <v>33</v>
      </c>
      <c r="D2596" t="s">
        <v>20</v>
      </c>
      <c r="E2596" t="s">
        <v>21</v>
      </c>
      <c r="F2596" t="s">
        <v>39</v>
      </c>
      <c r="G2596" s="1">
        <v>45596</v>
      </c>
      <c r="H2596" s="1">
        <v>45597</v>
      </c>
      <c r="I2596" s="1">
        <v>45619</v>
      </c>
      <c r="J2596">
        <v>23</v>
      </c>
      <c r="K2596">
        <v>1</v>
      </c>
      <c r="L2596">
        <v>6</v>
      </c>
      <c r="M2596">
        <v>657.07</v>
      </c>
      <c r="N2596">
        <v>3942.42</v>
      </c>
      <c r="O2596">
        <v>0.01</v>
      </c>
      <c r="P2596">
        <v>39.42</v>
      </c>
      <c r="Q2596">
        <v>3903</v>
      </c>
      <c r="R2596">
        <v>2404.88</v>
      </c>
      <c r="S2596">
        <v>1498.12</v>
      </c>
    </row>
    <row r="2597" spans="1:19" x14ac:dyDescent="0.35">
      <c r="A2597">
        <v>201335</v>
      </c>
      <c r="B2597">
        <v>2058</v>
      </c>
      <c r="C2597" t="s">
        <v>19</v>
      </c>
      <c r="D2597" t="s">
        <v>31</v>
      </c>
      <c r="E2597" t="s">
        <v>34</v>
      </c>
      <c r="F2597" t="s">
        <v>40</v>
      </c>
      <c r="G2597" s="1">
        <v>45648</v>
      </c>
      <c r="H2597" s="1">
        <v>45649</v>
      </c>
      <c r="I2597" s="1">
        <v>45665</v>
      </c>
      <c r="J2597">
        <v>17</v>
      </c>
      <c r="K2597">
        <v>1</v>
      </c>
      <c r="L2597">
        <v>10</v>
      </c>
      <c r="M2597">
        <v>360.67</v>
      </c>
      <c r="N2597">
        <v>3606.7</v>
      </c>
      <c r="O2597">
        <v>0.15</v>
      </c>
      <c r="P2597">
        <v>541</v>
      </c>
      <c r="Q2597">
        <v>3065.7</v>
      </c>
      <c r="R2597">
        <v>2200.09</v>
      </c>
      <c r="S2597">
        <v>865.61</v>
      </c>
    </row>
    <row r="2598" spans="1:19" x14ac:dyDescent="0.35">
      <c r="A2598">
        <v>201336</v>
      </c>
      <c r="B2598">
        <v>4772</v>
      </c>
      <c r="C2598" t="s">
        <v>19</v>
      </c>
      <c r="D2598" t="s">
        <v>31</v>
      </c>
      <c r="E2598" t="s">
        <v>34</v>
      </c>
      <c r="F2598" t="s">
        <v>35</v>
      </c>
      <c r="G2598" s="1">
        <v>45599</v>
      </c>
      <c r="H2598" s="1">
        <v>45604</v>
      </c>
      <c r="I2598" s="1">
        <v>45628</v>
      </c>
      <c r="J2598">
        <v>29</v>
      </c>
      <c r="K2598">
        <v>5</v>
      </c>
      <c r="L2598">
        <v>14</v>
      </c>
      <c r="M2598">
        <v>484.11</v>
      </c>
      <c r="N2598">
        <v>6777.54</v>
      </c>
      <c r="O2598">
        <v>0.05</v>
      </c>
      <c r="P2598">
        <v>338.88</v>
      </c>
      <c r="Q2598">
        <v>6438.66</v>
      </c>
      <c r="R2598">
        <v>4676.5</v>
      </c>
      <c r="S2598">
        <v>1762.16</v>
      </c>
    </row>
    <row r="2599" spans="1:19" x14ac:dyDescent="0.35">
      <c r="A2599">
        <v>201337</v>
      </c>
      <c r="B2599">
        <v>3730</v>
      </c>
      <c r="C2599" t="s">
        <v>33</v>
      </c>
      <c r="D2599" t="s">
        <v>20</v>
      </c>
      <c r="E2599" t="s">
        <v>24</v>
      </c>
      <c r="F2599" t="s">
        <v>32</v>
      </c>
      <c r="G2599" s="1">
        <v>45587</v>
      </c>
      <c r="H2599" s="1">
        <v>45590</v>
      </c>
      <c r="I2599" s="1">
        <v>45614</v>
      </c>
      <c r="J2599">
        <v>27</v>
      </c>
      <c r="K2599">
        <v>3</v>
      </c>
      <c r="L2599">
        <v>4</v>
      </c>
      <c r="M2599">
        <v>598.76</v>
      </c>
      <c r="N2599">
        <v>2395.04</v>
      </c>
      <c r="O2599">
        <v>0.09</v>
      </c>
      <c r="P2599">
        <v>215.55</v>
      </c>
      <c r="Q2599">
        <v>2179.4899999999998</v>
      </c>
      <c r="R2599">
        <v>1413.07</v>
      </c>
      <c r="S2599">
        <v>766.42</v>
      </c>
    </row>
    <row r="2600" spans="1:19" x14ac:dyDescent="0.35">
      <c r="A2600">
        <v>201338</v>
      </c>
      <c r="B2600">
        <v>1389</v>
      </c>
      <c r="C2600" t="s">
        <v>33</v>
      </c>
      <c r="D2600" t="s">
        <v>31</v>
      </c>
      <c r="E2600" t="s">
        <v>34</v>
      </c>
      <c r="F2600" t="s">
        <v>45</v>
      </c>
      <c r="G2600" s="1">
        <v>45389</v>
      </c>
      <c r="H2600" s="1">
        <v>45393</v>
      </c>
      <c r="I2600" s="1">
        <v>45392</v>
      </c>
      <c r="J2600">
        <v>3</v>
      </c>
      <c r="K2600">
        <v>4</v>
      </c>
      <c r="L2600">
        <v>9</v>
      </c>
      <c r="M2600">
        <v>426.77</v>
      </c>
      <c r="N2600">
        <v>3840.93</v>
      </c>
      <c r="O2600">
        <v>0.11</v>
      </c>
      <c r="P2600">
        <v>422.5</v>
      </c>
      <c r="Q2600">
        <v>3418.43</v>
      </c>
      <c r="R2600">
        <v>2458.1999999999998</v>
      </c>
      <c r="S2600">
        <v>960.23</v>
      </c>
    </row>
    <row r="2601" spans="1:19" x14ac:dyDescent="0.35">
      <c r="A2601">
        <v>201339</v>
      </c>
      <c r="B2601">
        <v>1347</v>
      </c>
      <c r="C2601" t="s">
        <v>23</v>
      </c>
      <c r="D2601" t="s">
        <v>31</v>
      </c>
      <c r="E2601" t="s">
        <v>24</v>
      </c>
      <c r="F2601" t="s">
        <v>25</v>
      </c>
      <c r="G2601" s="1">
        <v>45627</v>
      </c>
      <c r="H2601" s="1">
        <v>45628</v>
      </c>
      <c r="I2601" s="1">
        <v>45657</v>
      </c>
      <c r="J2601">
        <v>30</v>
      </c>
      <c r="K2601">
        <v>1</v>
      </c>
      <c r="L2601">
        <v>3</v>
      </c>
      <c r="M2601">
        <v>258.08999999999997</v>
      </c>
      <c r="N2601">
        <v>774.27</v>
      </c>
      <c r="O2601">
        <v>0.12</v>
      </c>
      <c r="P2601">
        <v>92.91</v>
      </c>
      <c r="Q2601">
        <v>681.36</v>
      </c>
      <c r="R2601">
        <v>487.79</v>
      </c>
      <c r="S2601">
        <v>193.57</v>
      </c>
    </row>
    <row r="2602" spans="1:19" x14ac:dyDescent="0.35">
      <c r="A2602">
        <v>201340</v>
      </c>
      <c r="B2602">
        <v>3277</v>
      </c>
      <c r="C2602" t="s">
        <v>23</v>
      </c>
      <c r="D2602" t="s">
        <v>20</v>
      </c>
      <c r="E2602" t="s">
        <v>26</v>
      </c>
      <c r="F2602" t="s">
        <v>37</v>
      </c>
      <c r="G2602" s="1">
        <v>45630</v>
      </c>
      <c r="H2602" s="1">
        <v>45635</v>
      </c>
      <c r="I2602" s="1">
        <v>45653</v>
      </c>
      <c r="J2602">
        <v>23</v>
      </c>
      <c r="K2602">
        <v>5</v>
      </c>
      <c r="L2602">
        <v>5</v>
      </c>
      <c r="M2602">
        <v>555.58000000000004</v>
      </c>
      <c r="N2602">
        <v>2777.9</v>
      </c>
      <c r="O2602">
        <v>0.06</v>
      </c>
      <c r="P2602">
        <v>166.67</v>
      </c>
      <c r="Q2602">
        <v>2611.23</v>
      </c>
      <c r="R2602">
        <v>1750.08</v>
      </c>
      <c r="S2602">
        <v>861.15</v>
      </c>
    </row>
    <row r="2603" spans="1:19" x14ac:dyDescent="0.35">
      <c r="A2603">
        <v>201341</v>
      </c>
      <c r="B2603">
        <v>4066</v>
      </c>
      <c r="C2603" t="s">
        <v>33</v>
      </c>
      <c r="D2603" t="s">
        <v>20</v>
      </c>
      <c r="E2603" t="s">
        <v>24</v>
      </c>
      <c r="F2603" t="s">
        <v>42</v>
      </c>
      <c r="G2603" s="1">
        <v>45314</v>
      </c>
      <c r="H2603" s="1">
        <v>45319</v>
      </c>
      <c r="I2603" s="1">
        <v>45339</v>
      </c>
      <c r="J2603">
        <v>25</v>
      </c>
      <c r="K2603">
        <v>5</v>
      </c>
      <c r="L2603">
        <v>14</v>
      </c>
      <c r="M2603">
        <v>778.52</v>
      </c>
      <c r="N2603">
        <v>10899.28</v>
      </c>
      <c r="O2603">
        <v>0.15</v>
      </c>
      <c r="P2603">
        <v>1634.89</v>
      </c>
      <c r="Q2603">
        <v>9264.39</v>
      </c>
      <c r="R2603">
        <v>6866.55</v>
      </c>
      <c r="S2603">
        <v>2397.84</v>
      </c>
    </row>
    <row r="2604" spans="1:19" x14ac:dyDescent="0.35">
      <c r="A2604">
        <v>201342</v>
      </c>
      <c r="B2604">
        <v>4306</v>
      </c>
      <c r="C2604" t="s">
        <v>28</v>
      </c>
      <c r="D2604" t="s">
        <v>31</v>
      </c>
      <c r="E2604" t="s">
        <v>34</v>
      </c>
      <c r="F2604" t="s">
        <v>43</v>
      </c>
      <c r="G2604" s="1">
        <v>45591</v>
      </c>
      <c r="H2604" s="1">
        <v>45595</v>
      </c>
      <c r="I2604" s="1">
        <v>45597</v>
      </c>
      <c r="J2604">
        <v>6</v>
      </c>
      <c r="K2604">
        <v>4</v>
      </c>
      <c r="L2604">
        <v>12</v>
      </c>
      <c r="M2604">
        <v>355.45</v>
      </c>
      <c r="N2604">
        <v>4265.3999999999996</v>
      </c>
      <c r="O2604">
        <v>0.24</v>
      </c>
      <c r="P2604">
        <v>1023.7</v>
      </c>
      <c r="Q2604">
        <v>3241.7</v>
      </c>
      <c r="R2604">
        <v>2345.9699999999998</v>
      </c>
      <c r="S2604">
        <v>895.73</v>
      </c>
    </row>
    <row r="2605" spans="1:19" x14ac:dyDescent="0.35">
      <c r="A2605">
        <v>201343</v>
      </c>
      <c r="B2605">
        <v>3171</v>
      </c>
      <c r="C2605" t="s">
        <v>28</v>
      </c>
      <c r="D2605" t="s">
        <v>20</v>
      </c>
      <c r="E2605" t="s">
        <v>26</v>
      </c>
      <c r="F2605" t="s">
        <v>37</v>
      </c>
      <c r="G2605" s="1">
        <v>45556</v>
      </c>
      <c r="H2605" s="1">
        <v>45561</v>
      </c>
      <c r="I2605" s="1">
        <v>45560</v>
      </c>
      <c r="J2605">
        <v>4</v>
      </c>
      <c r="K2605">
        <v>5</v>
      </c>
      <c r="L2605">
        <v>7</v>
      </c>
      <c r="M2605">
        <v>435.74</v>
      </c>
      <c r="N2605">
        <v>3050.18</v>
      </c>
      <c r="O2605">
        <v>0.2</v>
      </c>
      <c r="P2605">
        <v>610.04</v>
      </c>
      <c r="Q2605">
        <v>2440.14</v>
      </c>
      <c r="R2605">
        <v>1952.12</v>
      </c>
      <c r="S2605">
        <v>488.02</v>
      </c>
    </row>
    <row r="2606" spans="1:19" x14ac:dyDescent="0.35">
      <c r="A2606">
        <v>201344</v>
      </c>
      <c r="B2606">
        <v>3920</v>
      </c>
      <c r="C2606" t="s">
        <v>23</v>
      </c>
      <c r="D2606" t="s">
        <v>31</v>
      </c>
      <c r="E2606" t="s">
        <v>26</v>
      </c>
      <c r="F2606" t="s">
        <v>36</v>
      </c>
      <c r="G2606" s="1">
        <v>45447</v>
      </c>
      <c r="H2606" s="1">
        <v>45451</v>
      </c>
      <c r="I2606" s="1">
        <v>45466</v>
      </c>
      <c r="J2606">
        <v>19</v>
      </c>
      <c r="K2606">
        <v>4</v>
      </c>
      <c r="L2606">
        <v>10</v>
      </c>
      <c r="M2606">
        <v>560.38</v>
      </c>
      <c r="N2606">
        <v>5603.8</v>
      </c>
      <c r="O2606">
        <v>0.11</v>
      </c>
      <c r="P2606">
        <v>616.41999999999996</v>
      </c>
      <c r="Q2606">
        <v>4987.38</v>
      </c>
      <c r="R2606">
        <v>3418.32</v>
      </c>
      <c r="S2606">
        <v>1569.06</v>
      </c>
    </row>
    <row r="2607" spans="1:19" x14ac:dyDescent="0.35">
      <c r="A2607">
        <v>201345</v>
      </c>
      <c r="B2607">
        <v>2796</v>
      </c>
      <c r="C2607" t="s">
        <v>28</v>
      </c>
      <c r="D2607" t="s">
        <v>29</v>
      </c>
      <c r="E2607" t="s">
        <v>21</v>
      </c>
      <c r="F2607" t="s">
        <v>22</v>
      </c>
      <c r="G2607" s="1">
        <v>45597</v>
      </c>
      <c r="H2607" s="1">
        <v>45598</v>
      </c>
      <c r="I2607" s="1">
        <v>45601</v>
      </c>
      <c r="J2607">
        <v>4</v>
      </c>
      <c r="K2607">
        <v>1</v>
      </c>
      <c r="L2607">
        <v>2</v>
      </c>
      <c r="M2607">
        <v>469.53</v>
      </c>
      <c r="N2607">
        <v>939.06</v>
      </c>
      <c r="O2607">
        <v>0.16</v>
      </c>
      <c r="P2607">
        <v>150.25</v>
      </c>
      <c r="Q2607">
        <v>788.81</v>
      </c>
      <c r="R2607">
        <v>601</v>
      </c>
      <c r="S2607">
        <v>187.81</v>
      </c>
    </row>
    <row r="2608" spans="1:19" x14ac:dyDescent="0.35">
      <c r="A2608">
        <v>201346</v>
      </c>
      <c r="B2608">
        <v>2085</v>
      </c>
      <c r="C2608" t="s">
        <v>23</v>
      </c>
      <c r="D2608" t="s">
        <v>31</v>
      </c>
      <c r="E2608" t="s">
        <v>34</v>
      </c>
      <c r="F2608" t="s">
        <v>35</v>
      </c>
      <c r="G2608" s="1">
        <v>45535</v>
      </c>
      <c r="H2608" s="1">
        <v>45539</v>
      </c>
      <c r="I2608" s="1">
        <v>45561</v>
      </c>
      <c r="J2608">
        <v>26</v>
      </c>
      <c r="K2608">
        <v>4</v>
      </c>
      <c r="L2608">
        <v>7</v>
      </c>
      <c r="M2608">
        <v>690.4</v>
      </c>
      <c r="N2608">
        <v>4832.8</v>
      </c>
      <c r="O2608">
        <v>0.03</v>
      </c>
      <c r="P2608">
        <v>144.97999999999999</v>
      </c>
      <c r="Q2608">
        <v>4687.82</v>
      </c>
      <c r="R2608">
        <v>2948.01</v>
      </c>
      <c r="S2608">
        <v>1739.81</v>
      </c>
    </row>
    <row r="2609" spans="1:19" x14ac:dyDescent="0.35">
      <c r="A2609">
        <v>201347</v>
      </c>
      <c r="B2609">
        <v>4037</v>
      </c>
      <c r="C2609" t="s">
        <v>28</v>
      </c>
      <c r="D2609" t="s">
        <v>20</v>
      </c>
      <c r="E2609" t="s">
        <v>34</v>
      </c>
      <c r="F2609" t="s">
        <v>45</v>
      </c>
      <c r="G2609" s="1">
        <v>45311</v>
      </c>
      <c r="H2609" s="1">
        <v>45316</v>
      </c>
      <c r="I2609" s="1">
        <v>45335</v>
      </c>
      <c r="J2609">
        <v>24</v>
      </c>
      <c r="K2609">
        <v>5</v>
      </c>
      <c r="L2609">
        <v>2</v>
      </c>
      <c r="M2609">
        <v>327.04000000000002</v>
      </c>
      <c r="N2609">
        <v>654.08000000000004</v>
      </c>
      <c r="O2609">
        <v>0.18</v>
      </c>
      <c r="P2609">
        <v>117.73</v>
      </c>
      <c r="Q2609">
        <v>536.35</v>
      </c>
      <c r="R2609">
        <v>412.07</v>
      </c>
      <c r="S2609">
        <v>124.28</v>
      </c>
    </row>
    <row r="2610" spans="1:19" x14ac:dyDescent="0.35">
      <c r="A2610">
        <v>201348</v>
      </c>
      <c r="B2610">
        <v>2066</v>
      </c>
      <c r="C2610" t="s">
        <v>28</v>
      </c>
      <c r="D2610" t="s">
        <v>31</v>
      </c>
      <c r="E2610" t="s">
        <v>21</v>
      </c>
      <c r="F2610" t="s">
        <v>22</v>
      </c>
      <c r="G2610" s="1">
        <v>45422</v>
      </c>
      <c r="H2610" s="1">
        <v>45423</v>
      </c>
      <c r="I2610" s="1">
        <v>45435</v>
      </c>
      <c r="J2610">
        <v>13</v>
      </c>
      <c r="K2610">
        <v>1</v>
      </c>
      <c r="L2610">
        <v>6</v>
      </c>
      <c r="M2610">
        <v>232.13</v>
      </c>
      <c r="N2610">
        <v>1392.78</v>
      </c>
      <c r="O2610">
        <v>0.13</v>
      </c>
      <c r="P2610">
        <v>181.06</v>
      </c>
      <c r="Q2610">
        <v>1211.72</v>
      </c>
      <c r="R2610">
        <v>1044.58</v>
      </c>
      <c r="S2610">
        <v>167.14</v>
      </c>
    </row>
    <row r="2611" spans="1:19" x14ac:dyDescent="0.35">
      <c r="A2611">
        <v>201349</v>
      </c>
      <c r="B2611">
        <v>1363</v>
      </c>
      <c r="C2611" t="s">
        <v>23</v>
      </c>
      <c r="D2611" t="s">
        <v>29</v>
      </c>
      <c r="E2611" t="s">
        <v>26</v>
      </c>
      <c r="F2611" t="s">
        <v>44</v>
      </c>
      <c r="G2611" s="1">
        <v>45323</v>
      </c>
      <c r="H2611" s="1">
        <v>45325</v>
      </c>
      <c r="I2611" s="1">
        <v>45337</v>
      </c>
      <c r="J2611">
        <v>14</v>
      </c>
      <c r="K2611">
        <v>2</v>
      </c>
      <c r="L2611">
        <v>7</v>
      </c>
      <c r="M2611">
        <v>441.26</v>
      </c>
      <c r="N2611">
        <v>3088.82</v>
      </c>
      <c r="O2611">
        <v>0.12</v>
      </c>
      <c r="P2611">
        <v>370.66</v>
      </c>
      <c r="Q2611">
        <v>2718.16</v>
      </c>
      <c r="R2611">
        <v>2069.5100000000002</v>
      </c>
      <c r="S2611">
        <v>648.65</v>
      </c>
    </row>
    <row r="2612" spans="1:19" x14ac:dyDescent="0.35">
      <c r="A2612">
        <v>201350</v>
      </c>
      <c r="B2612">
        <v>4589</v>
      </c>
      <c r="C2612" t="s">
        <v>23</v>
      </c>
      <c r="D2612" t="s">
        <v>29</v>
      </c>
      <c r="E2612" t="s">
        <v>24</v>
      </c>
      <c r="F2612" t="s">
        <v>30</v>
      </c>
      <c r="G2612" s="1">
        <v>45497</v>
      </c>
      <c r="H2612" s="1">
        <v>45499</v>
      </c>
      <c r="I2612" s="1">
        <v>45511</v>
      </c>
      <c r="J2612">
        <v>14</v>
      </c>
      <c r="K2612">
        <v>2</v>
      </c>
      <c r="L2612">
        <v>7</v>
      </c>
      <c r="M2612">
        <v>700.96</v>
      </c>
      <c r="N2612">
        <v>4906.72</v>
      </c>
      <c r="O2612">
        <v>0.03</v>
      </c>
      <c r="P2612">
        <v>147.19999999999999</v>
      </c>
      <c r="Q2612">
        <v>4759.5200000000004</v>
      </c>
      <c r="R2612">
        <v>3287.5</v>
      </c>
      <c r="S2612">
        <v>1472.02</v>
      </c>
    </row>
    <row r="2613" spans="1:19" x14ac:dyDescent="0.35">
      <c r="A2613">
        <v>201351</v>
      </c>
      <c r="B2613">
        <v>2021</v>
      </c>
      <c r="C2613" t="s">
        <v>19</v>
      </c>
      <c r="D2613" t="s">
        <v>31</v>
      </c>
      <c r="E2613" t="s">
        <v>26</v>
      </c>
      <c r="F2613" t="s">
        <v>37</v>
      </c>
      <c r="G2613" s="1">
        <v>45644</v>
      </c>
      <c r="H2613" s="1">
        <v>45645</v>
      </c>
      <c r="I2613" s="1">
        <v>45656</v>
      </c>
      <c r="J2613">
        <v>12</v>
      </c>
      <c r="K2613">
        <v>1</v>
      </c>
      <c r="L2613">
        <v>14</v>
      </c>
      <c r="M2613">
        <v>272.33999999999997</v>
      </c>
      <c r="N2613">
        <v>3812.76</v>
      </c>
      <c r="O2613">
        <v>0.1</v>
      </c>
      <c r="P2613">
        <v>381.28</v>
      </c>
      <c r="Q2613">
        <v>3431.48</v>
      </c>
      <c r="R2613">
        <v>2668.93</v>
      </c>
      <c r="S2613">
        <v>762.55</v>
      </c>
    </row>
    <row r="2614" spans="1:19" x14ac:dyDescent="0.35">
      <c r="A2614">
        <v>201352</v>
      </c>
      <c r="B2614">
        <v>1231</v>
      </c>
      <c r="C2614" t="s">
        <v>23</v>
      </c>
      <c r="D2614" t="s">
        <v>29</v>
      </c>
      <c r="E2614" t="s">
        <v>34</v>
      </c>
      <c r="F2614" t="s">
        <v>40</v>
      </c>
      <c r="G2614" s="1">
        <v>45521</v>
      </c>
      <c r="H2614" s="1">
        <v>45522</v>
      </c>
      <c r="I2614" s="1">
        <v>45523</v>
      </c>
      <c r="J2614">
        <v>2</v>
      </c>
      <c r="K2614">
        <v>1</v>
      </c>
      <c r="L2614">
        <v>6</v>
      </c>
      <c r="M2614">
        <v>189.66</v>
      </c>
      <c r="N2614">
        <v>1137.96</v>
      </c>
      <c r="O2614">
        <v>0.03</v>
      </c>
      <c r="P2614">
        <v>34.14</v>
      </c>
      <c r="Q2614">
        <v>1103.82</v>
      </c>
      <c r="R2614">
        <v>716.91</v>
      </c>
      <c r="S2614">
        <v>386.91</v>
      </c>
    </row>
    <row r="2615" spans="1:19" x14ac:dyDescent="0.35">
      <c r="A2615">
        <v>201353</v>
      </c>
      <c r="B2615">
        <v>2220</v>
      </c>
      <c r="C2615" t="s">
        <v>33</v>
      </c>
      <c r="D2615" t="s">
        <v>31</v>
      </c>
      <c r="E2615" t="s">
        <v>34</v>
      </c>
      <c r="F2615" t="s">
        <v>45</v>
      </c>
      <c r="G2615" s="1">
        <v>45314</v>
      </c>
      <c r="H2615" s="1">
        <v>45315</v>
      </c>
      <c r="I2615" s="1">
        <v>45319</v>
      </c>
      <c r="J2615">
        <v>5</v>
      </c>
      <c r="K2615">
        <v>1</v>
      </c>
      <c r="L2615">
        <v>14</v>
      </c>
      <c r="M2615">
        <v>294.43</v>
      </c>
      <c r="N2615">
        <v>4122.0200000000004</v>
      </c>
      <c r="O2615">
        <v>0.12</v>
      </c>
      <c r="P2615">
        <v>494.64</v>
      </c>
      <c r="Q2615">
        <v>3627.38</v>
      </c>
      <c r="R2615">
        <v>2720.53</v>
      </c>
      <c r="S2615">
        <v>906.85</v>
      </c>
    </row>
    <row r="2616" spans="1:19" x14ac:dyDescent="0.35">
      <c r="A2616">
        <v>201354</v>
      </c>
      <c r="B2616">
        <v>4688</v>
      </c>
      <c r="C2616" t="s">
        <v>33</v>
      </c>
      <c r="D2616" t="s">
        <v>29</v>
      </c>
      <c r="E2616" t="s">
        <v>21</v>
      </c>
      <c r="F2616" t="s">
        <v>39</v>
      </c>
      <c r="G2616" s="1">
        <v>45580</v>
      </c>
      <c r="H2616" s="1">
        <v>45582</v>
      </c>
      <c r="I2616" s="1">
        <v>45588</v>
      </c>
      <c r="J2616">
        <v>8</v>
      </c>
      <c r="K2616">
        <v>2</v>
      </c>
      <c r="L2616">
        <v>6</v>
      </c>
      <c r="M2616">
        <v>726.86</v>
      </c>
      <c r="N2616">
        <v>4361.16</v>
      </c>
      <c r="O2616">
        <v>0.11</v>
      </c>
      <c r="P2616">
        <v>479.73</v>
      </c>
      <c r="Q2616">
        <v>3881.43</v>
      </c>
      <c r="R2616">
        <v>2660.31</v>
      </c>
      <c r="S2616">
        <v>1221.1199999999999</v>
      </c>
    </row>
    <row r="2617" spans="1:19" x14ac:dyDescent="0.35">
      <c r="A2617">
        <v>201355</v>
      </c>
      <c r="B2617">
        <v>1953</v>
      </c>
      <c r="C2617" t="s">
        <v>33</v>
      </c>
      <c r="D2617" t="s">
        <v>29</v>
      </c>
      <c r="E2617" t="s">
        <v>21</v>
      </c>
      <c r="F2617" t="s">
        <v>22</v>
      </c>
      <c r="G2617" s="1">
        <v>45608</v>
      </c>
      <c r="H2617" s="1">
        <v>45610</v>
      </c>
      <c r="I2617" s="1">
        <v>45637</v>
      </c>
      <c r="J2617">
        <v>29</v>
      </c>
      <c r="K2617">
        <v>2</v>
      </c>
      <c r="L2617">
        <v>3</v>
      </c>
      <c r="M2617">
        <v>342</v>
      </c>
      <c r="N2617">
        <v>1026</v>
      </c>
      <c r="O2617">
        <v>0.02</v>
      </c>
      <c r="P2617">
        <v>20.52</v>
      </c>
      <c r="Q2617">
        <v>1005.48</v>
      </c>
      <c r="R2617">
        <v>625.86</v>
      </c>
      <c r="S2617">
        <v>379.62</v>
      </c>
    </row>
    <row r="2618" spans="1:19" x14ac:dyDescent="0.35">
      <c r="A2618">
        <v>201356</v>
      </c>
      <c r="B2618">
        <v>2411</v>
      </c>
      <c r="C2618" t="s">
        <v>23</v>
      </c>
      <c r="D2618" t="s">
        <v>29</v>
      </c>
      <c r="E2618" t="s">
        <v>21</v>
      </c>
      <c r="F2618" t="s">
        <v>22</v>
      </c>
      <c r="G2618" s="1">
        <v>45362</v>
      </c>
      <c r="H2618" s="1">
        <v>45367</v>
      </c>
      <c r="I2618" s="1">
        <v>45389</v>
      </c>
      <c r="J2618">
        <v>27</v>
      </c>
      <c r="K2618">
        <v>5</v>
      </c>
      <c r="L2618">
        <v>2</v>
      </c>
      <c r="M2618">
        <v>796.46</v>
      </c>
      <c r="N2618">
        <v>1592.92</v>
      </c>
      <c r="O2618">
        <v>0.13</v>
      </c>
      <c r="P2618">
        <v>207.08</v>
      </c>
      <c r="Q2618">
        <v>1385.84</v>
      </c>
      <c r="R2618">
        <v>1019.47</v>
      </c>
      <c r="S2618">
        <v>366.37</v>
      </c>
    </row>
    <row r="2619" spans="1:19" x14ac:dyDescent="0.35">
      <c r="A2619">
        <v>201357</v>
      </c>
      <c r="B2619">
        <v>1157</v>
      </c>
      <c r="C2619" t="s">
        <v>28</v>
      </c>
      <c r="D2619" t="s">
        <v>20</v>
      </c>
      <c r="E2619" t="s">
        <v>21</v>
      </c>
      <c r="F2619" t="s">
        <v>39</v>
      </c>
      <c r="G2619" s="1">
        <v>45409</v>
      </c>
      <c r="H2619" s="1">
        <v>45413</v>
      </c>
      <c r="I2619" s="1">
        <v>45436</v>
      </c>
      <c r="J2619">
        <v>27</v>
      </c>
      <c r="K2619">
        <v>4</v>
      </c>
      <c r="L2619">
        <v>13</v>
      </c>
      <c r="M2619">
        <v>410.19</v>
      </c>
      <c r="N2619">
        <v>5332.47</v>
      </c>
      <c r="O2619">
        <v>0.09</v>
      </c>
      <c r="P2619">
        <v>479.92</v>
      </c>
      <c r="Q2619">
        <v>4852.55</v>
      </c>
      <c r="R2619">
        <v>3092.83</v>
      </c>
      <c r="S2619">
        <v>1759.72</v>
      </c>
    </row>
    <row r="2620" spans="1:19" x14ac:dyDescent="0.35">
      <c r="A2620">
        <v>201358</v>
      </c>
      <c r="B2620">
        <v>2825</v>
      </c>
      <c r="C2620" t="s">
        <v>33</v>
      </c>
      <c r="D2620" t="s">
        <v>20</v>
      </c>
      <c r="E2620" t="s">
        <v>24</v>
      </c>
      <c r="F2620" t="s">
        <v>30</v>
      </c>
      <c r="G2620" s="1">
        <v>45654</v>
      </c>
      <c r="H2620" s="1">
        <v>45655</v>
      </c>
      <c r="I2620" s="1">
        <v>45677</v>
      </c>
      <c r="J2620">
        <v>23</v>
      </c>
      <c r="K2620">
        <v>1</v>
      </c>
      <c r="L2620">
        <v>6</v>
      </c>
      <c r="M2620">
        <v>133.15</v>
      </c>
      <c r="N2620">
        <v>798.9</v>
      </c>
      <c r="O2620">
        <v>0.11</v>
      </c>
      <c r="P2620">
        <v>87.88</v>
      </c>
      <c r="Q2620">
        <v>711.02</v>
      </c>
      <c r="R2620">
        <v>527.27</v>
      </c>
      <c r="S2620">
        <v>183.75</v>
      </c>
    </row>
    <row r="2621" spans="1:19" x14ac:dyDescent="0.35">
      <c r="A2621">
        <v>201359</v>
      </c>
      <c r="B2621">
        <v>2767</v>
      </c>
      <c r="C2621" t="s">
        <v>28</v>
      </c>
      <c r="D2621" t="s">
        <v>20</v>
      </c>
      <c r="E2621" t="s">
        <v>26</v>
      </c>
      <c r="F2621" t="s">
        <v>27</v>
      </c>
      <c r="G2621" s="1">
        <v>45318</v>
      </c>
      <c r="H2621" s="1">
        <v>45322</v>
      </c>
      <c r="I2621" s="1">
        <v>45340</v>
      </c>
      <c r="J2621">
        <v>22</v>
      </c>
      <c r="K2621">
        <v>4</v>
      </c>
      <c r="L2621">
        <v>9</v>
      </c>
      <c r="M2621">
        <v>225.05</v>
      </c>
      <c r="N2621">
        <v>2025.45</v>
      </c>
      <c r="O2621">
        <v>0.16</v>
      </c>
      <c r="P2621">
        <v>324.07</v>
      </c>
      <c r="Q2621">
        <v>1701.38</v>
      </c>
      <c r="R2621">
        <v>1438.07</v>
      </c>
      <c r="S2621">
        <v>263.31</v>
      </c>
    </row>
    <row r="2622" spans="1:19" x14ac:dyDescent="0.35">
      <c r="A2622">
        <v>201360</v>
      </c>
      <c r="B2622">
        <v>4253</v>
      </c>
      <c r="C2622" t="s">
        <v>23</v>
      </c>
      <c r="D2622" t="s">
        <v>29</v>
      </c>
      <c r="E2622" t="s">
        <v>24</v>
      </c>
      <c r="F2622" t="s">
        <v>30</v>
      </c>
      <c r="G2622" s="1">
        <v>45560</v>
      </c>
      <c r="H2622" s="1">
        <v>45562</v>
      </c>
      <c r="I2622" s="1">
        <v>45585</v>
      </c>
      <c r="J2622">
        <v>25</v>
      </c>
      <c r="K2622">
        <v>2</v>
      </c>
      <c r="L2622">
        <v>11</v>
      </c>
      <c r="M2622">
        <v>267.26</v>
      </c>
      <c r="N2622">
        <v>2939.86</v>
      </c>
      <c r="O2622">
        <v>0.13</v>
      </c>
      <c r="P2622">
        <v>382.18</v>
      </c>
      <c r="Q2622">
        <v>2557.6799999999998</v>
      </c>
      <c r="R2622">
        <v>1910.91</v>
      </c>
      <c r="S2622">
        <v>646.77</v>
      </c>
    </row>
    <row r="2623" spans="1:19" x14ac:dyDescent="0.35">
      <c r="A2623">
        <v>201361</v>
      </c>
      <c r="B2623">
        <v>2967</v>
      </c>
      <c r="C2623" t="s">
        <v>33</v>
      </c>
      <c r="D2623" t="s">
        <v>29</v>
      </c>
      <c r="E2623" t="s">
        <v>24</v>
      </c>
      <c r="F2623" t="s">
        <v>32</v>
      </c>
      <c r="G2623" s="1">
        <v>45643</v>
      </c>
      <c r="H2623" s="1">
        <v>45647</v>
      </c>
      <c r="I2623" s="1">
        <v>45657</v>
      </c>
      <c r="J2623">
        <v>14</v>
      </c>
      <c r="K2623">
        <v>4</v>
      </c>
      <c r="L2623">
        <v>3</v>
      </c>
      <c r="M2623">
        <v>620.82000000000005</v>
      </c>
      <c r="N2623">
        <v>1862.46</v>
      </c>
      <c r="O2623">
        <v>0.11</v>
      </c>
      <c r="P2623">
        <v>204.87</v>
      </c>
      <c r="Q2623">
        <v>1657.59</v>
      </c>
      <c r="R2623">
        <v>1154.73</v>
      </c>
      <c r="S2623">
        <v>502.86</v>
      </c>
    </row>
    <row r="2624" spans="1:19" x14ac:dyDescent="0.35">
      <c r="A2624">
        <v>201362</v>
      </c>
      <c r="B2624">
        <v>4988</v>
      </c>
      <c r="C2624" t="s">
        <v>23</v>
      </c>
      <c r="D2624" t="s">
        <v>29</v>
      </c>
      <c r="E2624" t="s">
        <v>26</v>
      </c>
      <c r="F2624" t="s">
        <v>36</v>
      </c>
      <c r="G2624" s="1">
        <v>45635</v>
      </c>
      <c r="H2624" s="1">
        <v>45639</v>
      </c>
      <c r="I2624" s="1">
        <v>45664</v>
      </c>
      <c r="J2624">
        <v>29</v>
      </c>
      <c r="K2624">
        <v>4</v>
      </c>
      <c r="L2624">
        <v>4</v>
      </c>
      <c r="M2624">
        <v>415.47</v>
      </c>
      <c r="N2624">
        <v>1661.88</v>
      </c>
      <c r="O2624">
        <v>0.15</v>
      </c>
      <c r="P2624">
        <v>249.28</v>
      </c>
      <c r="Q2624">
        <v>1412.6</v>
      </c>
      <c r="R2624">
        <v>1046.98</v>
      </c>
      <c r="S2624">
        <v>365.62</v>
      </c>
    </row>
    <row r="2625" spans="1:19" x14ac:dyDescent="0.35">
      <c r="A2625">
        <v>201363</v>
      </c>
      <c r="B2625">
        <v>2292</v>
      </c>
      <c r="C2625" t="s">
        <v>33</v>
      </c>
      <c r="D2625" t="s">
        <v>31</v>
      </c>
      <c r="E2625" t="s">
        <v>24</v>
      </c>
      <c r="F2625" t="s">
        <v>32</v>
      </c>
      <c r="G2625" s="1">
        <v>45603</v>
      </c>
      <c r="H2625" s="1">
        <v>45608</v>
      </c>
      <c r="I2625" s="1">
        <v>45625</v>
      </c>
      <c r="J2625">
        <v>22</v>
      </c>
      <c r="K2625">
        <v>5</v>
      </c>
      <c r="L2625">
        <v>9</v>
      </c>
      <c r="M2625">
        <v>126.66</v>
      </c>
      <c r="N2625">
        <v>1139.94</v>
      </c>
      <c r="O2625">
        <v>0.2</v>
      </c>
      <c r="P2625">
        <v>227.99</v>
      </c>
      <c r="Q2625">
        <v>911.95</v>
      </c>
      <c r="R2625">
        <v>683.96</v>
      </c>
      <c r="S2625">
        <v>227.99</v>
      </c>
    </row>
    <row r="2626" spans="1:19" x14ac:dyDescent="0.35">
      <c r="A2626">
        <v>201364</v>
      </c>
      <c r="B2626">
        <v>3700</v>
      </c>
      <c r="C2626" t="s">
        <v>19</v>
      </c>
      <c r="D2626" t="s">
        <v>31</v>
      </c>
      <c r="E2626" t="s">
        <v>21</v>
      </c>
      <c r="F2626" t="s">
        <v>22</v>
      </c>
      <c r="G2626" s="1">
        <v>45372</v>
      </c>
      <c r="H2626" s="1">
        <v>45374</v>
      </c>
      <c r="I2626" s="1">
        <v>45384</v>
      </c>
      <c r="J2626">
        <v>12</v>
      </c>
      <c r="K2626">
        <v>2</v>
      </c>
      <c r="L2626">
        <v>3</v>
      </c>
      <c r="M2626">
        <v>621.08000000000004</v>
      </c>
      <c r="N2626">
        <v>1863.24</v>
      </c>
      <c r="O2626">
        <v>0.12</v>
      </c>
      <c r="P2626">
        <v>223.59</v>
      </c>
      <c r="Q2626">
        <v>1639.65</v>
      </c>
      <c r="R2626">
        <v>1211.1099999999999</v>
      </c>
      <c r="S2626">
        <v>428.54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0D7C-2D5D-4033-AD05-C85771771FDB}">
  <sheetPr codeName="Sheet2"/>
  <dimension ref="A2:G58"/>
  <sheetViews>
    <sheetView topLeftCell="A25" workbookViewId="0">
      <selection activeCell="H8" sqref="H8"/>
    </sheetView>
  </sheetViews>
  <sheetFormatPr defaultRowHeight="14.5" x14ac:dyDescent="0.35"/>
  <cols>
    <col min="1" max="1" width="12.36328125" bestFit="1" customWidth="1"/>
    <col min="2" max="2" width="15.36328125" bestFit="1" customWidth="1"/>
    <col min="3" max="3" width="22.54296875" bestFit="1" customWidth="1"/>
    <col min="4" max="4" width="25.81640625" bestFit="1" customWidth="1"/>
    <col min="5" max="5" width="19" bestFit="1" customWidth="1"/>
    <col min="6" max="6" width="14.90625" bestFit="1" customWidth="1"/>
    <col min="7" max="7" width="18.26953125" bestFit="1" customWidth="1"/>
    <col min="8" max="3799" width="15.26953125" bestFit="1" customWidth="1"/>
    <col min="3800" max="3800" width="10.7265625" bestFit="1" customWidth="1"/>
  </cols>
  <sheetData>
    <row r="2" spans="1:7" x14ac:dyDescent="0.35">
      <c r="A2" s="2" t="s">
        <v>2</v>
      </c>
      <c r="B2" t="s">
        <v>48</v>
      </c>
      <c r="C2" t="s">
        <v>50</v>
      </c>
    </row>
    <row r="3" spans="1:7" x14ac:dyDescent="0.35">
      <c r="A3" t="s">
        <v>28</v>
      </c>
      <c r="B3" s="27">
        <v>1647810.7800000003</v>
      </c>
      <c r="C3" s="27">
        <v>507562.63999999966</v>
      </c>
      <c r="E3" t="str">
        <f>A3</f>
        <v>East</v>
      </c>
      <c r="F3" s="7">
        <f t="shared" ref="F3:G7" si="0">B3</f>
        <v>1647810.7800000003</v>
      </c>
      <c r="G3" s="7">
        <f t="shared" si="0"/>
        <v>507562.63999999966</v>
      </c>
    </row>
    <row r="4" spans="1:7" x14ac:dyDescent="0.35">
      <c r="A4" t="s">
        <v>23</v>
      </c>
      <c r="B4" s="27">
        <v>1866865.2500000014</v>
      </c>
      <c r="C4" s="27">
        <v>579996.06999999995</v>
      </c>
      <c r="E4" t="str">
        <f t="shared" ref="E4:E6" si="1">A4</f>
        <v>North</v>
      </c>
      <c r="F4" s="7">
        <f t="shared" si="0"/>
        <v>1866865.2500000014</v>
      </c>
      <c r="G4" s="7">
        <f t="shared" si="0"/>
        <v>579996.06999999995</v>
      </c>
    </row>
    <row r="5" spans="1:7" x14ac:dyDescent="0.35">
      <c r="A5" t="s">
        <v>19</v>
      </c>
      <c r="B5" s="27">
        <v>1822120.9800000025</v>
      </c>
      <c r="C5" s="27">
        <v>566741.7900000005</v>
      </c>
      <c r="E5" t="str">
        <f t="shared" si="1"/>
        <v>South</v>
      </c>
      <c r="F5" s="7">
        <f t="shared" si="0"/>
        <v>1822120.9800000025</v>
      </c>
      <c r="G5" s="7">
        <f t="shared" si="0"/>
        <v>566741.7900000005</v>
      </c>
    </row>
    <row r="6" spans="1:7" x14ac:dyDescent="0.35">
      <c r="A6" t="s">
        <v>33</v>
      </c>
      <c r="B6" s="27">
        <v>1909136.9300000004</v>
      </c>
      <c r="C6" s="27">
        <v>582167.27000000025</v>
      </c>
      <c r="E6" t="str">
        <f t="shared" si="1"/>
        <v>West</v>
      </c>
      <c r="F6" s="7">
        <f t="shared" si="0"/>
        <v>1909136.9300000004</v>
      </c>
      <c r="G6" s="7">
        <f t="shared" si="0"/>
        <v>582167.27000000025</v>
      </c>
    </row>
    <row r="7" spans="1:7" x14ac:dyDescent="0.35">
      <c r="A7" t="s">
        <v>72</v>
      </c>
      <c r="B7" s="27">
        <v>7245933.9400000051</v>
      </c>
      <c r="C7" s="27">
        <v>2236467.7700000005</v>
      </c>
      <c r="E7" t="str">
        <f>A7</f>
        <v>Total</v>
      </c>
      <c r="F7" s="7">
        <f t="shared" si="0"/>
        <v>7245933.9400000051</v>
      </c>
      <c r="G7" s="7">
        <f t="shared" si="0"/>
        <v>2236467.7700000005</v>
      </c>
    </row>
    <row r="10" spans="1:7" x14ac:dyDescent="0.35">
      <c r="A10" t="s">
        <v>51</v>
      </c>
      <c r="B10" t="s">
        <v>50</v>
      </c>
      <c r="C10" t="s">
        <v>48</v>
      </c>
      <c r="D10" t="s">
        <v>52</v>
      </c>
      <c r="E10" t="s">
        <v>53</v>
      </c>
      <c r="F10" t="s">
        <v>56</v>
      </c>
      <c r="G10" t="s">
        <v>57</v>
      </c>
    </row>
    <row r="11" spans="1:7" x14ac:dyDescent="0.35">
      <c r="A11" s="9">
        <v>273.50968000000017</v>
      </c>
      <c r="B11" s="8">
        <v>2236467.7700000005</v>
      </c>
      <c r="C11" s="8">
        <v>7245933.9399999995</v>
      </c>
      <c r="D11" s="4">
        <v>9.1321904761905229E-2</v>
      </c>
      <c r="E11" s="9">
        <v>405.1235428571436</v>
      </c>
      <c r="F11" s="7">
        <v>400724100</v>
      </c>
      <c r="G11" s="7">
        <v>7919636</v>
      </c>
    </row>
    <row r="21" spans="1:4" x14ac:dyDescent="0.35">
      <c r="A21" s="2" t="s">
        <v>46</v>
      </c>
      <c r="B21" t="s">
        <v>48</v>
      </c>
      <c r="C21" t="s">
        <v>50</v>
      </c>
    </row>
    <row r="22" spans="1:4" x14ac:dyDescent="0.35">
      <c r="A22" s="3" t="s">
        <v>34</v>
      </c>
      <c r="B22" s="27">
        <v>1793340.3199999996</v>
      </c>
      <c r="C22" s="27">
        <v>546703.16000000015</v>
      </c>
    </row>
    <row r="23" spans="1:4" x14ac:dyDescent="0.35">
      <c r="A23" s="3" t="s">
        <v>26</v>
      </c>
      <c r="B23" s="27">
        <v>1837792.4800000023</v>
      </c>
      <c r="C23" s="27">
        <v>573660.46999999986</v>
      </c>
    </row>
    <row r="24" spans="1:4" x14ac:dyDescent="0.35">
      <c r="A24" s="3" t="s">
        <v>24</v>
      </c>
      <c r="B24" s="27">
        <v>1749167.3500000008</v>
      </c>
      <c r="C24" s="27">
        <v>538254.9800000001</v>
      </c>
    </row>
    <row r="25" spans="1:4" x14ac:dyDescent="0.35">
      <c r="A25" s="3" t="s">
        <v>21</v>
      </c>
      <c r="B25" s="27">
        <v>1865633.7900000017</v>
      </c>
      <c r="C25" s="27">
        <v>577849.1599999998</v>
      </c>
    </row>
    <row r="26" spans="1:4" x14ac:dyDescent="0.35">
      <c r="A26" s="3" t="s">
        <v>47</v>
      </c>
      <c r="B26" s="27">
        <v>7245933.9400000041</v>
      </c>
      <c r="C26" s="27">
        <v>2236467.7699999996</v>
      </c>
    </row>
    <row r="29" spans="1:4" x14ac:dyDescent="0.35">
      <c r="A29" s="2" t="s">
        <v>46</v>
      </c>
      <c r="B29" t="s">
        <v>48</v>
      </c>
      <c r="C29" t="s">
        <v>49</v>
      </c>
      <c r="D29" t="s">
        <v>50</v>
      </c>
    </row>
    <row r="30" spans="1:4" x14ac:dyDescent="0.35">
      <c r="A30" s="3" t="s">
        <v>54</v>
      </c>
      <c r="B30" s="27">
        <v>3682185.839999998</v>
      </c>
      <c r="C30" s="27">
        <v>315029.28000000003</v>
      </c>
      <c r="D30" s="27">
        <v>1211335.1600000004</v>
      </c>
    </row>
    <row r="31" spans="1:4" x14ac:dyDescent="0.35">
      <c r="A31" s="3" t="s">
        <v>55</v>
      </c>
      <c r="B31" s="27">
        <v>3563748.0999999982</v>
      </c>
      <c r="C31" s="27">
        <v>402933.6300000003</v>
      </c>
      <c r="D31" s="27">
        <v>1025132.6100000012</v>
      </c>
    </row>
    <row r="32" spans="1:4" x14ac:dyDescent="0.35">
      <c r="A32" s="3" t="s">
        <v>47</v>
      </c>
      <c r="B32" s="27">
        <v>7245933.9399999958</v>
      </c>
      <c r="C32" s="27">
        <v>717962.91000000038</v>
      </c>
      <c r="D32" s="27">
        <v>2236467.7700000014</v>
      </c>
    </row>
    <row r="36" spans="1:4" x14ac:dyDescent="0.35">
      <c r="A36" t="s">
        <v>59</v>
      </c>
      <c r="B36" t="s">
        <v>60</v>
      </c>
      <c r="C36" t="s">
        <v>58</v>
      </c>
    </row>
    <row r="37" spans="1:4" x14ac:dyDescent="0.35">
      <c r="A37" s="5">
        <v>2.956952380952381</v>
      </c>
      <c r="B37" s="5">
        <v>16.12</v>
      </c>
      <c r="C37" s="7">
        <v>19604</v>
      </c>
    </row>
    <row r="40" spans="1:4" x14ac:dyDescent="0.35">
      <c r="A40" s="2" t="s">
        <v>46</v>
      </c>
      <c r="B40" t="s">
        <v>48</v>
      </c>
    </row>
    <row r="41" spans="1:4" x14ac:dyDescent="0.35">
      <c r="A41" s="3" t="s">
        <v>54</v>
      </c>
      <c r="B41" s="6">
        <v>0.50817270354523825</v>
      </c>
    </row>
    <row r="42" spans="1:4" x14ac:dyDescent="0.35">
      <c r="A42" s="3" t="s">
        <v>55</v>
      </c>
      <c r="B42" s="6">
        <v>0.49182729645476181</v>
      </c>
    </row>
    <row r="43" spans="1:4" x14ac:dyDescent="0.35">
      <c r="A43" s="3" t="s">
        <v>47</v>
      </c>
      <c r="B43" s="6">
        <v>1</v>
      </c>
    </row>
    <row r="47" spans="1:4" x14ac:dyDescent="0.35">
      <c r="A47" t="s">
        <v>53</v>
      </c>
      <c r="B47" t="s">
        <v>52</v>
      </c>
      <c r="C47" t="s">
        <v>59</v>
      </c>
      <c r="D47" t="s">
        <v>60</v>
      </c>
    </row>
    <row r="48" spans="1:4" x14ac:dyDescent="0.35">
      <c r="A48" s="9">
        <v>405.1235428571436</v>
      </c>
      <c r="B48" s="4">
        <v>9.1321904761905229E-2</v>
      </c>
      <c r="C48" s="5">
        <v>2.956952380952381</v>
      </c>
      <c r="D48" s="5">
        <v>16.12</v>
      </c>
    </row>
    <row r="51" spans="1:4" x14ac:dyDescent="0.35">
      <c r="A51" s="2" t="s">
        <v>65</v>
      </c>
      <c r="B51" s="2" t="s">
        <v>3</v>
      </c>
      <c r="C51" t="s">
        <v>48</v>
      </c>
      <c r="D51" t="s">
        <v>50</v>
      </c>
    </row>
    <row r="52" spans="1:4" x14ac:dyDescent="0.35">
      <c r="A52" t="s">
        <v>54</v>
      </c>
      <c r="B52" t="s">
        <v>31</v>
      </c>
      <c r="C52" s="7">
        <v>1162373.1900000002</v>
      </c>
      <c r="D52" s="7">
        <v>385843.50000000029</v>
      </c>
    </row>
    <row r="53" spans="1:4" x14ac:dyDescent="0.35">
      <c r="B53" t="s">
        <v>29</v>
      </c>
      <c r="C53" s="7">
        <v>1269226.6699999997</v>
      </c>
      <c r="D53" s="7">
        <v>418487.48</v>
      </c>
    </row>
    <row r="54" spans="1:4" x14ac:dyDescent="0.35">
      <c r="B54" t="s">
        <v>20</v>
      </c>
      <c r="C54" s="7">
        <v>1250585.9800000002</v>
      </c>
      <c r="D54" s="7">
        <v>407004.17999999988</v>
      </c>
    </row>
    <row r="55" spans="1:4" x14ac:dyDescent="0.35">
      <c r="A55" t="s">
        <v>55</v>
      </c>
      <c r="B55" t="s">
        <v>31</v>
      </c>
      <c r="C55" s="7">
        <v>1221552.0999999992</v>
      </c>
      <c r="D55" s="7">
        <v>348732.59999999963</v>
      </c>
    </row>
    <row r="56" spans="1:4" x14ac:dyDescent="0.35">
      <c r="B56" t="s">
        <v>29</v>
      </c>
      <c r="C56" s="7">
        <v>1177067.5499999998</v>
      </c>
      <c r="D56" s="7">
        <v>339601.61999999988</v>
      </c>
    </row>
    <row r="57" spans="1:4" x14ac:dyDescent="0.35">
      <c r="B57" t="s">
        <v>20</v>
      </c>
      <c r="C57" s="7">
        <v>1165128.4499999993</v>
      </c>
      <c r="D57" s="7">
        <v>336798.38999999984</v>
      </c>
    </row>
    <row r="58" spans="1:4" x14ac:dyDescent="0.35">
      <c r="A58" t="s">
        <v>71</v>
      </c>
      <c r="C58" s="27">
        <v>7245933.9399999985</v>
      </c>
      <c r="D58" s="27">
        <v>2236467.7699999996</v>
      </c>
    </row>
  </sheetData>
  <pageMargins left="0.7" right="0.7" top="0.75" bottom="0.75" header="0.3" footer="0.3"/>
  <pageSetup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D594-088C-4532-B311-AF8DF88B266E}">
  <sheetPr codeName="Sheet3"/>
  <dimension ref="A3:R22"/>
  <sheetViews>
    <sheetView showGridLines="0" zoomScale="92" zoomScaleNormal="92" workbookViewId="0">
      <selection activeCell="I41" sqref="I41"/>
    </sheetView>
  </sheetViews>
  <sheetFormatPr defaultRowHeight="14.5" x14ac:dyDescent="0.35"/>
  <cols>
    <col min="1" max="1" width="14.90625" style="10" customWidth="1"/>
    <col min="2" max="3" width="8.7265625" style="11"/>
    <col min="4" max="4" width="11.7265625" style="11" customWidth="1"/>
    <col min="5" max="16384" width="8.7265625" style="11"/>
  </cols>
  <sheetData>
    <row r="3" spans="3:18" x14ac:dyDescent="0.35">
      <c r="Q3" s="20" t="s">
        <v>61</v>
      </c>
      <c r="R3" s="20"/>
    </row>
    <row r="4" spans="3:18" x14ac:dyDescent="0.35">
      <c r="Q4" s="25">
        <f>Report!$A$48</f>
        <v>405.1235428571436</v>
      </c>
      <c r="R4" s="25"/>
    </row>
    <row r="5" spans="3:18" x14ac:dyDescent="0.35">
      <c r="Q5" s="25"/>
      <c r="R5" s="25"/>
    </row>
    <row r="8" spans="3:18" x14ac:dyDescent="0.35">
      <c r="Q8" s="20" t="s">
        <v>63</v>
      </c>
      <c r="R8" s="20"/>
    </row>
    <row r="9" spans="3:18" ht="15.5" x14ac:dyDescent="0.35">
      <c r="C9" s="16" t="s">
        <v>67</v>
      </c>
      <c r="D9" s="16"/>
      <c r="E9" s="16"/>
      <c r="F9" s="16"/>
      <c r="G9" s="16"/>
      <c r="H9" s="16"/>
      <c r="J9" s="16" t="s">
        <v>73</v>
      </c>
      <c r="K9" s="16"/>
      <c r="L9" s="16"/>
      <c r="M9" s="16"/>
      <c r="N9" s="16"/>
      <c r="O9" s="16"/>
      <c r="Q9" s="26">
        <f>Report!$B$48</f>
        <v>9.1321904761905229E-2</v>
      </c>
      <c r="R9" s="24"/>
    </row>
    <row r="10" spans="3:18" x14ac:dyDescent="0.35">
      <c r="C10" s="12" t="s">
        <v>66</v>
      </c>
      <c r="D10" s="12" t="s">
        <v>68</v>
      </c>
      <c r="E10" s="19" t="s">
        <v>69</v>
      </c>
      <c r="F10" s="19"/>
      <c r="G10" s="19" t="s">
        <v>70</v>
      </c>
      <c r="H10" s="19"/>
      <c r="J10" s="12" t="s">
        <v>2</v>
      </c>
      <c r="K10" s="19" t="s">
        <v>69</v>
      </c>
      <c r="L10" s="19"/>
      <c r="M10" s="12" t="s">
        <v>70</v>
      </c>
      <c r="N10" s="12"/>
      <c r="O10" s="12"/>
      <c r="Q10" s="24"/>
      <c r="R10" s="24"/>
    </row>
    <row r="11" spans="3:18" x14ac:dyDescent="0.35">
      <c r="C11" s="15" t="str">
        <f>Report!A52</f>
        <v>2023</v>
      </c>
      <c r="D11" s="15" t="str">
        <f>Report!B52</f>
        <v>Online</v>
      </c>
      <c r="E11" s="17">
        <f>Report!C52</f>
        <v>1162373.1900000002</v>
      </c>
      <c r="F11" s="17"/>
      <c r="G11" s="17">
        <f>Report!D52</f>
        <v>385843.50000000029</v>
      </c>
      <c r="H11" s="17"/>
      <c r="J11" s="15" t="str">
        <f>Report!E3</f>
        <v>East</v>
      </c>
      <c r="K11" s="17">
        <f>Report!F3</f>
        <v>1647810.7800000003</v>
      </c>
      <c r="L11" s="18"/>
      <c r="M11" s="17">
        <f>Report!G3</f>
        <v>507562.63999999966</v>
      </c>
      <c r="N11" s="18"/>
    </row>
    <row r="12" spans="3:18" x14ac:dyDescent="0.35">
      <c r="C12" s="13"/>
      <c r="D12" s="15" t="str">
        <f>Report!B53</f>
        <v>Store</v>
      </c>
      <c r="E12" s="17">
        <f>Report!C53</f>
        <v>1269226.6699999997</v>
      </c>
      <c r="F12" s="17"/>
      <c r="G12" s="17">
        <f>Report!D53</f>
        <v>418487.48</v>
      </c>
      <c r="H12" s="17"/>
      <c r="J12" s="15" t="str">
        <f>Report!E4</f>
        <v>North</v>
      </c>
      <c r="K12" s="17">
        <f>Report!F4</f>
        <v>1866865.2500000014</v>
      </c>
      <c r="L12" s="18"/>
      <c r="M12" s="17">
        <f>Report!G4</f>
        <v>579996.06999999995</v>
      </c>
      <c r="N12" s="18"/>
    </row>
    <row r="13" spans="3:18" x14ac:dyDescent="0.35">
      <c r="C13" s="13"/>
      <c r="D13" s="15" t="str">
        <f>Report!B54</f>
        <v>Wholesale</v>
      </c>
      <c r="E13" s="17">
        <f>Report!C54</f>
        <v>1250585.9800000002</v>
      </c>
      <c r="F13" s="17"/>
      <c r="G13" s="17">
        <f>Report!D54</f>
        <v>407004.17999999988</v>
      </c>
      <c r="H13" s="17"/>
      <c r="J13" s="15" t="str">
        <f>Report!E5</f>
        <v>South</v>
      </c>
      <c r="K13" s="17">
        <f>Report!F5</f>
        <v>1822120.9800000025</v>
      </c>
      <c r="L13" s="18"/>
      <c r="M13" s="17">
        <f>Report!G5</f>
        <v>566741.7900000005</v>
      </c>
      <c r="N13" s="18"/>
      <c r="Q13" s="20" t="s">
        <v>62</v>
      </c>
      <c r="R13" s="20"/>
    </row>
    <row r="14" spans="3:18" x14ac:dyDescent="0.35">
      <c r="C14" s="15" t="str">
        <f>Report!A55</f>
        <v>2024</v>
      </c>
      <c r="D14" s="15" t="str">
        <f>Report!B55</f>
        <v>Online</v>
      </c>
      <c r="E14" s="17">
        <f>Report!C55</f>
        <v>1221552.0999999992</v>
      </c>
      <c r="F14" s="17"/>
      <c r="G14" s="17">
        <f>Report!D55</f>
        <v>348732.59999999963</v>
      </c>
      <c r="H14" s="17"/>
      <c r="J14" s="15" t="str">
        <f>Report!E6</f>
        <v>West</v>
      </c>
      <c r="K14" s="17">
        <f>Report!F6</f>
        <v>1909136.9300000004</v>
      </c>
      <c r="L14" s="18"/>
      <c r="M14" s="17">
        <f>Report!G6</f>
        <v>582167.27000000025</v>
      </c>
      <c r="N14" s="18"/>
      <c r="Q14" s="21">
        <f>Report!$C$48</f>
        <v>2.956952380952381</v>
      </c>
      <c r="R14" s="22"/>
    </row>
    <row r="15" spans="3:18" x14ac:dyDescent="0.35">
      <c r="C15" s="13"/>
      <c r="D15" s="15" t="str">
        <f>Report!B56</f>
        <v>Store</v>
      </c>
      <c r="E15" s="17">
        <f>Report!C56</f>
        <v>1177067.5499999998</v>
      </c>
      <c r="F15" s="17"/>
      <c r="G15" s="17">
        <f>Report!D56</f>
        <v>339601.61999999988</v>
      </c>
      <c r="H15" s="17"/>
      <c r="J15" s="15" t="str">
        <f>Report!E7</f>
        <v>Total</v>
      </c>
      <c r="K15" s="17">
        <f>Report!F7</f>
        <v>7245933.9400000051</v>
      </c>
      <c r="L15" s="18"/>
      <c r="M15" s="17">
        <f>Report!G7</f>
        <v>2236467.7700000005</v>
      </c>
      <c r="N15" s="18"/>
      <c r="Q15" s="22"/>
      <c r="R15" s="22"/>
    </row>
    <row r="16" spans="3:18" x14ac:dyDescent="0.35">
      <c r="C16" s="13"/>
      <c r="D16" s="15" t="str">
        <f>Report!B57</f>
        <v>Wholesale</v>
      </c>
      <c r="E16" s="17">
        <f>Report!C57</f>
        <v>1165128.4499999993</v>
      </c>
      <c r="F16" s="17"/>
      <c r="G16" s="17">
        <f>Report!D57</f>
        <v>336798.38999999984</v>
      </c>
      <c r="H16" s="17"/>
      <c r="Q16" s="14"/>
    </row>
    <row r="17" spans="3:18" x14ac:dyDescent="0.35">
      <c r="C17" s="15" t="str">
        <f>Report!A58</f>
        <v xml:space="preserve"> Total</v>
      </c>
      <c r="D17" s="15">
        <f>Report!B58</f>
        <v>0</v>
      </c>
      <c r="E17" s="17">
        <f>Report!C58</f>
        <v>7245933.9399999985</v>
      </c>
      <c r="F17" s="17"/>
      <c r="G17" s="17">
        <f>Report!D58</f>
        <v>2236467.7699999996</v>
      </c>
      <c r="H17" s="17"/>
    </row>
    <row r="18" spans="3:18" x14ac:dyDescent="0.35">
      <c r="C18" s="13"/>
      <c r="D18" s="15">
        <f>Report!B59</f>
        <v>0</v>
      </c>
      <c r="E18" s="17">
        <f>Report!C59</f>
        <v>0</v>
      </c>
      <c r="F18" s="17"/>
      <c r="G18" s="17">
        <f>Report!D59</f>
        <v>0</v>
      </c>
      <c r="H18" s="17"/>
      <c r="Q18" s="20" t="s">
        <v>64</v>
      </c>
      <c r="R18" s="20"/>
    </row>
    <row r="19" spans="3:18" x14ac:dyDescent="0.35">
      <c r="C19" s="13"/>
      <c r="D19" s="15">
        <f>Report!B60</f>
        <v>0</v>
      </c>
      <c r="E19" s="17">
        <f>Report!C60</f>
        <v>0</v>
      </c>
      <c r="F19" s="17"/>
      <c r="G19" s="17">
        <f>Report!D60</f>
        <v>0</v>
      </c>
      <c r="H19" s="17"/>
      <c r="Q19" s="23">
        <f>Report!$D$48</f>
        <v>16.12</v>
      </c>
      <c r="R19" s="24"/>
    </row>
    <row r="20" spans="3:18" x14ac:dyDescent="0.35">
      <c r="C20" s="15">
        <f>Report!A61</f>
        <v>0</v>
      </c>
      <c r="D20" s="13"/>
      <c r="E20" s="17">
        <f>GETPIVOTDATA("Sum of Net_Sales",Report!$A$51)</f>
        <v>7245933.9399999985</v>
      </c>
      <c r="F20" s="17"/>
      <c r="G20" s="17">
        <f>GETPIVOTDATA("Sum of Profit_After_Discount",Report!$A$51)</f>
        <v>2236467.7699999996</v>
      </c>
      <c r="H20" s="17"/>
      <c r="Q20" s="24"/>
      <c r="R20" s="24"/>
    </row>
    <row r="21" spans="3:18" x14ac:dyDescent="0.35">
      <c r="G21" s="13"/>
      <c r="H21" s="13"/>
    </row>
    <row r="22" spans="3:18" ht="15.5" x14ac:dyDescent="0.35">
      <c r="C22" s="16" t="s">
        <v>74</v>
      </c>
      <c r="D22" s="16"/>
      <c r="E22" s="16"/>
      <c r="F22" s="16"/>
      <c r="G22" s="16"/>
      <c r="H22" s="16"/>
      <c r="I22" s="16"/>
      <c r="J22" s="16"/>
      <c r="L22" s="16" t="s">
        <v>75</v>
      </c>
      <c r="M22" s="16"/>
      <c r="N22" s="16"/>
      <c r="O22" s="16"/>
      <c r="P22" s="16"/>
      <c r="Q22" s="16"/>
      <c r="R22" s="16"/>
    </row>
  </sheetData>
  <sheetProtection sheet="1" objects="1" scenarios="1" autoFilter="0" pivotTables="0"/>
  <mergeCells count="45">
    <mergeCell ref="Q13:R13"/>
    <mergeCell ref="Q14:R15"/>
    <mergeCell ref="Q18:R18"/>
    <mergeCell ref="Q19:R20"/>
    <mergeCell ref="Q3:R3"/>
    <mergeCell ref="Q8:R8"/>
    <mergeCell ref="Q4:R5"/>
    <mergeCell ref="Q9:R10"/>
    <mergeCell ref="C9:H9"/>
    <mergeCell ref="E10:F10"/>
    <mergeCell ref="G10:H10"/>
    <mergeCell ref="J9:O9"/>
    <mergeCell ref="K10:L10"/>
    <mergeCell ref="G11:H11"/>
    <mergeCell ref="G12:H12"/>
    <mergeCell ref="G13:H13"/>
    <mergeCell ref="G14:H14"/>
    <mergeCell ref="G15:H15"/>
    <mergeCell ref="G16:H16"/>
    <mergeCell ref="G17:H17"/>
    <mergeCell ref="G18:H18"/>
    <mergeCell ref="G19:H19"/>
    <mergeCell ref="G20:H20"/>
    <mergeCell ref="E20:F20"/>
    <mergeCell ref="E11:F11"/>
    <mergeCell ref="E12:F12"/>
    <mergeCell ref="E13:F13"/>
    <mergeCell ref="E14:F14"/>
    <mergeCell ref="E15:F15"/>
    <mergeCell ref="C22:J22"/>
    <mergeCell ref="L22:R22"/>
    <mergeCell ref="M11:N11"/>
    <mergeCell ref="M12:N12"/>
    <mergeCell ref="M13:N13"/>
    <mergeCell ref="M14:N14"/>
    <mergeCell ref="M15:N15"/>
    <mergeCell ref="K11:L11"/>
    <mergeCell ref="K12:L12"/>
    <mergeCell ref="K13:L13"/>
    <mergeCell ref="K14:L14"/>
    <mergeCell ref="K15:L15"/>
    <mergeCell ref="E16:F16"/>
    <mergeCell ref="E17:F17"/>
    <mergeCell ref="E18:F18"/>
    <mergeCell ref="E19:F19"/>
  </mergeCells>
  <conditionalFormatting sqref="E11:F19">
    <cfRule type="iconSet" priority="4">
      <iconSet iconSet="3Arrows">
        <cfvo type="percent" val="0"/>
        <cfvo type="percent" val="33"/>
        <cfvo type="percent" val="67"/>
      </iconSet>
    </cfRule>
  </conditionalFormatting>
  <conditionalFormatting sqref="G11:H19">
    <cfRule type="iconSet" priority="3">
      <iconSet iconSet="3Arrows">
        <cfvo type="percent" val="0"/>
        <cfvo type="percent" val="33"/>
        <cfvo type="percent" val="67"/>
      </iconSe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2" id="{A3FB279C-A3F4-457F-923C-A6A471DB48D9}">
            <x14:iconSet iconSet="3Triangles">
              <x14:cfvo type="percent">
                <xm:f>0</xm:f>
              </x14:cfvo>
              <x14:cfvo type="percent">
                <xm:f>33</xm:f>
              </x14:cfvo>
              <x14:cfvo type="percent">
                <xm:f>67</xm:f>
              </x14:cfvo>
            </x14:iconSet>
          </x14:cfRule>
          <xm:sqref>K11:L14</xm:sqref>
        </x14:conditionalFormatting>
        <x14:conditionalFormatting xmlns:xm="http://schemas.microsoft.com/office/excel/2006/main">
          <x14:cfRule type="iconSet" priority="1" id="{2EB0AD2F-9428-4831-B852-772793FE1C6F}">
            <x14:iconSet iconSet="3Triangles">
              <x14:cfvo type="percent">
                <xm:f>0</xm:f>
              </x14:cfvo>
              <x14:cfvo type="percent">
                <xm:f>33</xm:f>
              </x14:cfvo>
              <x14:cfvo type="percent">
                <xm:f>67</xm:f>
              </x14:cfvo>
            </x14:iconSet>
          </x14:cfRule>
          <xm:sqref>M11:N14</xm:sqref>
        </x14:conditionalFormatting>
      </x14:conditionalFormatting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70A80-A02B-4130-A160-C9B3C262F0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Retail_clean</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DhennyMart</dc:creator>
  <cp:lastModifiedBy>Chidera John</cp:lastModifiedBy>
  <dcterms:created xsi:type="dcterms:W3CDTF">2026-04-24T11:07:51Z</dcterms:created>
  <dcterms:modified xsi:type="dcterms:W3CDTF">2026-06-06T22:53:49Z</dcterms:modified>
</cp:coreProperties>
</file>